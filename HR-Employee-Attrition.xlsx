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09c9427f7bc7d59c/Full Stack Data Science Practise/Projects/"/>
    </mc:Choice>
  </mc:AlternateContent>
  <xr:revisionPtr revIDLastSave="3950" documentId="8_{3AA90122-5C63-4547-AA2A-9A081E1103AC}" xr6:coauthVersionLast="47" xr6:coauthVersionMax="47" xr10:uidLastSave="{B8237366-EAE4-4237-BCB9-44EA3E3D7660}"/>
  <bookViews>
    <workbookView xWindow="-110" yWindow="-110" windowWidth="19420" windowHeight="10300" firstSheet="1" activeTab="3" xr2:uid="{590E78F8-289E-4DD7-AEF6-E545F1557123}"/>
  </bookViews>
  <sheets>
    <sheet name="HR-Employee-Attrition" sheetId="1" r:id="rId1"/>
    <sheet name="HR-Employee-Attrition copy" sheetId="4" r:id="rId2"/>
    <sheet name="Pivots-workings" sheetId="3" r:id="rId3"/>
    <sheet name="HR_Dashboard" sheetId="5" r:id="rId4"/>
    <sheet name="Sheet2" sheetId="6" r:id="rId5"/>
  </sheets>
  <definedNames>
    <definedName name="_xlnm._FilterDatabase" localSheetId="1" hidden="1">'HR-Employee-Attrition copy'!$A$1:$AB$1471</definedName>
    <definedName name="Age_attrition">'Pivots-workings'!$A$10</definedName>
    <definedName name="Attrition_rate">'Pivots-workings'!$D$4</definedName>
    <definedName name="Averag_M_Income">'Pivots-workings'!$C$5</definedName>
    <definedName name="H_Dept_attrition">'Pivots-workings'!$F$12</definedName>
    <definedName name="income_turnover">'Pivots-workings'!$A$20</definedName>
    <definedName name="jobSatisfation_A">'Pivots-workings'!$A$33</definedName>
    <definedName name="Max_JS">'Pivots-workings'!$H$6</definedName>
    <definedName name="Overtime_Attri">'Pivots-workings'!$A$44</definedName>
    <definedName name="Quartile_Average">'Pivots-workings'!$D$8</definedName>
    <definedName name="Slicer_EnvironmentSatisfaction">#N/A</definedName>
    <definedName name="Slicer_OverTime">#N/A</definedName>
    <definedName name="Slicer_TrainingTimesLastYear">#N/A</definedName>
    <definedName name="Total_staff">'Pivots-workings'!$B$5</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3" l="1"/>
  <c r="C61" i="3"/>
  <c r="D61" i="3"/>
  <c r="E61" i="3"/>
  <c r="F61" i="3"/>
  <c r="B61" i="3"/>
  <c r="C60" i="3"/>
  <c r="D60" i="3"/>
  <c r="E60" i="3"/>
  <c r="F60" i="3"/>
  <c r="B60" i="3"/>
  <c r="F12" i="3"/>
  <c r="A44" i="3"/>
  <c r="A33" i="3"/>
  <c r="D7" i="3"/>
  <c r="D6" i="3"/>
  <c r="A10" i="3"/>
  <c r="H4" i="3"/>
  <c r="H5" i="3"/>
  <c r="H6" i="3"/>
  <c r="H7" i="3"/>
  <c r="H3" i="3"/>
  <c r="D4" i="3"/>
  <c r="D3" i="3"/>
  <c r="B2" i="4" a="1"/>
  <c r="B2" i="4" s="1"/>
  <c r="B3" i="4" a="1"/>
  <c r="B3" i="4" s="1"/>
  <c r="B4" i="4" a="1"/>
  <c r="B4" i="4" s="1"/>
  <c r="B5" i="4" a="1"/>
  <c r="B5" i="4" s="1"/>
  <c r="B6" i="4" a="1"/>
  <c r="B6" i="4" s="1"/>
  <c r="B7" i="4" a="1"/>
  <c r="B7" i="4" s="1"/>
  <c r="B8" i="4" a="1"/>
  <c r="B8" i="4" s="1"/>
  <c r="B9" i="4" a="1"/>
  <c r="B9" i="4" s="1"/>
  <c r="B10" i="4" a="1"/>
  <c r="B10" i="4" s="1"/>
  <c r="B11" i="4" a="1"/>
  <c r="B11" i="4" s="1"/>
  <c r="B12" i="4" a="1"/>
  <c r="B12" i="4" s="1"/>
  <c r="B13" i="4" a="1"/>
  <c r="B13" i="4" s="1"/>
  <c r="B14" i="4" a="1"/>
  <c r="B14" i="4" s="1"/>
  <c r="B15" i="4" a="1"/>
  <c r="B15" i="4"/>
  <c r="B16" i="4" a="1"/>
  <c r="B16" i="4" s="1"/>
  <c r="B17" i="4" a="1"/>
  <c r="B17" i="4" s="1"/>
  <c r="B18" i="4" a="1"/>
  <c r="B18" i="4" s="1"/>
  <c r="B19" i="4" a="1"/>
  <c r="B19" i="4" s="1"/>
  <c r="B20" i="4" a="1"/>
  <c r="B20" i="4" s="1"/>
  <c r="B21" i="4" a="1"/>
  <c r="B21" i="4" s="1"/>
  <c r="B22" i="4" a="1"/>
  <c r="B22" i="4" s="1"/>
  <c r="B23" i="4" a="1"/>
  <c r="B23" i="4" s="1"/>
  <c r="B24" i="4" a="1"/>
  <c r="B24" i="4" s="1"/>
  <c r="B25" i="4" a="1"/>
  <c r="B25" i="4" s="1"/>
  <c r="B26" i="4" a="1"/>
  <c r="B26" i="4" s="1"/>
  <c r="B27" i="4" a="1"/>
  <c r="B27" i="4" s="1"/>
  <c r="B28" i="4" a="1"/>
  <c r="B28" i="4" s="1"/>
  <c r="B29" i="4" a="1"/>
  <c r="B29" i="4" s="1"/>
  <c r="B30" i="4" a="1"/>
  <c r="B30" i="4" s="1"/>
  <c r="B31" i="4" a="1"/>
  <c r="B31" i="4" s="1"/>
  <c r="B32" i="4" a="1"/>
  <c r="B32" i="4" s="1"/>
  <c r="B33" i="4" a="1"/>
  <c r="B33" i="4" s="1"/>
  <c r="B34" i="4" a="1"/>
  <c r="B34" i="4" s="1"/>
  <c r="B35" i="4" a="1"/>
  <c r="B35" i="4" s="1"/>
  <c r="B36" i="4" a="1"/>
  <c r="B36" i="4" s="1"/>
  <c r="B37" i="4" a="1"/>
  <c r="B37" i="4" s="1"/>
  <c r="B38" i="4" a="1"/>
  <c r="B38" i="4" s="1"/>
  <c r="B39" i="4" a="1"/>
  <c r="B39" i="4" s="1"/>
  <c r="B40" i="4" a="1"/>
  <c r="B40" i="4" s="1"/>
  <c r="B41" i="4" a="1"/>
  <c r="B41" i="4" s="1"/>
  <c r="B42" i="4" a="1"/>
  <c r="B42" i="4" s="1"/>
  <c r="B43" i="4" a="1"/>
  <c r="B43" i="4" s="1"/>
  <c r="B44" i="4" a="1"/>
  <c r="B44" i="4" s="1"/>
  <c r="B45" i="4" a="1"/>
  <c r="B45" i="4" s="1"/>
  <c r="B46" i="4" a="1"/>
  <c r="B46" i="4" s="1"/>
  <c r="B47" i="4" a="1"/>
  <c r="B47" i="4" s="1"/>
  <c r="B48" i="4" a="1"/>
  <c r="B48" i="4" s="1"/>
  <c r="B49" i="4" a="1"/>
  <c r="B49" i="4" s="1"/>
  <c r="B50" i="4" a="1"/>
  <c r="B50" i="4" s="1"/>
  <c r="B51" i="4" a="1"/>
  <c r="B51" i="4" s="1"/>
  <c r="B52" i="4" a="1"/>
  <c r="B52" i="4" s="1"/>
  <c r="B53" i="4" a="1"/>
  <c r="B53" i="4" s="1"/>
  <c r="B54" i="4" a="1"/>
  <c r="B54" i="4" s="1"/>
  <c r="B55" i="4" a="1"/>
  <c r="B55" i="4" s="1"/>
  <c r="B56" i="4" a="1"/>
  <c r="B56" i="4" s="1"/>
  <c r="B57" i="4" a="1"/>
  <c r="B57" i="4" s="1"/>
  <c r="B58" i="4" a="1"/>
  <c r="B58" i="4" s="1"/>
  <c r="B59" i="4" a="1"/>
  <c r="B59" i="4" s="1"/>
  <c r="B60" i="4" a="1"/>
  <c r="B60" i="4" s="1"/>
  <c r="B61" i="4" a="1"/>
  <c r="B61" i="4" s="1"/>
  <c r="B62" i="4" a="1"/>
  <c r="B62" i="4" s="1"/>
  <c r="B63" i="4" a="1"/>
  <c r="B63" i="4" s="1"/>
  <c r="B64" i="4" a="1"/>
  <c r="B64" i="4" s="1"/>
  <c r="B65" i="4" a="1"/>
  <c r="B65" i="4" s="1"/>
  <c r="B66" i="4" a="1"/>
  <c r="B66" i="4" s="1"/>
  <c r="B67" i="4" a="1"/>
  <c r="B67" i="4" s="1"/>
  <c r="B68" i="4" a="1"/>
  <c r="B68" i="4" s="1"/>
  <c r="B69" i="4" a="1"/>
  <c r="B69" i="4" s="1"/>
  <c r="B70" i="4" a="1"/>
  <c r="B70" i="4" s="1"/>
  <c r="B71" i="4" a="1"/>
  <c r="B71" i="4" s="1"/>
  <c r="B72" i="4" a="1"/>
  <c r="B72" i="4" s="1"/>
  <c r="B73" i="4" a="1"/>
  <c r="B73" i="4" s="1"/>
  <c r="B74" i="4" a="1"/>
  <c r="B74" i="4" s="1"/>
  <c r="B75" i="4" a="1"/>
  <c r="B75" i="4" s="1"/>
  <c r="B76" i="4" a="1"/>
  <c r="B76" i="4" s="1"/>
  <c r="B77" i="4" a="1"/>
  <c r="B77" i="4" s="1"/>
  <c r="B78" i="4" a="1"/>
  <c r="B78" i="4" s="1"/>
  <c r="B79" i="4" a="1"/>
  <c r="B79" i="4" s="1"/>
  <c r="B80" i="4" a="1"/>
  <c r="B80" i="4" s="1"/>
  <c r="B81" i="4" a="1"/>
  <c r="B81" i="4" s="1"/>
  <c r="B82" i="4" a="1"/>
  <c r="B82" i="4"/>
  <c r="B83" i="4" a="1"/>
  <c r="B83" i="4"/>
  <c r="B84" i="4" a="1"/>
  <c r="B84" i="4" s="1"/>
  <c r="B85" i="4" a="1"/>
  <c r="B85" i="4" s="1"/>
  <c r="B86" i="4" a="1"/>
  <c r="B86" i="4" s="1"/>
  <c r="B87" i="4" a="1"/>
  <c r="B87" i="4" s="1"/>
  <c r="B88" i="4" a="1"/>
  <c r="B88" i="4" s="1"/>
  <c r="B89" i="4" a="1"/>
  <c r="B89" i="4" s="1"/>
  <c r="B90" i="4" a="1"/>
  <c r="B90" i="4" s="1"/>
  <c r="B91" i="4" a="1"/>
  <c r="B91" i="4" s="1"/>
  <c r="B92" i="4" a="1"/>
  <c r="B92" i="4"/>
  <c r="B93" i="4" a="1"/>
  <c r="B93" i="4" s="1"/>
  <c r="B94" i="4" a="1"/>
  <c r="B94" i="4" s="1"/>
  <c r="B95" i="4" a="1"/>
  <c r="B95" i="4" s="1"/>
  <c r="B96" i="4" a="1"/>
  <c r="B96" i="4" s="1"/>
  <c r="B97" i="4" a="1"/>
  <c r="B97" i="4" s="1"/>
  <c r="B98" i="4" a="1"/>
  <c r="B98" i="4" s="1"/>
  <c r="B99" i="4" a="1"/>
  <c r="B99" i="4" s="1"/>
  <c r="B100" i="4" a="1"/>
  <c r="B100" i="4" s="1"/>
  <c r="B101" i="4" a="1"/>
  <c r="B101" i="4" s="1"/>
  <c r="B102" i="4" a="1"/>
  <c r="B102" i="4" s="1"/>
  <c r="B103" i="4" a="1"/>
  <c r="B103" i="4" s="1"/>
  <c r="B104" i="4" a="1"/>
  <c r="B104" i="4" s="1"/>
  <c r="B105" i="4" a="1"/>
  <c r="B105" i="4" s="1"/>
  <c r="B106" i="4" a="1"/>
  <c r="B106" i="4" s="1"/>
  <c r="B107" i="4" a="1"/>
  <c r="B107" i="4" s="1"/>
  <c r="B108" i="4" a="1"/>
  <c r="B108" i="4" s="1"/>
  <c r="B109" i="4" a="1"/>
  <c r="B109" i="4" s="1"/>
  <c r="B110" i="4" a="1"/>
  <c r="B110" i="4" s="1"/>
  <c r="B111" i="4" a="1"/>
  <c r="B111" i="4" s="1"/>
  <c r="B112" i="4" a="1"/>
  <c r="B112" i="4" s="1"/>
  <c r="B113" i="4" a="1"/>
  <c r="B113" i="4" s="1"/>
  <c r="B114" i="4" a="1"/>
  <c r="B114" i="4" s="1"/>
  <c r="B115" i="4" a="1"/>
  <c r="B115" i="4" s="1"/>
  <c r="B116" i="4" a="1"/>
  <c r="B116" i="4" s="1"/>
  <c r="B117" i="4" a="1"/>
  <c r="B117" i="4" s="1"/>
  <c r="B118" i="4" a="1"/>
  <c r="B118" i="4" s="1"/>
  <c r="B119" i="4" a="1"/>
  <c r="B119" i="4" s="1"/>
  <c r="B120" i="4" a="1"/>
  <c r="B120" i="4" s="1"/>
  <c r="B121" i="4" a="1"/>
  <c r="B121" i="4" s="1"/>
  <c r="B122" i="4" a="1"/>
  <c r="B122" i="4" s="1"/>
  <c r="B123" i="4" a="1"/>
  <c r="B123" i="4" s="1"/>
  <c r="B124" i="4" a="1"/>
  <c r="B124" i="4" s="1"/>
  <c r="B125" i="4" a="1"/>
  <c r="B125" i="4" s="1"/>
  <c r="B126" i="4" a="1"/>
  <c r="B126" i="4" s="1"/>
  <c r="B127" i="4" a="1"/>
  <c r="B127" i="4" s="1"/>
  <c r="B128" i="4" a="1"/>
  <c r="B128" i="4" s="1"/>
  <c r="B129" i="4" a="1"/>
  <c r="B129" i="4" s="1"/>
  <c r="B130" i="4" a="1"/>
  <c r="B130" i="4" s="1"/>
  <c r="B131" i="4" a="1"/>
  <c r="B131" i="4" s="1"/>
  <c r="B132" i="4" a="1"/>
  <c r="B132" i="4" s="1"/>
  <c r="B133" i="4" a="1"/>
  <c r="B133" i="4" s="1"/>
  <c r="B134" i="4" a="1"/>
  <c r="B134" i="4" s="1"/>
  <c r="B135" i="4" a="1"/>
  <c r="B135" i="4" s="1"/>
  <c r="B136" i="4" a="1"/>
  <c r="B136" i="4" s="1"/>
  <c r="B137" i="4" a="1"/>
  <c r="B137" i="4" s="1"/>
  <c r="B138" i="4" a="1"/>
  <c r="B138" i="4" s="1"/>
  <c r="B139" i="4" a="1"/>
  <c r="B139" i="4" s="1"/>
  <c r="B140" i="4" a="1"/>
  <c r="B140" i="4" s="1"/>
  <c r="B141" i="4" a="1"/>
  <c r="B141" i="4" s="1"/>
  <c r="B142" i="4" a="1"/>
  <c r="B142" i="4" s="1"/>
  <c r="B143" i="4" a="1"/>
  <c r="B143" i="4" s="1"/>
  <c r="B144" i="4" a="1"/>
  <c r="B144" i="4" s="1"/>
  <c r="B145" i="4" a="1"/>
  <c r="B145" i="4" s="1"/>
  <c r="B146" i="4" a="1"/>
  <c r="B146" i="4" s="1"/>
  <c r="B147" i="4" a="1"/>
  <c r="B147" i="4" s="1"/>
  <c r="B148" i="4" a="1"/>
  <c r="B148" i="4" s="1"/>
  <c r="B149" i="4" a="1"/>
  <c r="B149" i="4" s="1"/>
  <c r="B150" i="4" a="1"/>
  <c r="B150" i="4" s="1"/>
  <c r="B151" i="4" a="1"/>
  <c r="B151" i="4" s="1"/>
  <c r="B152" i="4" a="1"/>
  <c r="B152" i="4" s="1"/>
  <c r="B153" i="4" a="1"/>
  <c r="B153" i="4" s="1"/>
  <c r="B154" i="4" a="1"/>
  <c r="B154" i="4" s="1"/>
  <c r="B155" i="4" a="1"/>
  <c r="B155" i="4" s="1"/>
  <c r="B156" i="4" a="1"/>
  <c r="B156" i="4" s="1"/>
  <c r="B157" i="4" a="1"/>
  <c r="B157" i="4" s="1"/>
  <c r="B158" i="4" a="1"/>
  <c r="B158" i="4" s="1"/>
  <c r="B159" i="4" a="1"/>
  <c r="B159" i="4"/>
  <c r="B160" i="4" a="1"/>
  <c r="B160" i="4" s="1"/>
  <c r="B161" i="4" a="1"/>
  <c r="B161" i="4" s="1"/>
  <c r="B162" i="4" a="1"/>
  <c r="B162" i="4" s="1"/>
  <c r="B163" i="4" a="1"/>
  <c r="B163" i="4" s="1"/>
  <c r="B164" i="4" a="1"/>
  <c r="B164" i="4" s="1"/>
  <c r="B165" i="4" a="1"/>
  <c r="B165" i="4" s="1"/>
  <c r="B166" i="4" a="1"/>
  <c r="B166" i="4" s="1"/>
  <c r="B167" i="4" a="1"/>
  <c r="B167" i="4" s="1"/>
  <c r="B168" i="4" a="1"/>
  <c r="B168" i="4" s="1"/>
  <c r="B169" i="4" a="1"/>
  <c r="B169" i="4" s="1"/>
  <c r="B170" i="4" a="1"/>
  <c r="B170" i="4"/>
  <c r="B171" i="4" a="1"/>
  <c r="B171" i="4" s="1"/>
  <c r="B172" i="4" a="1"/>
  <c r="B172" i="4" s="1"/>
  <c r="B173" i="4" a="1"/>
  <c r="B173" i="4" s="1"/>
  <c r="B174" i="4" a="1"/>
  <c r="B174" i="4" s="1"/>
  <c r="B175" i="4" a="1"/>
  <c r="B175" i="4" s="1"/>
  <c r="B176" i="4" a="1"/>
  <c r="B176" i="4" s="1"/>
  <c r="B177" i="4" a="1"/>
  <c r="B177" i="4" s="1"/>
  <c r="B178" i="4" a="1"/>
  <c r="B178" i="4" s="1"/>
  <c r="B179" i="4" a="1"/>
  <c r="B179" i="4" s="1"/>
  <c r="B180" i="4" a="1"/>
  <c r="B180" i="4" s="1"/>
  <c r="B181" i="4" a="1"/>
  <c r="B181" i="4" s="1"/>
  <c r="B182" i="4" a="1"/>
  <c r="B182" i="4" s="1"/>
  <c r="B183" i="4" a="1"/>
  <c r="B183" i="4" s="1"/>
  <c r="B184" i="4" a="1"/>
  <c r="B184" i="4" s="1"/>
  <c r="B185" i="4" a="1"/>
  <c r="B185" i="4" s="1"/>
  <c r="B186" i="4" a="1"/>
  <c r="B186" i="4" s="1"/>
  <c r="B187" i="4" a="1"/>
  <c r="B187" i="4" s="1"/>
  <c r="B188" i="4" a="1"/>
  <c r="B188" i="4" s="1"/>
  <c r="B189" i="4" a="1"/>
  <c r="B189" i="4" s="1"/>
  <c r="B190" i="4" a="1"/>
  <c r="B190" i="4" s="1"/>
  <c r="B191" i="4" a="1"/>
  <c r="B191" i="4" s="1"/>
  <c r="B192" i="4" a="1"/>
  <c r="B192" i="4" s="1"/>
  <c r="B193" i="4" a="1"/>
  <c r="B193" i="4" s="1"/>
  <c r="B194" i="4" a="1"/>
  <c r="B194" i="4" s="1"/>
  <c r="B195" i="4" a="1"/>
  <c r="B195" i="4" s="1"/>
  <c r="B196" i="4" a="1"/>
  <c r="B196" i="4" s="1"/>
  <c r="B197" i="4" a="1"/>
  <c r="B197" i="4" s="1"/>
  <c r="B198" i="4" a="1"/>
  <c r="B198" i="4" s="1"/>
  <c r="B199" i="4" a="1"/>
  <c r="B199" i="4" s="1"/>
  <c r="B200" i="4" a="1"/>
  <c r="B200" i="4" s="1"/>
  <c r="B201" i="4" a="1"/>
  <c r="B201" i="4" s="1"/>
  <c r="B202" i="4" a="1"/>
  <c r="B202" i="4" s="1"/>
  <c r="B203" i="4" a="1"/>
  <c r="B203" i="4" s="1"/>
  <c r="B204" i="4" a="1"/>
  <c r="B204" i="4" s="1"/>
  <c r="B205" i="4" a="1"/>
  <c r="B205" i="4" s="1"/>
  <c r="B206" i="4" a="1"/>
  <c r="B206" i="4" s="1"/>
  <c r="B207" i="4" a="1"/>
  <c r="B207" i="4" s="1"/>
  <c r="B208" i="4" a="1"/>
  <c r="B208" i="4" s="1"/>
  <c r="B209" i="4" a="1"/>
  <c r="B209" i="4" s="1"/>
  <c r="B210" i="4" a="1"/>
  <c r="B210" i="4" s="1"/>
  <c r="B211" i="4" a="1"/>
  <c r="B211" i="4" s="1"/>
  <c r="B212" i="4" a="1"/>
  <c r="B212" i="4" s="1"/>
  <c r="B213" i="4" a="1"/>
  <c r="B213" i="4" s="1"/>
  <c r="B214" i="4" a="1"/>
  <c r="B214" i="4" s="1"/>
  <c r="B215" i="4" a="1"/>
  <c r="B215" i="4" s="1"/>
  <c r="B216" i="4" a="1"/>
  <c r="B216" i="4"/>
  <c r="B217" i="4" a="1"/>
  <c r="B217" i="4" s="1"/>
  <c r="B218" i="4" a="1"/>
  <c r="B218" i="4" s="1"/>
  <c r="B219" i="4" a="1"/>
  <c r="B219" i="4" s="1"/>
  <c r="B220" i="4" a="1"/>
  <c r="B220" i="4" s="1"/>
  <c r="B221" i="4" a="1"/>
  <c r="B221" i="4" s="1"/>
  <c r="B222" i="4" a="1"/>
  <c r="B222" i="4" s="1"/>
  <c r="B223" i="4" a="1"/>
  <c r="B223" i="4" s="1"/>
  <c r="B224" i="4" a="1"/>
  <c r="B224" i="4"/>
  <c r="B225" i="4" a="1"/>
  <c r="B225" i="4" s="1"/>
  <c r="B226" i="4" a="1"/>
  <c r="B226" i="4"/>
  <c r="B227" i="4" a="1"/>
  <c r="B227" i="4" s="1"/>
  <c r="B228" i="4" a="1"/>
  <c r="B228" i="4" s="1"/>
  <c r="B229" i="4" a="1"/>
  <c r="B229" i="4" s="1"/>
  <c r="B230" i="4" a="1"/>
  <c r="B230" i="4" s="1"/>
  <c r="B231" i="4" a="1"/>
  <c r="B231" i="4" s="1"/>
  <c r="B232" i="4" a="1"/>
  <c r="B232" i="4" s="1"/>
  <c r="B233" i="4" a="1"/>
  <c r="B233" i="4" s="1"/>
  <c r="B234" i="4" a="1"/>
  <c r="B234" i="4" s="1"/>
  <c r="B235" i="4" a="1"/>
  <c r="B235" i="4" s="1"/>
  <c r="B236" i="4" a="1"/>
  <c r="B236" i="4" s="1"/>
  <c r="B237" i="4" a="1"/>
  <c r="B237" i="4" s="1"/>
  <c r="B238" i="4" a="1"/>
  <c r="B238" i="4" s="1"/>
  <c r="B239" i="4" a="1"/>
  <c r="B239" i="4" s="1"/>
  <c r="B240" i="4" a="1"/>
  <c r="B240" i="4" s="1"/>
  <c r="B241" i="4" a="1"/>
  <c r="B241" i="4" s="1"/>
  <c r="B242" i="4" a="1"/>
  <c r="B242" i="4" s="1"/>
  <c r="B243" i="4" a="1"/>
  <c r="B243" i="4" s="1"/>
  <c r="B244" i="4" a="1"/>
  <c r="B244" i="4" s="1"/>
  <c r="B245" i="4" a="1"/>
  <c r="B245" i="4" s="1"/>
  <c r="B246" i="4" a="1"/>
  <c r="B246" i="4" s="1"/>
  <c r="B247" i="4" a="1"/>
  <c r="B247" i="4" s="1"/>
  <c r="B248" i="4" a="1"/>
  <c r="B248" i="4" s="1"/>
  <c r="B249" i="4" a="1"/>
  <c r="B249" i="4" s="1"/>
  <c r="B250" i="4" a="1"/>
  <c r="B250" i="4" s="1"/>
  <c r="B251" i="4" a="1"/>
  <c r="B251" i="4" s="1"/>
  <c r="B252" i="4" a="1"/>
  <c r="B252" i="4" s="1"/>
  <c r="B253" i="4" a="1"/>
  <c r="B253" i="4" s="1"/>
  <c r="B254" i="4" a="1"/>
  <c r="B254" i="4" s="1"/>
  <c r="B255" i="4" a="1"/>
  <c r="B255" i="4" s="1"/>
  <c r="B256" i="4" a="1"/>
  <c r="B256" i="4" s="1"/>
  <c r="B257" i="4" a="1"/>
  <c r="B257" i="4" s="1"/>
  <c r="B258" i="4" a="1"/>
  <c r="B258" i="4" s="1"/>
  <c r="B259" i="4" a="1"/>
  <c r="B259" i="4" s="1"/>
  <c r="B260" i="4" a="1"/>
  <c r="B260" i="4" s="1"/>
  <c r="B261" i="4" a="1"/>
  <c r="B261" i="4" s="1"/>
  <c r="B262" i="4" a="1"/>
  <c r="B262" i="4" s="1"/>
  <c r="B263" i="4" a="1"/>
  <c r="B263" i="4"/>
  <c r="B264" i="4" a="1"/>
  <c r="B264" i="4" s="1"/>
  <c r="B265" i="4" a="1"/>
  <c r="B265" i="4" s="1"/>
  <c r="B266" i="4" a="1"/>
  <c r="B266" i="4" s="1"/>
  <c r="B267" i="4" a="1"/>
  <c r="B267" i="4" s="1"/>
  <c r="B268" i="4" a="1"/>
  <c r="B268" i="4" s="1"/>
  <c r="B269" i="4" a="1"/>
  <c r="B269" i="4" s="1"/>
  <c r="B270" i="4" a="1"/>
  <c r="B270" i="4" s="1"/>
  <c r="B271" i="4" a="1"/>
  <c r="B271" i="4" s="1"/>
  <c r="B272" i="4" a="1"/>
  <c r="B272" i="4" s="1"/>
  <c r="B273" i="4" a="1"/>
  <c r="B273" i="4" s="1"/>
  <c r="B274" i="4" a="1"/>
  <c r="B274" i="4" s="1"/>
  <c r="B275" i="4" a="1"/>
  <c r="B275" i="4" s="1"/>
  <c r="B276" i="4" a="1"/>
  <c r="B276" i="4" s="1"/>
  <c r="B277" i="4" a="1"/>
  <c r="B277" i="4" s="1"/>
  <c r="B278" i="4" a="1"/>
  <c r="B278" i="4" s="1"/>
  <c r="B279" i="4" a="1"/>
  <c r="B279" i="4"/>
  <c r="B280" i="4" a="1"/>
  <c r="B280" i="4" s="1"/>
  <c r="B281" i="4" a="1"/>
  <c r="B281" i="4" s="1"/>
  <c r="B282" i="4" a="1"/>
  <c r="B282" i="4" s="1"/>
  <c r="B283" i="4" a="1"/>
  <c r="B283" i="4" s="1"/>
  <c r="B284" i="4" a="1"/>
  <c r="B284" i="4" s="1"/>
  <c r="B285" i="4" a="1"/>
  <c r="B285" i="4" s="1"/>
  <c r="B286" i="4" a="1"/>
  <c r="B286" i="4" s="1"/>
  <c r="B287" i="4" a="1"/>
  <c r="B287" i="4" s="1"/>
  <c r="B288" i="4" a="1"/>
  <c r="B288" i="4" s="1"/>
  <c r="B289" i="4" a="1"/>
  <c r="B289" i="4" s="1"/>
  <c r="B290" i="4" a="1"/>
  <c r="B290" i="4" s="1"/>
  <c r="B291" i="4" a="1"/>
  <c r="B291" i="4" s="1"/>
  <c r="B292" i="4" a="1"/>
  <c r="B292" i="4" s="1"/>
  <c r="B293" i="4" a="1"/>
  <c r="B293" i="4"/>
  <c r="B294" i="4" a="1"/>
  <c r="B294" i="4" s="1"/>
  <c r="B295" i="4" a="1"/>
  <c r="B295" i="4" s="1"/>
  <c r="B296" i="4" a="1"/>
  <c r="B296" i="4" s="1"/>
  <c r="B297" i="4" a="1"/>
  <c r="B297" i="4" s="1"/>
  <c r="B298" i="4" a="1"/>
  <c r="B298" i="4" s="1"/>
  <c r="B299" i="4" a="1"/>
  <c r="B299" i="4" s="1"/>
  <c r="B300" i="4" a="1"/>
  <c r="B300" i="4" s="1"/>
  <c r="B301" i="4" a="1"/>
  <c r="B301" i="4" s="1"/>
  <c r="B302" i="4" a="1"/>
  <c r="B302" i="4" s="1"/>
  <c r="B303" i="4" a="1"/>
  <c r="B303" i="4" s="1"/>
  <c r="B304" i="4" a="1"/>
  <c r="B304" i="4" s="1"/>
  <c r="B305" i="4" a="1"/>
  <c r="B305" i="4" s="1"/>
  <c r="B306" i="4" a="1"/>
  <c r="B306" i="4" s="1"/>
  <c r="B307" i="4" a="1"/>
  <c r="B307" i="4" s="1"/>
  <c r="B308" i="4" a="1"/>
  <c r="B308" i="4" s="1"/>
  <c r="B309" i="4" a="1"/>
  <c r="B309" i="4" s="1"/>
  <c r="B310" i="4" a="1"/>
  <c r="B310" i="4" s="1"/>
  <c r="B311" i="4" a="1"/>
  <c r="B311" i="4" s="1"/>
  <c r="B312" i="4" a="1"/>
  <c r="B312" i="4" s="1"/>
  <c r="B313" i="4" a="1"/>
  <c r="B313" i="4" s="1"/>
  <c r="B314" i="4" a="1"/>
  <c r="B314" i="4" s="1"/>
  <c r="B315" i="4" a="1"/>
  <c r="B315" i="4" s="1"/>
  <c r="B316" i="4" a="1"/>
  <c r="B316" i="4" s="1"/>
  <c r="B317" i="4" a="1"/>
  <c r="B317" i="4" s="1"/>
  <c r="B318" i="4" a="1"/>
  <c r="B318" i="4" s="1"/>
  <c r="B319" i="4" a="1"/>
  <c r="B319" i="4" s="1"/>
  <c r="B320" i="4" a="1"/>
  <c r="B320" i="4" s="1"/>
  <c r="B321" i="4" a="1"/>
  <c r="B321" i="4" s="1"/>
  <c r="B322" i="4" a="1"/>
  <c r="B322" i="4" s="1"/>
  <c r="B323" i="4" a="1"/>
  <c r="B323" i="4" s="1"/>
  <c r="B324" i="4" a="1"/>
  <c r="B324" i="4" s="1"/>
  <c r="B325" i="4" a="1"/>
  <c r="B325" i="4" s="1"/>
  <c r="B326" i="4" a="1"/>
  <c r="B326" i="4" s="1"/>
  <c r="B327" i="4" a="1"/>
  <c r="B327" i="4" s="1"/>
  <c r="B328" i="4" a="1"/>
  <c r="B328" i="4" s="1"/>
  <c r="B329" i="4" a="1"/>
  <c r="B329" i="4" s="1"/>
  <c r="B330" i="4" a="1"/>
  <c r="B330" i="4" s="1"/>
  <c r="B331" i="4" a="1"/>
  <c r="B331" i="4" s="1"/>
  <c r="B332" i="4" a="1"/>
  <c r="B332" i="4" s="1"/>
  <c r="B333" i="4" a="1"/>
  <c r="B333" i="4" s="1"/>
  <c r="B334" i="4" a="1"/>
  <c r="B334" i="4" s="1"/>
  <c r="B335" i="4" a="1"/>
  <c r="B335" i="4" s="1"/>
  <c r="B336" i="4" a="1"/>
  <c r="B336" i="4" s="1"/>
  <c r="B337" i="4" a="1"/>
  <c r="B337" i="4" s="1"/>
  <c r="B338" i="4" a="1"/>
  <c r="B338" i="4" s="1"/>
  <c r="B339" i="4" a="1"/>
  <c r="B339" i="4" s="1"/>
  <c r="B340" i="4" a="1"/>
  <c r="B340" i="4" s="1"/>
  <c r="B341" i="4" a="1"/>
  <c r="B341" i="4" s="1"/>
  <c r="B342" i="4" a="1"/>
  <c r="B342" i="4" s="1"/>
  <c r="B343" i="4" a="1"/>
  <c r="B343" i="4" s="1"/>
  <c r="B344" i="4" a="1"/>
  <c r="B344" i="4" s="1"/>
  <c r="B345" i="4" a="1"/>
  <c r="B345" i="4" s="1"/>
  <c r="B346" i="4" a="1"/>
  <c r="B346" i="4" s="1"/>
  <c r="B347" i="4" a="1"/>
  <c r="B347" i="4" s="1"/>
  <c r="B348" i="4" a="1"/>
  <c r="B348" i="4" s="1"/>
  <c r="B349" i="4" a="1"/>
  <c r="B349" i="4" s="1"/>
  <c r="B350" i="4" a="1"/>
  <c r="B350" i="4" s="1"/>
  <c r="B351" i="4" a="1"/>
  <c r="B351" i="4" s="1"/>
  <c r="B352" i="4" a="1"/>
  <c r="B352" i="4" s="1"/>
  <c r="B353" i="4" a="1"/>
  <c r="B353" i="4" s="1"/>
  <c r="B354" i="4" a="1"/>
  <c r="B354" i="4" s="1"/>
  <c r="B355" i="4" a="1"/>
  <c r="B355" i="4" s="1"/>
  <c r="B356" i="4" a="1"/>
  <c r="B356" i="4" s="1"/>
  <c r="B357" i="4" a="1"/>
  <c r="B357" i="4" s="1"/>
  <c r="B358" i="4" a="1"/>
  <c r="B358" i="4" s="1"/>
  <c r="B359" i="4" a="1"/>
  <c r="B359" i="4"/>
  <c r="B360" i="4" a="1"/>
  <c r="B360" i="4" s="1"/>
  <c r="B361" i="4" a="1"/>
  <c r="B361" i="4" s="1"/>
  <c r="B362" i="4" a="1"/>
  <c r="B362" i="4" s="1"/>
  <c r="B363" i="4" a="1"/>
  <c r="B363" i="4" s="1"/>
  <c r="B364" i="4" a="1"/>
  <c r="B364" i="4" s="1"/>
  <c r="B365" i="4" a="1"/>
  <c r="B365" i="4" s="1"/>
  <c r="B366" i="4" a="1"/>
  <c r="B366" i="4" s="1"/>
  <c r="B367" i="4" a="1"/>
  <c r="B367" i="4" s="1"/>
  <c r="B368" i="4" a="1"/>
  <c r="B368" i="4" s="1"/>
  <c r="B369" i="4" a="1"/>
  <c r="B369" i="4" s="1"/>
  <c r="B370" i="4" a="1"/>
  <c r="B370" i="4" s="1"/>
  <c r="B371" i="4" a="1"/>
  <c r="B371" i="4" s="1"/>
  <c r="B372" i="4" a="1"/>
  <c r="B372" i="4" s="1"/>
  <c r="B373" i="4" a="1"/>
  <c r="B373" i="4" s="1"/>
  <c r="B374" i="4" a="1"/>
  <c r="B374" i="4" s="1"/>
  <c r="B375" i="4" a="1"/>
  <c r="B375" i="4" s="1"/>
  <c r="B376" i="4" a="1"/>
  <c r="B376" i="4" s="1"/>
  <c r="B377" i="4" a="1"/>
  <c r="B377" i="4" s="1"/>
  <c r="B378" i="4" a="1"/>
  <c r="B378" i="4" s="1"/>
  <c r="B379" i="4" a="1"/>
  <c r="B379" i="4" s="1"/>
  <c r="B380" i="4" a="1"/>
  <c r="B380" i="4" s="1"/>
  <c r="B381" i="4" a="1"/>
  <c r="B381" i="4" s="1"/>
  <c r="B382" i="4" a="1"/>
  <c r="B382" i="4" s="1"/>
  <c r="B383" i="4" a="1"/>
  <c r="B383" i="4" s="1"/>
  <c r="B384" i="4" a="1"/>
  <c r="B384" i="4" s="1"/>
  <c r="B385" i="4" a="1"/>
  <c r="B385" i="4" s="1"/>
  <c r="B386" i="4" a="1"/>
  <c r="B386" i="4" s="1"/>
  <c r="B387" i="4" a="1"/>
  <c r="B387" i="4" s="1"/>
  <c r="B388" i="4" a="1"/>
  <c r="B388" i="4" s="1"/>
  <c r="B389" i="4" a="1"/>
  <c r="B389" i="4" s="1"/>
  <c r="B390" i="4" a="1"/>
  <c r="B390" i="4" s="1"/>
  <c r="B391" i="4" a="1"/>
  <c r="B391" i="4" s="1"/>
  <c r="B392" i="4" a="1"/>
  <c r="B392" i="4" s="1"/>
  <c r="B393" i="4" a="1"/>
  <c r="B393" i="4" s="1"/>
  <c r="B394" i="4" a="1"/>
  <c r="B394" i="4" s="1"/>
  <c r="B395" i="4" a="1"/>
  <c r="B395" i="4" s="1"/>
  <c r="B396" i="4" a="1"/>
  <c r="B396" i="4" s="1"/>
  <c r="B397" i="4" a="1"/>
  <c r="B397" i="4" s="1"/>
  <c r="B398" i="4" a="1"/>
  <c r="B398" i="4" s="1"/>
  <c r="B399" i="4" a="1"/>
  <c r="B399" i="4" s="1"/>
  <c r="B400" i="4" a="1"/>
  <c r="B400" i="4" s="1"/>
  <c r="B401" i="4" a="1"/>
  <c r="B401" i="4" s="1"/>
  <c r="B402" i="4" a="1"/>
  <c r="B402" i="4" s="1"/>
  <c r="B403" i="4" a="1"/>
  <c r="B403" i="4" s="1"/>
  <c r="B404" i="4" a="1"/>
  <c r="B404" i="4" s="1"/>
  <c r="B405" i="4" a="1"/>
  <c r="B405" i="4" s="1"/>
  <c r="B406" i="4" a="1"/>
  <c r="B406" i="4" s="1"/>
  <c r="B407" i="4" a="1"/>
  <c r="B407" i="4" s="1"/>
  <c r="B408" i="4" a="1"/>
  <c r="B408" i="4" s="1"/>
  <c r="B409" i="4" a="1"/>
  <c r="B409" i="4" s="1"/>
  <c r="B410" i="4" a="1"/>
  <c r="B410" i="4" s="1"/>
  <c r="B411" i="4" a="1"/>
  <c r="B411" i="4" s="1"/>
  <c r="B412" i="4" a="1"/>
  <c r="B412" i="4" s="1"/>
  <c r="B413" i="4" a="1"/>
  <c r="B413" i="4" s="1"/>
  <c r="B414" i="4" a="1"/>
  <c r="B414" i="4" s="1"/>
  <c r="B415" i="4" a="1"/>
  <c r="B415" i="4" s="1"/>
  <c r="B416" i="4" a="1"/>
  <c r="B416" i="4" s="1"/>
  <c r="B417" i="4" a="1"/>
  <c r="B417" i="4" s="1"/>
  <c r="B418" i="4" a="1"/>
  <c r="B418" i="4" s="1"/>
  <c r="B419" i="4" a="1"/>
  <c r="B419" i="4" s="1"/>
  <c r="B420" i="4" a="1"/>
  <c r="B420" i="4" s="1"/>
  <c r="B421" i="4" a="1"/>
  <c r="B421" i="4" s="1"/>
  <c r="B422" i="4" a="1"/>
  <c r="B422" i="4" s="1"/>
  <c r="B423" i="4" a="1"/>
  <c r="B423" i="4" s="1"/>
  <c r="B424" i="4" a="1"/>
  <c r="B424" i="4" s="1"/>
  <c r="B425" i="4" a="1"/>
  <c r="B425" i="4" s="1"/>
  <c r="B426" i="4" a="1"/>
  <c r="B426" i="4" s="1"/>
  <c r="B427" i="4" a="1"/>
  <c r="B427" i="4" s="1"/>
  <c r="B428" i="4" a="1"/>
  <c r="B428" i="4" s="1"/>
  <c r="B429" i="4" a="1"/>
  <c r="B429" i="4" s="1"/>
  <c r="B430" i="4" a="1"/>
  <c r="B430" i="4" s="1"/>
  <c r="B431" i="4" a="1"/>
  <c r="B431" i="4" s="1"/>
  <c r="B432" i="4" a="1"/>
  <c r="B432" i="4" s="1"/>
  <c r="B433" i="4" a="1"/>
  <c r="B433" i="4" s="1"/>
  <c r="B434" i="4" a="1"/>
  <c r="B434" i="4" s="1"/>
  <c r="B435" i="4" a="1"/>
  <c r="B435" i="4"/>
  <c r="B436" i="4" a="1"/>
  <c r="B436" i="4"/>
  <c r="B437" i="4" a="1"/>
  <c r="B437" i="4" s="1"/>
  <c r="B438" i="4" a="1"/>
  <c r="B438" i="4" s="1"/>
  <c r="B439" i="4" a="1"/>
  <c r="B439" i="4" s="1"/>
  <c r="B440" i="4" a="1"/>
  <c r="B440" i="4" s="1"/>
  <c r="B441" i="4" a="1"/>
  <c r="B441" i="4" s="1"/>
  <c r="B442" i="4" a="1"/>
  <c r="B442" i="4" s="1"/>
  <c r="B443" i="4" a="1"/>
  <c r="B443" i="4" s="1"/>
  <c r="B444" i="4" a="1"/>
  <c r="B444" i="4" s="1"/>
  <c r="B445" i="4" a="1"/>
  <c r="B445" i="4" s="1"/>
  <c r="B446" i="4" a="1"/>
  <c r="B446" i="4" s="1"/>
  <c r="B447" i="4" a="1"/>
  <c r="B447" i="4" s="1"/>
  <c r="B448" i="4" a="1"/>
  <c r="B448" i="4" s="1"/>
  <c r="B449" i="4" a="1"/>
  <c r="B449" i="4" s="1"/>
  <c r="B450" i="4" a="1"/>
  <c r="B450" i="4" s="1"/>
  <c r="B451" i="4" a="1"/>
  <c r="B451" i="4" s="1"/>
  <c r="B452" i="4" a="1"/>
  <c r="B452" i="4" s="1"/>
  <c r="B453" i="4" a="1"/>
  <c r="B453" i="4" s="1"/>
  <c r="B454" i="4" a="1"/>
  <c r="B454" i="4" s="1"/>
  <c r="B455" i="4" a="1"/>
  <c r="B455" i="4" s="1"/>
  <c r="B456" i="4" a="1"/>
  <c r="B456" i="4" s="1"/>
  <c r="B457" i="4" a="1"/>
  <c r="B457" i="4" s="1"/>
  <c r="B458" i="4" a="1"/>
  <c r="B458" i="4" s="1"/>
  <c r="B459" i="4" a="1"/>
  <c r="B459" i="4" s="1"/>
  <c r="B460" i="4" a="1"/>
  <c r="B460" i="4" s="1"/>
  <c r="B461" i="4" a="1"/>
  <c r="B461" i="4" s="1"/>
  <c r="B462" i="4" a="1"/>
  <c r="B462" i="4" s="1"/>
  <c r="B463" i="4" a="1"/>
  <c r="B463" i="4" s="1"/>
  <c r="B464" i="4" a="1"/>
  <c r="B464" i="4" s="1"/>
  <c r="B465" i="4" a="1"/>
  <c r="B465" i="4" s="1"/>
  <c r="B466" i="4" a="1"/>
  <c r="B466" i="4" s="1"/>
  <c r="B467" i="4" a="1"/>
  <c r="B467" i="4" s="1"/>
  <c r="B468" i="4" a="1"/>
  <c r="B468" i="4" s="1"/>
  <c r="B469" i="4" a="1"/>
  <c r="B469" i="4" s="1"/>
  <c r="B470" i="4" a="1"/>
  <c r="B470" i="4" s="1"/>
  <c r="B471" i="4" a="1"/>
  <c r="B471" i="4" s="1"/>
  <c r="B472" i="4" a="1"/>
  <c r="B472" i="4" s="1"/>
  <c r="B473" i="4" a="1"/>
  <c r="B473" i="4" s="1"/>
  <c r="B474" i="4" a="1"/>
  <c r="B474" i="4" s="1"/>
  <c r="B475" i="4" a="1"/>
  <c r="B475" i="4" s="1"/>
  <c r="B476" i="4" a="1"/>
  <c r="B476" i="4" s="1"/>
  <c r="B477" i="4" a="1"/>
  <c r="B477" i="4" s="1"/>
  <c r="B478" i="4" a="1"/>
  <c r="B478" i="4" s="1"/>
  <c r="B479" i="4" a="1"/>
  <c r="B479" i="4" s="1"/>
  <c r="B480" i="4" a="1"/>
  <c r="B480" i="4" s="1"/>
  <c r="B481" i="4" a="1"/>
  <c r="B481" i="4" s="1"/>
  <c r="B482" i="4" a="1"/>
  <c r="B482" i="4" s="1"/>
  <c r="B483" i="4" a="1"/>
  <c r="B483" i="4" s="1"/>
  <c r="B484" i="4" a="1"/>
  <c r="B484" i="4" s="1"/>
  <c r="B485" i="4" a="1"/>
  <c r="B485" i="4" s="1"/>
  <c r="B486" i="4" a="1"/>
  <c r="B486" i="4" s="1"/>
  <c r="B487" i="4" a="1"/>
  <c r="B487" i="4" s="1"/>
  <c r="B488" i="4" a="1"/>
  <c r="B488" i="4" s="1"/>
  <c r="B489" i="4" a="1"/>
  <c r="B489" i="4"/>
  <c r="B490" i="4" a="1"/>
  <c r="B490" i="4" s="1"/>
  <c r="B491" i="4" a="1"/>
  <c r="B491" i="4" s="1"/>
  <c r="B492" i="4" a="1"/>
  <c r="B492" i="4" s="1"/>
  <c r="B493" i="4" a="1"/>
  <c r="B493" i="4" s="1"/>
  <c r="B494" i="4" a="1"/>
  <c r="B494" i="4" s="1"/>
  <c r="B495" i="4" a="1"/>
  <c r="B495" i="4" s="1"/>
  <c r="B496" i="4" a="1"/>
  <c r="B496" i="4" s="1"/>
  <c r="B497" i="4" a="1"/>
  <c r="B497" i="4" s="1"/>
  <c r="B498" i="4" a="1"/>
  <c r="B498" i="4" s="1"/>
  <c r="B499" i="4" a="1"/>
  <c r="B499" i="4" s="1"/>
  <c r="B500" i="4" a="1"/>
  <c r="B500" i="4" s="1"/>
  <c r="B501" i="4" a="1"/>
  <c r="B501" i="4" s="1"/>
  <c r="B502" i="4" a="1"/>
  <c r="B502" i="4" s="1"/>
  <c r="B503" i="4" a="1"/>
  <c r="B503" i="4" s="1"/>
  <c r="B504" i="4" a="1"/>
  <c r="B504" i="4" s="1"/>
  <c r="B505" i="4" a="1"/>
  <c r="B505" i="4" s="1"/>
  <c r="B506" i="4" a="1"/>
  <c r="B506" i="4" s="1"/>
  <c r="B507" i="4" a="1"/>
  <c r="B507" i="4" s="1"/>
  <c r="B508" i="4" a="1"/>
  <c r="B508" i="4" s="1"/>
  <c r="B509" i="4" a="1"/>
  <c r="B509" i="4" s="1"/>
  <c r="B510" i="4" a="1"/>
  <c r="B510" i="4" s="1"/>
  <c r="B511" i="4" a="1"/>
  <c r="B511" i="4" s="1"/>
  <c r="B512" i="4" a="1"/>
  <c r="B512" i="4"/>
  <c r="B513" i="4" a="1"/>
  <c r="B513" i="4" s="1"/>
  <c r="B514" i="4" a="1"/>
  <c r="B514" i="4" s="1"/>
  <c r="B515" i="4" a="1"/>
  <c r="B515" i="4" s="1"/>
  <c r="B516" i="4" a="1"/>
  <c r="B516" i="4" s="1"/>
  <c r="B517" i="4" a="1"/>
  <c r="B517" i="4" s="1"/>
  <c r="B518" i="4" a="1"/>
  <c r="B518" i="4" s="1"/>
  <c r="B519" i="4" a="1"/>
  <c r="B519" i="4"/>
  <c r="B520" i="4" a="1"/>
  <c r="B520" i="4" s="1"/>
  <c r="B521" i="4" a="1"/>
  <c r="B521" i="4" s="1"/>
  <c r="B522" i="4" a="1"/>
  <c r="B522" i="4" s="1"/>
  <c r="B523" i="4" a="1"/>
  <c r="B523" i="4" s="1"/>
  <c r="B524" i="4" a="1"/>
  <c r="B524" i="4" s="1"/>
  <c r="B525" i="4" a="1"/>
  <c r="B525" i="4" s="1"/>
  <c r="B526" i="4" a="1"/>
  <c r="B526" i="4" s="1"/>
  <c r="B527" i="4" a="1"/>
  <c r="B527" i="4" s="1"/>
  <c r="B528" i="4" a="1"/>
  <c r="B528" i="4" s="1"/>
  <c r="B529" i="4" a="1"/>
  <c r="B529" i="4"/>
  <c r="B530" i="4" a="1"/>
  <c r="B530" i="4"/>
  <c r="B531" i="4" a="1"/>
  <c r="B531" i="4" s="1"/>
  <c r="B532" i="4" a="1"/>
  <c r="B532" i="4" s="1"/>
  <c r="B533" i="4" a="1"/>
  <c r="B533" i="4" s="1"/>
  <c r="B534" i="4" a="1"/>
  <c r="B534" i="4" s="1"/>
  <c r="B535" i="4" a="1"/>
  <c r="B535" i="4" s="1"/>
  <c r="B536" i="4" a="1"/>
  <c r="B536" i="4" s="1"/>
  <c r="B537" i="4" a="1"/>
  <c r="B537" i="4" s="1"/>
  <c r="B538" i="4" a="1"/>
  <c r="B538" i="4" s="1"/>
  <c r="B539" i="4" a="1"/>
  <c r="B539" i="4" s="1"/>
  <c r="B540" i="4" a="1"/>
  <c r="B540" i="4" s="1"/>
  <c r="B541" i="4" a="1"/>
  <c r="B541" i="4" s="1"/>
  <c r="B542" i="4" a="1"/>
  <c r="B542" i="4" s="1"/>
  <c r="B543" i="4" a="1"/>
  <c r="B543" i="4" s="1"/>
  <c r="B544" i="4" a="1"/>
  <c r="B544" i="4" s="1"/>
  <c r="B545" i="4" a="1"/>
  <c r="B545" i="4" s="1"/>
  <c r="B546" i="4" a="1"/>
  <c r="B546" i="4" s="1"/>
  <c r="B547" i="4" a="1"/>
  <c r="B547" i="4" s="1"/>
  <c r="B548" i="4" a="1"/>
  <c r="B548" i="4" s="1"/>
  <c r="B549" i="4" a="1"/>
  <c r="B549" i="4" s="1"/>
  <c r="B550" i="4" a="1"/>
  <c r="B550" i="4" s="1"/>
  <c r="B551" i="4" a="1"/>
  <c r="B551" i="4" s="1"/>
  <c r="B552" i="4" a="1"/>
  <c r="B552" i="4" s="1"/>
  <c r="B553" i="4" a="1"/>
  <c r="B553" i="4"/>
  <c r="B554" i="4" a="1"/>
  <c r="B554" i="4" s="1"/>
  <c r="B555" i="4" a="1"/>
  <c r="B555" i="4"/>
  <c r="B556" i="4" a="1"/>
  <c r="B556" i="4" s="1"/>
  <c r="B557" i="4" a="1"/>
  <c r="B557" i="4" s="1"/>
  <c r="B558" i="4" a="1"/>
  <c r="B558" i="4" s="1"/>
  <c r="B559" i="4" a="1"/>
  <c r="B559" i="4"/>
  <c r="B560" i="4" a="1"/>
  <c r="B560" i="4" s="1"/>
  <c r="B561" i="4" a="1"/>
  <c r="B561" i="4" s="1"/>
  <c r="B562" i="4" a="1"/>
  <c r="B562" i="4" s="1"/>
  <c r="B563" i="4" a="1"/>
  <c r="B563" i="4" s="1"/>
  <c r="B564" i="4" a="1"/>
  <c r="B564" i="4" s="1"/>
  <c r="B565" i="4" a="1"/>
  <c r="B565" i="4" s="1"/>
  <c r="B566" i="4" a="1"/>
  <c r="B566" i="4" s="1"/>
  <c r="B567" i="4" a="1"/>
  <c r="B567" i="4" s="1"/>
  <c r="B568" i="4" a="1"/>
  <c r="B568" i="4" s="1"/>
  <c r="B569" i="4" a="1"/>
  <c r="B569" i="4" s="1"/>
  <c r="B570" i="4" a="1"/>
  <c r="B570" i="4" s="1"/>
  <c r="B571" i="4" a="1"/>
  <c r="B571" i="4" s="1"/>
  <c r="B572" i="4" a="1"/>
  <c r="B572" i="4" s="1"/>
  <c r="B573" i="4" a="1"/>
  <c r="B573" i="4" s="1"/>
  <c r="B574" i="4" a="1"/>
  <c r="B574" i="4" s="1"/>
  <c r="B575" i="4" a="1"/>
  <c r="B575" i="4" s="1"/>
  <c r="B576" i="4" a="1"/>
  <c r="B576" i="4" s="1"/>
  <c r="B577" i="4" a="1"/>
  <c r="B577" i="4" s="1"/>
  <c r="B578" i="4" a="1"/>
  <c r="B578" i="4" s="1"/>
  <c r="B579" i="4" a="1"/>
  <c r="B579" i="4" s="1"/>
  <c r="B580" i="4" a="1"/>
  <c r="B580" i="4"/>
  <c r="B581" i="4" a="1"/>
  <c r="B581" i="4" s="1"/>
  <c r="B582" i="4" a="1"/>
  <c r="B582" i="4" s="1"/>
  <c r="B583" i="4" a="1"/>
  <c r="B583" i="4" s="1"/>
  <c r="B584" i="4" a="1"/>
  <c r="B584" i="4" s="1"/>
  <c r="B585" i="4" a="1"/>
  <c r="B585" i="4" s="1"/>
  <c r="B586" i="4" a="1"/>
  <c r="B586" i="4" s="1"/>
  <c r="B587" i="4" a="1"/>
  <c r="B587" i="4" s="1"/>
  <c r="B588" i="4" a="1"/>
  <c r="B588" i="4" s="1"/>
  <c r="B589" i="4" a="1"/>
  <c r="B589" i="4" s="1"/>
  <c r="B590" i="4" a="1"/>
  <c r="B590" i="4"/>
  <c r="B591" i="4" a="1"/>
  <c r="B591" i="4" s="1"/>
  <c r="B592" i="4" a="1"/>
  <c r="B592" i="4" s="1"/>
  <c r="B593" i="4" a="1"/>
  <c r="B593" i="4" s="1"/>
  <c r="B594" i="4" a="1"/>
  <c r="B594" i="4" s="1"/>
  <c r="B595" i="4" a="1"/>
  <c r="B595" i="4" s="1"/>
  <c r="B596" i="4" a="1"/>
  <c r="B596" i="4" s="1"/>
  <c r="B597" i="4" a="1"/>
  <c r="B597" i="4" s="1"/>
  <c r="B598" i="4" a="1"/>
  <c r="B598" i="4" s="1"/>
  <c r="B599" i="4" a="1"/>
  <c r="B599" i="4" s="1"/>
  <c r="B600" i="4" a="1"/>
  <c r="B600" i="4" s="1"/>
  <c r="B601" i="4" a="1"/>
  <c r="B601" i="4" s="1"/>
  <c r="B602" i="4" a="1"/>
  <c r="B602" i="4" s="1"/>
  <c r="B603" i="4" a="1"/>
  <c r="B603" i="4" s="1"/>
  <c r="B604" i="4" a="1"/>
  <c r="B604" i="4" s="1"/>
  <c r="B605" i="4" a="1"/>
  <c r="B605" i="4" s="1"/>
  <c r="B606" i="4" a="1"/>
  <c r="B606" i="4" s="1"/>
  <c r="B607" i="4" a="1"/>
  <c r="B607" i="4" s="1"/>
  <c r="B608" i="4" a="1"/>
  <c r="B608" i="4"/>
  <c r="B609" i="4" a="1"/>
  <c r="B609" i="4" s="1"/>
  <c r="B610" i="4" a="1"/>
  <c r="B610" i="4" s="1"/>
  <c r="B611" i="4" a="1"/>
  <c r="B611" i="4" s="1"/>
  <c r="B612" i="4" a="1"/>
  <c r="B612" i="4" s="1"/>
  <c r="B613" i="4" a="1"/>
  <c r="B613" i="4" s="1"/>
  <c r="B614" i="4" a="1"/>
  <c r="B614" i="4" s="1"/>
  <c r="B615" i="4" a="1"/>
  <c r="B615" i="4" s="1"/>
  <c r="B616" i="4" a="1"/>
  <c r="B616" i="4" s="1"/>
  <c r="B617" i="4" a="1"/>
  <c r="B617" i="4" s="1"/>
  <c r="B618" i="4" a="1"/>
  <c r="B618" i="4" s="1"/>
  <c r="B619" i="4" a="1"/>
  <c r="B619" i="4" s="1"/>
  <c r="B620" i="4" a="1"/>
  <c r="B620" i="4" s="1"/>
  <c r="B621" i="4" a="1"/>
  <c r="B621" i="4" s="1"/>
  <c r="B622" i="4" a="1"/>
  <c r="B622" i="4" s="1"/>
  <c r="B623" i="4" a="1"/>
  <c r="B623" i="4" s="1"/>
  <c r="B624" i="4" a="1"/>
  <c r="B624" i="4" s="1"/>
  <c r="B625" i="4" a="1"/>
  <c r="B625" i="4" s="1"/>
  <c r="B626" i="4" a="1"/>
  <c r="B626" i="4" s="1"/>
  <c r="B627" i="4" a="1"/>
  <c r="B627" i="4" s="1"/>
  <c r="B628" i="4" a="1"/>
  <c r="B628" i="4" s="1"/>
  <c r="B629" i="4" a="1"/>
  <c r="B629" i="4" s="1"/>
  <c r="B630" i="4" a="1"/>
  <c r="B630" i="4" s="1"/>
  <c r="B631" i="4" a="1"/>
  <c r="B631" i="4" s="1"/>
  <c r="B632" i="4" a="1"/>
  <c r="B632" i="4" s="1"/>
  <c r="B633" i="4" a="1"/>
  <c r="B633" i="4" s="1"/>
  <c r="B634" i="4" a="1"/>
  <c r="B634" i="4" s="1"/>
  <c r="B635" i="4" a="1"/>
  <c r="B635" i="4" s="1"/>
  <c r="B636" i="4" a="1"/>
  <c r="B636" i="4" s="1"/>
  <c r="B637" i="4" a="1"/>
  <c r="B637" i="4" s="1"/>
  <c r="B638" i="4" a="1"/>
  <c r="B638" i="4" s="1"/>
  <c r="B639" i="4" a="1"/>
  <c r="B639" i="4" s="1"/>
  <c r="B640" i="4" a="1"/>
  <c r="B640" i="4" s="1"/>
  <c r="B641" i="4" a="1"/>
  <c r="B641" i="4" s="1"/>
  <c r="B642" i="4" a="1"/>
  <c r="B642" i="4" s="1"/>
  <c r="B643" i="4" a="1"/>
  <c r="B643" i="4" s="1"/>
  <c r="B644" i="4" a="1"/>
  <c r="B644" i="4" s="1"/>
  <c r="B645" i="4" a="1"/>
  <c r="B645" i="4" s="1"/>
  <c r="B646" i="4" a="1"/>
  <c r="B646" i="4" s="1"/>
  <c r="B647" i="4" a="1"/>
  <c r="B647" i="4" s="1"/>
  <c r="B648" i="4" a="1"/>
  <c r="B648" i="4" s="1"/>
  <c r="B649" i="4" a="1"/>
  <c r="B649" i="4" s="1"/>
  <c r="B650" i="4" a="1"/>
  <c r="B650" i="4" s="1"/>
  <c r="B651" i="4" a="1"/>
  <c r="B651" i="4" s="1"/>
  <c r="B652" i="4" a="1"/>
  <c r="B652" i="4" s="1"/>
  <c r="B653" i="4" a="1"/>
  <c r="B653" i="4" s="1"/>
  <c r="B654" i="4" a="1"/>
  <c r="B654" i="4"/>
  <c r="B655" i="4" a="1"/>
  <c r="B655" i="4" s="1"/>
  <c r="B656" i="4" a="1"/>
  <c r="B656" i="4" s="1"/>
  <c r="B657" i="4" a="1"/>
  <c r="B657" i="4" s="1"/>
  <c r="B658" i="4" a="1"/>
  <c r="B658" i="4" s="1"/>
  <c r="B659" i="4" a="1"/>
  <c r="B659" i="4" s="1"/>
  <c r="B660" i="4" a="1"/>
  <c r="B660" i="4" s="1"/>
  <c r="B661" i="4" a="1"/>
  <c r="B661" i="4" s="1"/>
  <c r="B662" i="4" a="1"/>
  <c r="B662" i="4" s="1"/>
  <c r="B663" i="4" a="1"/>
  <c r="B663" i="4" s="1"/>
  <c r="B664" i="4" a="1"/>
  <c r="B664" i="4" s="1"/>
  <c r="B665" i="4" a="1"/>
  <c r="B665" i="4" s="1"/>
  <c r="B666" i="4" a="1"/>
  <c r="B666" i="4" s="1"/>
  <c r="B667" i="4" a="1"/>
  <c r="B667" i="4" s="1"/>
  <c r="B668" i="4" a="1"/>
  <c r="B668" i="4" s="1"/>
  <c r="B669" i="4" a="1"/>
  <c r="B669" i="4" s="1"/>
  <c r="B670" i="4" a="1"/>
  <c r="B670" i="4" s="1"/>
  <c r="B671" i="4" a="1"/>
  <c r="B671" i="4" s="1"/>
  <c r="B672" i="4" a="1"/>
  <c r="B672" i="4" s="1"/>
  <c r="B673" i="4" a="1"/>
  <c r="B673" i="4" s="1"/>
  <c r="B674" i="4" a="1"/>
  <c r="B674" i="4" s="1"/>
  <c r="B675" i="4" a="1"/>
  <c r="B675" i="4" s="1"/>
  <c r="B676" i="4" a="1"/>
  <c r="B676" i="4" s="1"/>
  <c r="B677" i="4" a="1"/>
  <c r="B677" i="4" s="1"/>
  <c r="B678" i="4" a="1"/>
  <c r="B678" i="4"/>
  <c r="B679" i="4" a="1"/>
  <c r="B679" i="4" s="1"/>
  <c r="B680" i="4" a="1"/>
  <c r="B680" i="4" s="1"/>
  <c r="B681" i="4" a="1"/>
  <c r="B681" i="4" s="1"/>
  <c r="B682" i="4" a="1"/>
  <c r="B682" i="4" s="1"/>
  <c r="B683" i="4" a="1"/>
  <c r="B683" i="4" s="1"/>
  <c r="B684" i="4" a="1"/>
  <c r="B684" i="4" s="1"/>
  <c r="B685" i="4" a="1"/>
  <c r="B685" i="4" s="1"/>
  <c r="B686" i="4" a="1"/>
  <c r="B686" i="4" s="1"/>
  <c r="B687" i="4" a="1"/>
  <c r="B687" i="4" s="1"/>
  <c r="B688" i="4" a="1"/>
  <c r="B688" i="4"/>
  <c r="B689" i="4" a="1"/>
  <c r="B689" i="4" s="1"/>
  <c r="B690" i="4" a="1"/>
  <c r="B690" i="4" s="1"/>
  <c r="B691" i="4" a="1"/>
  <c r="B691" i="4" s="1"/>
  <c r="B692" i="4" a="1"/>
  <c r="B692" i="4" s="1"/>
  <c r="B693" i="4" a="1"/>
  <c r="B693" i="4" s="1"/>
  <c r="B694" i="4" a="1"/>
  <c r="B694" i="4" s="1"/>
  <c r="B695" i="4" a="1"/>
  <c r="B695" i="4" s="1"/>
  <c r="B696" i="4" a="1"/>
  <c r="B696" i="4" s="1"/>
  <c r="B697" i="4" a="1"/>
  <c r="B697" i="4" s="1"/>
  <c r="B698" i="4" a="1"/>
  <c r="B698" i="4" s="1"/>
  <c r="B699" i="4" a="1"/>
  <c r="B699" i="4" s="1"/>
  <c r="B700" i="4" a="1"/>
  <c r="B700" i="4" s="1"/>
  <c r="B701" i="4" a="1"/>
  <c r="B701" i="4" s="1"/>
  <c r="B702" i="4" a="1"/>
  <c r="B702" i="4" s="1"/>
  <c r="B703" i="4" a="1"/>
  <c r="B703" i="4" s="1"/>
  <c r="B704" i="4" a="1"/>
  <c r="B704" i="4" s="1"/>
  <c r="B705" i="4" a="1"/>
  <c r="B705" i="4" s="1"/>
  <c r="B706" i="4" a="1"/>
  <c r="B706" i="4" s="1"/>
  <c r="B707" i="4" a="1"/>
  <c r="B707" i="4" s="1"/>
  <c r="B708" i="4" a="1"/>
  <c r="B708" i="4"/>
  <c r="B709" i="4" a="1"/>
  <c r="B709" i="4" s="1"/>
  <c r="B710" i="4" a="1"/>
  <c r="B710" i="4" s="1"/>
  <c r="B711" i="4" a="1"/>
  <c r="B711" i="4" s="1"/>
  <c r="B712" i="4" a="1"/>
  <c r="B712" i="4" s="1"/>
  <c r="B713" i="4" a="1"/>
  <c r="B713" i="4" s="1"/>
  <c r="B714" i="4" a="1"/>
  <c r="B714" i="4" s="1"/>
  <c r="B715" i="4" a="1"/>
  <c r="B715" i="4" s="1"/>
  <c r="B716" i="4" a="1"/>
  <c r="B716" i="4" s="1"/>
  <c r="B717" i="4" a="1"/>
  <c r="B717" i="4" s="1"/>
  <c r="B718" i="4" a="1"/>
  <c r="B718" i="4" s="1"/>
  <c r="B719" i="4" a="1"/>
  <c r="B719" i="4" s="1"/>
  <c r="B720" i="4" a="1"/>
  <c r="B720" i="4" s="1"/>
  <c r="B721" i="4" a="1"/>
  <c r="B721" i="4" s="1"/>
  <c r="B722" i="4" a="1"/>
  <c r="B722" i="4" s="1"/>
  <c r="B723" i="4" a="1"/>
  <c r="B723" i="4" s="1"/>
  <c r="B724" i="4" a="1"/>
  <c r="B724" i="4" s="1"/>
  <c r="B725" i="4" a="1"/>
  <c r="B725" i="4" s="1"/>
  <c r="B726" i="4" a="1"/>
  <c r="B726" i="4" s="1"/>
  <c r="B727" i="4" a="1"/>
  <c r="B727" i="4" s="1"/>
  <c r="B728" i="4" a="1"/>
  <c r="B728" i="4" s="1"/>
  <c r="B729" i="4" a="1"/>
  <c r="B729" i="4" s="1"/>
  <c r="B730" i="4" a="1"/>
  <c r="B730" i="4" s="1"/>
  <c r="B731" i="4" a="1"/>
  <c r="B731" i="4" s="1"/>
  <c r="B732" i="4" a="1"/>
  <c r="B732" i="4" s="1"/>
  <c r="B733" i="4" a="1"/>
  <c r="B733" i="4" s="1"/>
  <c r="B734" i="4" a="1"/>
  <c r="B734" i="4"/>
  <c r="B735" i="4" a="1"/>
  <c r="B735" i="4" s="1"/>
  <c r="B736" i="4" a="1"/>
  <c r="B736" i="4" s="1"/>
  <c r="B737" i="4" a="1"/>
  <c r="B737" i="4" s="1"/>
  <c r="B738" i="4" a="1"/>
  <c r="B738" i="4" s="1"/>
  <c r="B739" i="4" a="1"/>
  <c r="B739" i="4" s="1"/>
  <c r="B740" i="4" a="1"/>
  <c r="B740" i="4" s="1"/>
  <c r="B741" i="4" a="1"/>
  <c r="B741" i="4" s="1"/>
  <c r="B742" i="4" a="1"/>
  <c r="B742" i="4" s="1"/>
  <c r="B743" i="4" a="1"/>
  <c r="B743" i="4" s="1"/>
  <c r="B744" i="4" a="1"/>
  <c r="B744" i="4" s="1"/>
  <c r="B745" i="4" a="1"/>
  <c r="B745" i="4"/>
  <c r="B746" i="4" a="1"/>
  <c r="B746" i="4" s="1"/>
  <c r="B747" i="4" a="1"/>
  <c r="B747" i="4" s="1"/>
  <c r="B748" i="4" a="1"/>
  <c r="B748" i="4" s="1"/>
  <c r="B749" i="4" a="1"/>
  <c r="B749" i="4" s="1"/>
  <c r="B750" i="4" a="1"/>
  <c r="B750" i="4" s="1"/>
  <c r="B751" i="4" a="1"/>
  <c r="B751" i="4" s="1"/>
  <c r="B752" i="4" a="1"/>
  <c r="B752" i="4" s="1"/>
  <c r="B753" i="4" a="1"/>
  <c r="B753" i="4" s="1"/>
  <c r="B754" i="4" a="1"/>
  <c r="B754" i="4" s="1"/>
  <c r="B755" i="4" a="1"/>
  <c r="B755" i="4" s="1"/>
  <c r="B756" i="4" a="1"/>
  <c r="B756" i="4" s="1"/>
  <c r="B757" i="4" a="1"/>
  <c r="B757" i="4" s="1"/>
  <c r="B758" i="4" a="1"/>
  <c r="B758" i="4"/>
  <c r="B759" i="4" a="1"/>
  <c r="B759" i="4" s="1"/>
  <c r="B760" i="4" a="1"/>
  <c r="B760" i="4" s="1"/>
  <c r="B761" i="4" a="1"/>
  <c r="B761" i="4" s="1"/>
  <c r="B762" i="4" a="1"/>
  <c r="B762" i="4" s="1"/>
  <c r="B763" i="4" a="1"/>
  <c r="B763" i="4" s="1"/>
  <c r="B764" i="4" a="1"/>
  <c r="B764" i="4" s="1"/>
  <c r="B765" i="4" a="1"/>
  <c r="B765" i="4" s="1"/>
  <c r="B766" i="4" a="1"/>
  <c r="B766" i="4" s="1"/>
  <c r="B767" i="4" a="1"/>
  <c r="B767" i="4" s="1"/>
  <c r="B768" i="4" a="1"/>
  <c r="B768" i="4" s="1"/>
  <c r="B769" i="4" a="1"/>
  <c r="B769" i="4" s="1"/>
  <c r="B770" i="4" a="1"/>
  <c r="B770" i="4" s="1"/>
  <c r="B771" i="4" a="1"/>
  <c r="B771" i="4" s="1"/>
  <c r="B772" i="4" a="1"/>
  <c r="B772" i="4" s="1"/>
  <c r="B773" i="4" a="1"/>
  <c r="B773" i="4" s="1"/>
  <c r="B774" i="4" a="1"/>
  <c r="B774" i="4" s="1"/>
  <c r="B775" i="4" a="1"/>
  <c r="B775" i="4" s="1"/>
  <c r="B776" i="4" a="1"/>
  <c r="B776" i="4" s="1"/>
  <c r="B777" i="4" a="1"/>
  <c r="B777" i="4" s="1"/>
  <c r="B778" i="4" a="1"/>
  <c r="B778" i="4" s="1"/>
  <c r="B779" i="4" a="1"/>
  <c r="B779" i="4" s="1"/>
  <c r="B780" i="4" a="1"/>
  <c r="B780" i="4"/>
  <c r="B781" i="4" a="1"/>
  <c r="B781" i="4" s="1"/>
  <c r="B782" i="4" a="1"/>
  <c r="B782" i="4" s="1"/>
  <c r="B783" i="4" a="1"/>
  <c r="B783" i="4" s="1"/>
  <c r="B784" i="4" a="1"/>
  <c r="B784" i="4" s="1"/>
  <c r="B785" i="4" a="1"/>
  <c r="B785" i="4" s="1"/>
  <c r="B786" i="4" a="1"/>
  <c r="B786" i="4" s="1"/>
  <c r="B787" i="4" a="1"/>
  <c r="B787" i="4" s="1"/>
  <c r="B788" i="4" a="1"/>
  <c r="B788" i="4" s="1"/>
  <c r="B789" i="4" a="1"/>
  <c r="B789" i="4" s="1"/>
  <c r="B790" i="4" a="1"/>
  <c r="B790" i="4" s="1"/>
  <c r="B791" i="4" a="1"/>
  <c r="B791" i="4" s="1"/>
  <c r="B792" i="4" a="1"/>
  <c r="B792" i="4" s="1"/>
  <c r="B793" i="4" a="1"/>
  <c r="B793" i="4" s="1"/>
  <c r="B794" i="4" a="1"/>
  <c r="B794" i="4" s="1"/>
  <c r="B795" i="4" a="1"/>
  <c r="B795" i="4" s="1"/>
  <c r="B796" i="4" a="1"/>
  <c r="B796" i="4" s="1"/>
  <c r="B797" i="4" a="1"/>
  <c r="B797" i="4" s="1"/>
  <c r="B798" i="4" a="1"/>
  <c r="B798" i="4" s="1"/>
  <c r="B799" i="4" a="1"/>
  <c r="B799" i="4" s="1"/>
  <c r="B800" i="4" a="1"/>
  <c r="B800" i="4" s="1"/>
  <c r="B801" i="4" a="1"/>
  <c r="B801" i="4" s="1"/>
  <c r="B802" i="4" a="1"/>
  <c r="B802" i="4" s="1"/>
  <c r="B803" i="4" a="1"/>
  <c r="B803" i="4" s="1"/>
  <c r="B804" i="4" a="1"/>
  <c r="B804" i="4" s="1"/>
  <c r="B805" i="4" a="1"/>
  <c r="B805" i="4" s="1"/>
  <c r="B806" i="4" a="1"/>
  <c r="B806" i="4" s="1"/>
  <c r="B807" i="4" a="1"/>
  <c r="B807" i="4"/>
  <c r="B808" i="4" a="1"/>
  <c r="B808" i="4" s="1"/>
  <c r="B809" i="4" a="1"/>
  <c r="B809" i="4" s="1"/>
  <c r="B810" i="4" a="1"/>
  <c r="B810" i="4" s="1"/>
  <c r="B811" i="4" a="1"/>
  <c r="B811" i="4" s="1"/>
  <c r="B812" i="4" a="1"/>
  <c r="B812" i="4" s="1"/>
  <c r="B813" i="4" a="1"/>
  <c r="B813" i="4" s="1"/>
  <c r="B814" i="4" a="1"/>
  <c r="B814" i="4" s="1"/>
  <c r="B815" i="4" a="1"/>
  <c r="B815" i="4" s="1"/>
  <c r="B816" i="4" a="1"/>
  <c r="B816" i="4" s="1"/>
  <c r="B817" i="4" a="1"/>
  <c r="B817" i="4" s="1"/>
  <c r="B818" i="4" a="1"/>
  <c r="B818" i="4" s="1"/>
  <c r="B819" i="4" a="1"/>
  <c r="B819" i="4" s="1"/>
  <c r="B820" i="4" a="1"/>
  <c r="B820" i="4" s="1"/>
  <c r="B821" i="4" a="1"/>
  <c r="B821" i="4" s="1"/>
  <c r="B822" i="4" a="1"/>
  <c r="B822" i="4" s="1"/>
  <c r="B823" i="4" a="1"/>
  <c r="B823" i="4" s="1"/>
  <c r="B824" i="4" a="1"/>
  <c r="B824" i="4" s="1"/>
  <c r="B825" i="4" a="1"/>
  <c r="B825" i="4" s="1"/>
  <c r="B826" i="4" a="1"/>
  <c r="B826" i="4" s="1"/>
  <c r="B827" i="4" a="1"/>
  <c r="B827" i="4" s="1"/>
  <c r="B828" i="4" a="1"/>
  <c r="B828" i="4" s="1"/>
  <c r="B829" i="4" a="1"/>
  <c r="B829" i="4" s="1"/>
  <c r="B830" i="4" a="1"/>
  <c r="B830" i="4"/>
  <c r="B831" i="4" a="1"/>
  <c r="B831" i="4" s="1"/>
  <c r="B832" i="4" a="1"/>
  <c r="B832" i="4" s="1"/>
  <c r="B833" i="4" a="1"/>
  <c r="B833" i="4" s="1"/>
  <c r="B834" i="4" a="1"/>
  <c r="B834" i="4" s="1"/>
  <c r="B835" i="4" a="1"/>
  <c r="B835" i="4" s="1"/>
  <c r="B836" i="4" a="1"/>
  <c r="B836" i="4" s="1"/>
  <c r="B837" i="4" a="1"/>
  <c r="B837" i="4" s="1"/>
  <c r="B838" i="4" a="1"/>
  <c r="B838" i="4" s="1"/>
  <c r="B839" i="4" a="1"/>
  <c r="B839" i="4" s="1"/>
  <c r="B840" i="4" a="1"/>
  <c r="B840" i="4" s="1"/>
  <c r="B841" i="4" a="1"/>
  <c r="B841" i="4" s="1"/>
  <c r="B842" i="4" a="1"/>
  <c r="B842" i="4" s="1"/>
  <c r="B843" i="4" a="1"/>
  <c r="B843" i="4" s="1"/>
  <c r="B844" i="4" a="1"/>
  <c r="B844" i="4" s="1"/>
  <c r="B845" i="4" a="1"/>
  <c r="B845" i="4" s="1"/>
  <c r="B846" i="4" a="1"/>
  <c r="B846" i="4" s="1"/>
  <c r="B847" i="4" a="1"/>
  <c r="B847" i="4" s="1"/>
  <c r="B848" i="4" a="1"/>
  <c r="B848" i="4" s="1"/>
  <c r="B849" i="4" a="1"/>
  <c r="B849" i="4" s="1"/>
  <c r="B850" i="4" a="1"/>
  <c r="B850" i="4" s="1"/>
  <c r="B851" i="4" a="1"/>
  <c r="B851" i="4" s="1"/>
  <c r="B852" i="4" a="1"/>
  <c r="B852" i="4" s="1"/>
  <c r="B853" i="4" a="1"/>
  <c r="B853" i="4" s="1"/>
  <c r="B854" i="4" a="1"/>
  <c r="B854" i="4" s="1"/>
  <c r="B855" i="4" a="1"/>
  <c r="B855" i="4" s="1"/>
  <c r="B856" i="4" a="1"/>
  <c r="B856" i="4" s="1"/>
  <c r="B857" i="4" a="1"/>
  <c r="B857" i="4" s="1"/>
  <c r="B858" i="4" a="1"/>
  <c r="B858" i="4" s="1"/>
  <c r="B859" i="4" a="1"/>
  <c r="B859" i="4" s="1"/>
  <c r="B860" i="4" a="1"/>
  <c r="B860" i="4" s="1"/>
  <c r="B861" i="4" a="1"/>
  <c r="B861" i="4" s="1"/>
  <c r="B862" i="4" a="1"/>
  <c r="B862" i="4" s="1"/>
  <c r="B863" i="4" a="1"/>
  <c r="B863" i="4" s="1"/>
  <c r="B864" i="4" a="1"/>
  <c r="B864" i="4" s="1"/>
  <c r="B865" i="4" a="1"/>
  <c r="B865" i="4" s="1"/>
  <c r="B866" i="4" a="1"/>
  <c r="B866" i="4" s="1"/>
  <c r="B867" i="4" a="1"/>
  <c r="B867" i="4" s="1"/>
  <c r="B868" i="4" a="1"/>
  <c r="B868" i="4" s="1"/>
  <c r="B869" i="4" a="1"/>
  <c r="B869" i="4" s="1"/>
  <c r="B870" i="4" a="1"/>
  <c r="B870" i="4" s="1"/>
  <c r="B871" i="4" a="1"/>
  <c r="B871" i="4" s="1"/>
  <c r="B872" i="4" a="1"/>
  <c r="B872" i="4" s="1"/>
  <c r="B873" i="4" a="1"/>
  <c r="B873" i="4" s="1"/>
  <c r="B874" i="4" a="1"/>
  <c r="B874" i="4" s="1"/>
  <c r="B875" i="4" a="1"/>
  <c r="B875" i="4" s="1"/>
  <c r="B876" i="4" a="1"/>
  <c r="B876" i="4"/>
  <c r="B877" i="4" a="1"/>
  <c r="B877" i="4" s="1"/>
  <c r="B878" i="4" a="1"/>
  <c r="B878" i="4" s="1"/>
  <c r="B879" i="4" a="1"/>
  <c r="B879" i="4" s="1"/>
  <c r="B880" i="4" a="1"/>
  <c r="B880" i="4" s="1"/>
  <c r="B881" i="4" a="1"/>
  <c r="B881" i="4" s="1"/>
  <c r="B882" i="4" a="1"/>
  <c r="B882" i="4" s="1"/>
  <c r="B883" i="4" a="1"/>
  <c r="B883" i="4" s="1"/>
  <c r="B884" i="4" a="1"/>
  <c r="B884" i="4"/>
  <c r="B885" i="4" a="1"/>
  <c r="B885" i="4" s="1"/>
  <c r="B886" i="4" a="1"/>
  <c r="B886" i="4" s="1"/>
  <c r="B887" i="4" a="1"/>
  <c r="B887" i="4" s="1"/>
  <c r="B888" i="4" a="1"/>
  <c r="B888" i="4" s="1"/>
  <c r="B889" i="4" a="1"/>
  <c r="B889" i="4" s="1"/>
  <c r="B890" i="4" a="1"/>
  <c r="B890" i="4" s="1"/>
  <c r="B891" i="4" a="1"/>
  <c r="B891" i="4" s="1"/>
  <c r="B892" i="4" a="1"/>
  <c r="B892" i="4" s="1"/>
  <c r="B893" i="4" a="1"/>
  <c r="B893" i="4" s="1"/>
  <c r="B894" i="4" a="1"/>
  <c r="B894" i="4" s="1"/>
  <c r="B895" i="4" a="1"/>
  <c r="B895" i="4" s="1"/>
  <c r="B896" i="4" a="1"/>
  <c r="B896" i="4" s="1"/>
  <c r="B897" i="4" a="1"/>
  <c r="B897" i="4" s="1"/>
  <c r="B898" i="4" a="1"/>
  <c r="B898" i="4" s="1"/>
  <c r="B899" i="4" a="1"/>
  <c r="B899" i="4" s="1"/>
  <c r="B900" i="4" a="1"/>
  <c r="B900" i="4" s="1"/>
  <c r="B901" i="4" a="1"/>
  <c r="B901" i="4" s="1"/>
  <c r="B902" i="4" a="1"/>
  <c r="B902" i="4"/>
  <c r="B903" i="4" a="1"/>
  <c r="B903" i="4" s="1"/>
  <c r="B904" i="4" a="1"/>
  <c r="B904" i="4" s="1"/>
  <c r="B905" i="4" a="1"/>
  <c r="B905" i="4" s="1"/>
  <c r="B906" i="4" a="1"/>
  <c r="B906" i="4" s="1"/>
  <c r="B907" i="4" a="1"/>
  <c r="B907" i="4" s="1"/>
  <c r="B908" i="4" a="1"/>
  <c r="B908" i="4" s="1"/>
  <c r="B909" i="4" a="1"/>
  <c r="B909" i="4" s="1"/>
  <c r="B910" i="4" a="1"/>
  <c r="B910" i="4" s="1"/>
  <c r="B911" i="4" a="1"/>
  <c r="B911" i="4" s="1"/>
  <c r="B912" i="4" a="1"/>
  <c r="B912" i="4" s="1"/>
  <c r="B913" i="4" a="1"/>
  <c r="B913" i="4" s="1"/>
  <c r="B914" i="4" a="1"/>
  <c r="B914" i="4" s="1"/>
  <c r="B915" i="4" a="1"/>
  <c r="B915" i="4" s="1"/>
  <c r="B916" i="4" a="1"/>
  <c r="B916" i="4" s="1"/>
  <c r="B917" i="4" a="1"/>
  <c r="B917" i="4" s="1"/>
  <c r="B918" i="4" a="1"/>
  <c r="B918" i="4" s="1"/>
  <c r="B919" i="4" a="1"/>
  <c r="B919" i="4" s="1"/>
  <c r="B920" i="4" a="1"/>
  <c r="B920" i="4" s="1"/>
  <c r="B921" i="4" a="1"/>
  <c r="B921" i="4" s="1"/>
  <c r="B922" i="4" a="1"/>
  <c r="B922" i="4" s="1"/>
  <c r="B923" i="4" a="1"/>
  <c r="B923" i="4" s="1"/>
  <c r="B924" i="4" a="1"/>
  <c r="B924" i="4" s="1"/>
  <c r="B925" i="4" a="1"/>
  <c r="B925" i="4" s="1"/>
  <c r="B926" i="4" a="1"/>
  <c r="B926" i="4" s="1"/>
  <c r="B927" i="4" a="1"/>
  <c r="B927" i="4" s="1"/>
  <c r="B928" i="4" a="1"/>
  <c r="B928" i="4" s="1"/>
  <c r="B929" i="4" a="1"/>
  <c r="B929" i="4" s="1"/>
  <c r="B930" i="4" a="1"/>
  <c r="B930" i="4" s="1"/>
  <c r="B931" i="4" a="1"/>
  <c r="B931" i="4" s="1"/>
  <c r="B932" i="4" a="1"/>
  <c r="B932" i="4" s="1"/>
  <c r="B933" i="4" a="1"/>
  <c r="B933" i="4" s="1"/>
  <c r="B934" i="4" a="1"/>
  <c r="B934" i="4" s="1"/>
  <c r="B935" i="4" a="1"/>
  <c r="B935" i="4" s="1"/>
  <c r="B936" i="4" a="1"/>
  <c r="B936" i="4" s="1"/>
  <c r="B937" i="4" a="1"/>
  <c r="B937" i="4" s="1"/>
  <c r="B938" i="4" a="1"/>
  <c r="B938" i="4" s="1"/>
  <c r="B939" i="4" a="1"/>
  <c r="B939" i="4" s="1"/>
  <c r="B940" i="4" a="1"/>
  <c r="B940" i="4" s="1"/>
  <c r="B941" i="4" a="1"/>
  <c r="B941" i="4" s="1"/>
  <c r="B942" i="4" a="1"/>
  <c r="B942" i="4" s="1"/>
  <c r="B943" i="4" a="1"/>
  <c r="B943" i="4" s="1"/>
  <c r="B944" i="4" a="1"/>
  <c r="B944" i="4" s="1"/>
  <c r="B945" i="4" a="1"/>
  <c r="B945" i="4" s="1"/>
  <c r="B946" i="4" a="1"/>
  <c r="B946" i="4" s="1"/>
  <c r="B947" i="4" a="1"/>
  <c r="B947" i="4" s="1"/>
  <c r="B948" i="4" a="1"/>
  <c r="B948" i="4" s="1"/>
  <c r="B949" i="4" a="1"/>
  <c r="B949" i="4"/>
  <c r="B950" i="4" a="1"/>
  <c r="B950" i="4" s="1"/>
  <c r="B951" i="4" a="1"/>
  <c r="B951" i="4" s="1"/>
  <c r="B952" i="4" a="1"/>
  <c r="B952" i="4" s="1"/>
  <c r="B953" i="4" a="1"/>
  <c r="B953" i="4" s="1"/>
  <c r="B954" i="4" a="1"/>
  <c r="B954" i="4" s="1"/>
  <c r="B955" i="4" a="1"/>
  <c r="B955" i="4" s="1"/>
  <c r="B956" i="4" a="1"/>
  <c r="B956" i="4" s="1"/>
  <c r="B957" i="4" a="1"/>
  <c r="B957" i="4" s="1"/>
  <c r="B958" i="4" a="1"/>
  <c r="B958" i="4" s="1"/>
  <c r="B959" i="4" a="1"/>
  <c r="B959" i="4" s="1"/>
  <c r="B960" i="4" a="1"/>
  <c r="B960" i="4" s="1"/>
  <c r="B961" i="4" a="1"/>
  <c r="B961" i="4" s="1"/>
  <c r="B962" i="4" a="1"/>
  <c r="B962" i="4" s="1"/>
  <c r="B963" i="4" a="1"/>
  <c r="B963" i="4" s="1"/>
  <c r="B964" i="4" a="1"/>
  <c r="B964" i="4" s="1"/>
  <c r="B965" i="4" a="1"/>
  <c r="B965" i="4" s="1"/>
  <c r="B966" i="4" a="1"/>
  <c r="B966" i="4" s="1"/>
  <c r="B967" i="4" a="1"/>
  <c r="B967" i="4" s="1"/>
  <c r="B968" i="4" a="1"/>
  <c r="B968" i="4" s="1"/>
  <c r="B969" i="4" a="1"/>
  <c r="B969" i="4" s="1"/>
  <c r="B970" i="4" a="1"/>
  <c r="B970" i="4" s="1"/>
  <c r="B971" i="4" a="1"/>
  <c r="B971" i="4" s="1"/>
  <c r="B972" i="4" a="1"/>
  <c r="B972" i="4" s="1"/>
  <c r="B973" i="4" a="1"/>
  <c r="B973" i="4" s="1"/>
  <c r="B974" i="4" a="1"/>
  <c r="B974" i="4" s="1"/>
  <c r="B975" i="4" a="1"/>
  <c r="B975" i="4" s="1"/>
  <c r="B976" i="4" a="1"/>
  <c r="B976" i="4" s="1"/>
  <c r="B977" i="4" a="1"/>
  <c r="B977" i="4" s="1"/>
  <c r="B978" i="4" a="1"/>
  <c r="B978" i="4" s="1"/>
  <c r="B979" i="4" a="1"/>
  <c r="B979" i="4" s="1"/>
  <c r="B980" i="4" a="1"/>
  <c r="B980" i="4" s="1"/>
  <c r="B981" i="4" a="1"/>
  <c r="B981" i="4" s="1"/>
  <c r="B982" i="4" a="1"/>
  <c r="B982" i="4" s="1"/>
  <c r="B983" i="4" a="1"/>
  <c r="B983" i="4" s="1"/>
  <c r="B984" i="4" a="1"/>
  <c r="B984" i="4" s="1"/>
  <c r="B985" i="4" a="1"/>
  <c r="B985" i="4" s="1"/>
  <c r="B986" i="4" a="1"/>
  <c r="B986" i="4" s="1"/>
  <c r="B987" i="4" a="1"/>
  <c r="B987" i="4" s="1"/>
  <c r="B988" i="4" a="1"/>
  <c r="B988" i="4" s="1"/>
  <c r="B989" i="4" a="1"/>
  <c r="B989" i="4" s="1"/>
  <c r="B990" i="4" a="1"/>
  <c r="B990" i="4" s="1"/>
  <c r="B991" i="4" a="1"/>
  <c r="B991" i="4" s="1"/>
  <c r="B992" i="4" a="1"/>
  <c r="B992" i="4" s="1"/>
  <c r="B993" i="4" a="1"/>
  <c r="B993" i="4" s="1"/>
  <c r="B994" i="4" a="1"/>
  <c r="B994" i="4" s="1"/>
  <c r="B995" i="4" a="1"/>
  <c r="B995" i="4" s="1"/>
  <c r="B996" i="4" a="1"/>
  <c r="B996" i="4" s="1"/>
  <c r="B997" i="4" a="1"/>
  <c r="B997" i="4"/>
  <c r="B998" i="4" a="1"/>
  <c r="B998" i="4" s="1"/>
  <c r="B999" i="4" a="1"/>
  <c r="B999" i="4" s="1"/>
  <c r="B1000" i="4" a="1"/>
  <c r="B1000" i="4" s="1"/>
  <c r="B1001" i="4" a="1"/>
  <c r="B1001" i="4" s="1"/>
  <c r="B1002" i="4" a="1"/>
  <c r="B1002" i="4" s="1"/>
  <c r="B1003" i="4" a="1"/>
  <c r="B1003" i="4" s="1"/>
  <c r="B1004" i="4" a="1"/>
  <c r="B1004" i="4" s="1"/>
  <c r="B1005" i="4" a="1"/>
  <c r="B1005" i="4" s="1"/>
  <c r="B1006" i="4" a="1"/>
  <c r="B1006" i="4" s="1"/>
  <c r="B1007" i="4" a="1"/>
  <c r="B1007" i="4" s="1"/>
  <c r="B1008" i="4" a="1"/>
  <c r="B1008" i="4" s="1"/>
  <c r="B1009" i="4" a="1"/>
  <c r="B1009" i="4" s="1"/>
  <c r="B1010" i="4" a="1"/>
  <c r="B1010" i="4" s="1"/>
  <c r="B1011" i="4" a="1"/>
  <c r="B1011" i="4"/>
  <c r="B1012" i="4" a="1"/>
  <c r="B1012" i="4" s="1"/>
  <c r="B1013" i="4" a="1"/>
  <c r="B1013" i="4" s="1"/>
  <c r="B1014" i="4" a="1"/>
  <c r="B1014" i="4" s="1"/>
  <c r="B1015" i="4" a="1"/>
  <c r="B1015" i="4" s="1"/>
  <c r="B1016" i="4" a="1"/>
  <c r="B1016" i="4" s="1"/>
  <c r="B1017" i="4" a="1"/>
  <c r="B1017" i="4" s="1"/>
  <c r="B1018" i="4" a="1"/>
  <c r="B1018" i="4" s="1"/>
  <c r="B1019" i="4" a="1"/>
  <c r="B1019" i="4" s="1"/>
  <c r="B1020" i="4" a="1"/>
  <c r="B1020" i="4" s="1"/>
  <c r="B1021" i="4" a="1"/>
  <c r="B1021" i="4" s="1"/>
  <c r="B1022" i="4" a="1"/>
  <c r="B1022" i="4" s="1"/>
  <c r="B1023" i="4" a="1"/>
  <c r="B1023" i="4" s="1"/>
  <c r="B1024" i="4" a="1"/>
  <c r="B1024" i="4" s="1"/>
  <c r="B1025" i="4" a="1"/>
  <c r="B1025" i="4" s="1"/>
  <c r="B1026" i="4" a="1"/>
  <c r="B1026" i="4" s="1"/>
  <c r="B1027" i="4" a="1"/>
  <c r="B1027" i="4" s="1"/>
  <c r="B1028" i="4" a="1"/>
  <c r="B1028" i="4" s="1"/>
  <c r="B1029" i="4" a="1"/>
  <c r="B1029" i="4" s="1"/>
  <c r="B1030" i="4" a="1"/>
  <c r="B1030" i="4" s="1"/>
  <c r="B1031" i="4" a="1"/>
  <c r="B1031" i="4"/>
  <c r="B1032" i="4" a="1"/>
  <c r="B1032" i="4" s="1"/>
  <c r="B1033" i="4" a="1"/>
  <c r="B1033" i="4" s="1"/>
  <c r="B1034" i="4" a="1"/>
  <c r="B1034" i="4" s="1"/>
  <c r="B1035" i="4" a="1"/>
  <c r="B1035" i="4" s="1"/>
  <c r="B1036" i="4" a="1"/>
  <c r="B1036" i="4" s="1"/>
  <c r="B1037" i="4" a="1"/>
  <c r="B1037" i="4" s="1"/>
  <c r="B1038" i="4" a="1"/>
  <c r="B1038" i="4" s="1"/>
  <c r="B1039" i="4" a="1"/>
  <c r="B1039" i="4" s="1"/>
  <c r="B1040" i="4" a="1"/>
  <c r="B1040" i="4" s="1"/>
  <c r="B1041" i="4" a="1"/>
  <c r="B1041" i="4" s="1"/>
  <c r="B1042" i="4" a="1"/>
  <c r="B1042" i="4" s="1"/>
  <c r="B1043" i="4" a="1"/>
  <c r="B1043" i="4" s="1"/>
  <c r="B1044" i="4" a="1"/>
  <c r="B1044" i="4" s="1"/>
  <c r="B1045" i="4" a="1"/>
  <c r="B1045" i="4" s="1"/>
  <c r="B1046" i="4" a="1"/>
  <c r="B1046" i="4" s="1"/>
  <c r="B1047" i="4" a="1"/>
  <c r="B1047" i="4" s="1"/>
  <c r="B1048" i="4" a="1"/>
  <c r="B1048" i="4" s="1"/>
  <c r="B1049" i="4" a="1"/>
  <c r="B1049" i="4" s="1"/>
  <c r="B1050" i="4" a="1"/>
  <c r="B1050" i="4" s="1"/>
  <c r="B1051" i="4" a="1"/>
  <c r="B1051" i="4" s="1"/>
  <c r="B1052" i="4" a="1"/>
  <c r="B1052" i="4" s="1"/>
  <c r="B1053" i="4" a="1"/>
  <c r="B1053" i="4" s="1"/>
  <c r="B1054" i="4" a="1"/>
  <c r="B1054" i="4" s="1"/>
  <c r="B1055" i="4" a="1"/>
  <c r="B1055" i="4" s="1"/>
  <c r="B1056" i="4" a="1"/>
  <c r="B1056" i="4" s="1"/>
  <c r="B1057" i="4" a="1"/>
  <c r="B1057" i="4" s="1"/>
  <c r="B1058" i="4" a="1"/>
  <c r="B1058" i="4" s="1"/>
  <c r="B1059" i="4" a="1"/>
  <c r="B1059" i="4" s="1"/>
  <c r="B1060" i="4" a="1"/>
  <c r="B1060" i="4" s="1"/>
  <c r="B1061" i="4" a="1"/>
  <c r="B1061" i="4" s="1"/>
  <c r="B1062" i="4" a="1"/>
  <c r="B1062" i="4" s="1"/>
  <c r="B1063" i="4" a="1"/>
  <c r="B1063" i="4" s="1"/>
  <c r="B1064" i="4" a="1"/>
  <c r="B1064" i="4" s="1"/>
  <c r="B1065" i="4" a="1"/>
  <c r="B1065" i="4" s="1"/>
  <c r="B1066" i="4" a="1"/>
  <c r="B1066" i="4" s="1"/>
  <c r="B1067" i="4" a="1"/>
  <c r="B1067" i="4" s="1"/>
  <c r="B1068" i="4" a="1"/>
  <c r="B1068" i="4" s="1"/>
  <c r="B1069" i="4" a="1"/>
  <c r="B1069" i="4"/>
  <c r="B1070" i="4" a="1"/>
  <c r="B1070" i="4" s="1"/>
  <c r="B1071" i="4" a="1"/>
  <c r="B1071" i="4"/>
  <c r="B1072" i="4" a="1"/>
  <c r="B1072" i="4" s="1"/>
  <c r="B1073" i="4" a="1"/>
  <c r="B1073" i="4" s="1"/>
  <c r="B1074" i="4" a="1"/>
  <c r="B1074" i="4" s="1"/>
  <c r="B1075" i="4" a="1"/>
  <c r="B1075" i="4" s="1"/>
  <c r="B1076" i="4" a="1"/>
  <c r="B1076" i="4" s="1"/>
  <c r="B1077" i="4" a="1"/>
  <c r="B1077" i="4" s="1"/>
  <c r="B1078" i="4" a="1"/>
  <c r="B1078" i="4"/>
  <c r="B1079" i="4" a="1"/>
  <c r="B1079" i="4" s="1"/>
  <c r="B1080" i="4" a="1"/>
  <c r="B1080" i="4" s="1"/>
  <c r="B1081" i="4" a="1"/>
  <c r="B1081" i="4" s="1"/>
  <c r="B1082" i="4" a="1"/>
  <c r="B1082" i="4" s="1"/>
  <c r="B1083" i="4" a="1"/>
  <c r="B1083" i="4" s="1"/>
  <c r="B1084" i="4" a="1"/>
  <c r="B1084" i="4"/>
  <c r="B1085" i="4" a="1"/>
  <c r="B1085" i="4" s="1"/>
  <c r="B1086" i="4" a="1"/>
  <c r="B1086" i="4"/>
  <c r="B1087" i="4" a="1"/>
  <c r="B1087" i="4" s="1"/>
  <c r="B1088" i="4" a="1"/>
  <c r="B1088" i="4" s="1"/>
  <c r="B1089" i="4" a="1"/>
  <c r="B1089" i="4" s="1"/>
  <c r="B1090" i="4" a="1"/>
  <c r="B1090" i="4" s="1"/>
  <c r="B1091" i="4" a="1"/>
  <c r="B1091" i="4" s="1"/>
  <c r="B1092" i="4" a="1"/>
  <c r="B1092" i="4" s="1"/>
  <c r="B1093" i="4" a="1"/>
  <c r="B1093" i="4" s="1"/>
  <c r="B1094" i="4" a="1"/>
  <c r="B1094" i="4" s="1"/>
  <c r="B1095" i="4" a="1"/>
  <c r="B1095" i="4" s="1"/>
  <c r="B1096" i="4" a="1"/>
  <c r="B1096" i="4" s="1"/>
  <c r="B1097" i="4" a="1"/>
  <c r="B1097" i="4" s="1"/>
  <c r="B1098" i="4" a="1"/>
  <c r="B1098" i="4" s="1"/>
  <c r="B1099" i="4" a="1"/>
  <c r="B1099" i="4" s="1"/>
  <c r="B1100" i="4" a="1"/>
  <c r="B1100" i="4" s="1"/>
  <c r="B1101" i="4" a="1"/>
  <c r="B1101" i="4" s="1"/>
  <c r="B1102" i="4" a="1"/>
  <c r="B1102" i="4" s="1"/>
  <c r="B1103" i="4" a="1"/>
  <c r="B1103" i="4" s="1"/>
  <c r="B1104" i="4" a="1"/>
  <c r="B1104" i="4" s="1"/>
  <c r="B1105" i="4" a="1"/>
  <c r="B1105" i="4" s="1"/>
  <c r="B1106" i="4" a="1"/>
  <c r="B1106" i="4" s="1"/>
  <c r="B1107" i="4" a="1"/>
  <c r="B1107" i="4" s="1"/>
  <c r="B1108" i="4" a="1"/>
  <c r="B1108" i="4" s="1"/>
  <c r="B1109" i="4" a="1"/>
  <c r="B1109" i="4" s="1"/>
  <c r="B1110" i="4" a="1"/>
  <c r="B1110" i="4" s="1"/>
  <c r="B1111" i="4" a="1"/>
  <c r="B1111" i="4" s="1"/>
  <c r="B1112" i="4" a="1"/>
  <c r="B1112" i="4" s="1"/>
  <c r="B1113" i="4" a="1"/>
  <c r="B1113" i="4" s="1"/>
  <c r="B1114" i="4" a="1"/>
  <c r="B1114" i="4" s="1"/>
  <c r="B1115" i="4" a="1"/>
  <c r="B1115" i="4" s="1"/>
  <c r="B1116" i="4" a="1"/>
  <c r="B1116" i="4" s="1"/>
  <c r="B1117" i="4" a="1"/>
  <c r="B1117" i="4" s="1"/>
  <c r="B1118" i="4" a="1"/>
  <c r="B1118" i="4" s="1"/>
  <c r="B1119" i="4" a="1"/>
  <c r="B1119" i="4" s="1"/>
  <c r="B1120" i="4" a="1"/>
  <c r="B1120" i="4" s="1"/>
  <c r="B1121" i="4" a="1"/>
  <c r="B1121" i="4" s="1"/>
  <c r="B1122" i="4" a="1"/>
  <c r="B1122" i="4" s="1"/>
  <c r="B1123" i="4" a="1"/>
  <c r="B1123" i="4" s="1"/>
  <c r="B1124" i="4" a="1"/>
  <c r="B1124" i="4" s="1"/>
  <c r="B1125" i="4" a="1"/>
  <c r="B1125" i="4" s="1"/>
  <c r="B1126" i="4" a="1"/>
  <c r="B1126" i="4" s="1"/>
  <c r="B1127" i="4" a="1"/>
  <c r="B1127" i="4" s="1"/>
  <c r="B1128" i="4" a="1"/>
  <c r="B1128" i="4" s="1"/>
  <c r="B1129" i="4" a="1"/>
  <c r="B1129" i="4" s="1"/>
  <c r="B1130" i="4" a="1"/>
  <c r="B1130" i="4" s="1"/>
  <c r="B1131" i="4" a="1"/>
  <c r="B1131" i="4" s="1"/>
  <c r="B1132" i="4" a="1"/>
  <c r="B1132" i="4" s="1"/>
  <c r="B1133" i="4" a="1"/>
  <c r="B1133" i="4" s="1"/>
  <c r="B1134" i="4" a="1"/>
  <c r="B1134" i="4" s="1"/>
  <c r="B1135" i="4" a="1"/>
  <c r="B1135" i="4"/>
  <c r="B1136" i="4" a="1"/>
  <c r="B1136" i="4" s="1"/>
  <c r="B1137" i="4" a="1"/>
  <c r="B1137" i="4" s="1"/>
  <c r="B1138" i="4" a="1"/>
  <c r="B1138" i="4" s="1"/>
  <c r="B1139" i="4" a="1"/>
  <c r="B1139" i="4" s="1"/>
  <c r="B1140" i="4" a="1"/>
  <c r="B1140" i="4" s="1"/>
  <c r="B1141" i="4" a="1"/>
  <c r="B1141" i="4" s="1"/>
  <c r="B1142" i="4" a="1"/>
  <c r="B1142" i="4" s="1"/>
  <c r="B1143" i="4" a="1"/>
  <c r="B1143" i="4" s="1"/>
  <c r="B1144" i="4" a="1"/>
  <c r="B1144" i="4"/>
  <c r="B1145" i="4" a="1"/>
  <c r="B1145" i="4" s="1"/>
  <c r="B1146" i="4" a="1"/>
  <c r="B1146" i="4" s="1"/>
  <c r="B1147" i="4" a="1"/>
  <c r="B1147" i="4" s="1"/>
  <c r="B1148" i="4" a="1"/>
  <c r="B1148" i="4" s="1"/>
  <c r="B1149" i="4" a="1"/>
  <c r="B1149" i="4" s="1"/>
  <c r="B1150" i="4" a="1"/>
  <c r="B1150" i="4" s="1"/>
  <c r="B1151" i="4" a="1"/>
  <c r="B1151" i="4" s="1"/>
  <c r="B1152" i="4" a="1"/>
  <c r="B1152" i="4" s="1"/>
  <c r="B1153" i="4" a="1"/>
  <c r="B1153" i="4" s="1"/>
  <c r="B1154" i="4" a="1"/>
  <c r="B1154" i="4" s="1"/>
  <c r="B1155" i="4" a="1"/>
  <c r="B1155" i="4" s="1"/>
  <c r="B1156" i="4" a="1"/>
  <c r="B1156" i="4"/>
  <c r="B1157" i="4" a="1"/>
  <c r="B1157" i="4" s="1"/>
  <c r="B1158" i="4" a="1"/>
  <c r="B1158" i="4" s="1"/>
  <c r="B1159" i="4" a="1"/>
  <c r="B1159" i="4" s="1"/>
  <c r="B1160" i="4" a="1"/>
  <c r="B1160" i="4" s="1"/>
  <c r="B1161" i="4" a="1"/>
  <c r="B1161" i="4" s="1"/>
  <c r="B1162" i="4" a="1"/>
  <c r="B1162" i="4" s="1"/>
  <c r="B1163" i="4" a="1"/>
  <c r="B1163" i="4" s="1"/>
  <c r="B1164" i="4" a="1"/>
  <c r="B1164" i="4" s="1"/>
  <c r="B1165" i="4" a="1"/>
  <c r="B1165" i="4" s="1"/>
  <c r="B1166" i="4" a="1"/>
  <c r="B1166" i="4" s="1"/>
  <c r="B1167" i="4" a="1"/>
  <c r="B1167" i="4" s="1"/>
  <c r="B1168" i="4" a="1"/>
  <c r="B1168" i="4" s="1"/>
  <c r="B1169" i="4" a="1"/>
  <c r="B1169" i="4" s="1"/>
  <c r="B1170" i="4" a="1"/>
  <c r="B1170" i="4" s="1"/>
  <c r="B1171" i="4" a="1"/>
  <c r="B1171" i="4"/>
  <c r="B1172" i="4" a="1"/>
  <c r="B1172" i="4" s="1"/>
  <c r="B1173" i="4" a="1"/>
  <c r="B1173" i="4" s="1"/>
  <c r="B1174" i="4" a="1"/>
  <c r="B1174" i="4" s="1"/>
  <c r="B1175" i="4" a="1"/>
  <c r="B1175" i="4" s="1"/>
  <c r="B1176" i="4" a="1"/>
  <c r="B1176" i="4" s="1"/>
  <c r="B1177" i="4" a="1"/>
  <c r="B1177" i="4" s="1"/>
  <c r="B1178" i="4" a="1"/>
  <c r="B1178" i="4" s="1"/>
  <c r="B1179" i="4" a="1"/>
  <c r="B1179" i="4" s="1"/>
  <c r="B1180" i="4" a="1"/>
  <c r="B1180" i="4" s="1"/>
  <c r="B1181" i="4" a="1"/>
  <c r="B1181" i="4"/>
  <c r="B1182" i="4" a="1"/>
  <c r="B1182" i="4" s="1"/>
  <c r="B1183" i="4" a="1"/>
  <c r="B1183" i="4" s="1"/>
  <c r="B1184" i="4" a="1"/>
  <c r="B1184" i="4" s="1"/>
  <c r="B1185" i="4" a="1"/>
  <c r="B1185" i="4" s="1"/>
  <c r="B1186" i="4" a="1"/>
  <c r="B1186" i="4" s="1"/>
  <c r="B1187" i="4" a="1"/>
  <c r="B1187" i="4"/>
  <c r="B1188" i="4" a="1"/>
  <c r="B1188" i="4" s="1"/>
  <c r="B1189" i="4" a="1"/>
  <c r="B1189" i="4" s="1"/>
  <c r="B1190" i="4" a="1"/>
  <c r="B1190" i="4" s="1"/>
  <c r="B1191" i="4" a="1"/>
  <c r="B1191" i="4" s="1"/>
  <c r="B1192" i="4" a="1"/>
  <c r="B1192" i="4" s="1"/>
  <c r="B1193" i="4" a="1"/>
  <c r="B1193" i="4" s="1"/>
  <c r="B1194" i="4" a="1"/>
  <c r="B1194" i="4" s="1"/>
  <c r="B1195" i="4" a="1"/>
  <c r="B1195" i="4" s="1"/>
  <c r="B1196" i="4" a="1"/>
  <c r="B1196" i="4" s="1"/>
  <c r="B1197" i="4" a="1"/>
  <c r="B1197" i="4" s="1"/>
  <c r="B1198" i="4" a="1"/>
  <c r="B1198" i="4" s="1"/>
  <c r="B1199" i="4" a="1"/>
  <c r="B1199" i="4" s="1"/>
  <c r="B1200" i="4" a="1"/>
  <c r="B1200" i="4" s="1"/>
  <c r="B1201" i="4" a="1"/>
  <c r="B1201" i="4" s="1"/>
  <c r="B1202" i="4" a="1"/>
  <c r="B1202" i="4" s="1"/>
  <c r="B1203" i="4" a="1"/>
  <c r="B1203" i="4" s="1"/>
  <c r="B1204" i="4" a="1"/>
  <c r="B1204" i="4" s="1"/>
  <c r="B1205" i="4" a="1"/>
  <c r="B1205" i="4" s="1"/>
  <c r="B1206" i="4" a="1"/>
  <c r="B1206" i="4" s="1"/>
  <c r="B1207" i="4" a="1"/>
  <c r="B1207" i="4" s="1"/>
  <c r="B1208" i="4" a="1"/>
  <c r="B1208" i="4" s="1"/>
  <c r="B1209" i="4" a="1"/>
  <c r="B1209" i="4"/>
  <c r="B1210" i="4" a="1"/>
  <c r="B1210" i="4" s="1"/>
  <c r="B1211" i="4" a="1"/>
  <c r="B1211" i="4" s="1"/>
  <c r="B1212" i="4" a="1"/>
  <c r="B1212" i="4" s="1"/>
  <c r="B1213" i="4" a="1"/>
  <c r="B1213" i="4" s="1"/>
  <c r="B1214" i="4" a="1"/>
  <c r="B1214" i="4" s="1"/>
  <c r="B1215" i="4" a="1"/>
  <c r="B1215" i="4" s="1"/>
  <c r="B1216" i="4" a="1"/>
  <c r="B1216" i="4" s="1"/>
  <c r="B1217" i="4" a="1"/>
  <c r="B1217" i="4" s="1"/>
  <c r="B1218" i="4" a="1"/>
  <c r="B1218" i="4" s="1"/>
  <c r="B1219" i="4" a="1"/>
  <c r="B1219" i="4" s="1"/>
  <c r="B1220" i="4" a="1"/>
  <c r="B1220" i="4" s="1"/>
  <c r="B1221" i="4" a="1"/>
  <c r="B1221" i="4" s="1"/>
  <c r="B1222" i="4" a="1"/>
  <c r="B1222" i="4" s="1"/>
  <c r="B1223" i="4" a="1"/>
  <c r="B1223" i="4" s="1"/>
  <c r="B1224" i="4" a="1"/>
  <c r="B1224" i="4" s="1"/>
  <c r="B1225" i="4" a="1"/>
  <c r="B1225" i="4" s="1"/>
  <c r="B1226" i="4" a="1"/>
  <c r="B1226" i="4" s="1"/>
  <c r="B1227" i="4" a="1"/>
  <c r="B1227" i="4" s="1"/>
  <c r="B1228" i="4" a="1"/>
  <c r="B1228" i="4" s="1"/>
  <c r="B1229" i="4" a="1"/>
  <c r="B1229" i="4" s="1"/>
  <c r="B1230" i="4" a="1"/>
  <c r="B1230" i="4" s="1"/>
  <c r="B1231" i="4" a="1"/>
  <c r="B1231" i="4" s="1"/>
  <c r="B1232" i="4" a="1"/>
  <c r="B1232" i="4" s="1"/>
  <c r="B1233" i="4" a="1"/>
  <c r="B1233" i="4" s="1"/>
  <c r="B1234" i="4" a="1"/>
  <c r="B1234" i="4" s="1"/>
  <c r="B1235" i="4" a="1"/>
  <c r="B1235" i="4" s="1"/>
  <c r="B1236" i="4" a="1"/>
  <c r="B1236" i="4" s="1"/>
  <c r="B1237" i="4" a="1"/>
  <c r="B1237" i="4" s="1"/>
  <c r="B1238" i="4" a="1"/>
  <c r="B1238" i="4" s="1"/>
  <c r="B1239" i="4" a="1"/>
  <c r="B1239" i="4" s="1"/>
  <c r="B1240" i="4" a="1"/>
  <c r="B1240" i="4" s="1"/>
  <c r="B1241" i="4" a="1"/>
  <c r="B1241" i="4" s="1"/>
  <c r="B1242" i="4" a="1"/>
  <c r="B1242" i="4" s="1"/>
  <c r="B1243" i="4" a="1"/>
  <c r="B1243" i="4" s="1"/>
  <c r="B1244" i="4" a="1"/>
  <c r="B1244" i="4" s="1"/>
  <c r="B1245" i="4" a="1"/>
  <c r="B1245" i="4" s="1"/>
  <c r="B1246" i="4" a="1"/>
  <c r="B1246" i="4" s="1"/>
  <c r="B1247" i="4" a="1"/>
  <c r="B1247" i="4" s="1"/>
  <c r="B1248" i="4" a="1"/>
  <c r="B1248" i="4" s="1"/>
  <c r="B1249" i="4" a="1"/>
  <c r="B1249" i="4" s="1"/>
  <c r="B1250" i="4" a="1"/>
  <c r="B1250" i="4" s="1"/>
  <c r="B1251" i="4" a="1"/>
  <c r="B1251" i="4" s="1"/>
  <c r="B1252" i="4" a="1"/>
  <c r="B1252" i="4" s="1"/>
  <c r="B1253" i="4" a="1"/>
  <c r="B1253" i="4" s="1"/>
  <c r="B1254" i="4" a="1"/>
  <c r="B1254" i="4" s="1"/>
  <c r="B1255" i="4" a="1"/>
  <c r="B1255" i="4" s="1"/>
  <c r="B1256" i="4" a="1"/>
  <c r="B1256" i="4" s="1"/>
  <c r="B1257" i="4" a="1"/>
  <c r="B1257" i="4" s="1"/>
  <c r="B1258" i="4" a="1"/>
  <c r="B1258" i="4" s="1"/>
  <c r="B1259" i="4" a="1"/>
  <c r="B1259" i="4"/>
  <c r="B1260" i="4" a="1"/>
  <c r="B1260" i="4" s="1"/>
  <c r="B1261" i="4" a="1"/>
  <c r="B1261" i="4"/>
  <c r="B1262" i="4" a="1"/>
  <c r="B1262" i="4" s="1"/>
  <c r="B1263" i="4" a="1"/>
  <c r="B1263" i="4" s="1"/>
  <c r="B1264" i="4" a="1"/>
  <c r="B1264" i="4" s="1"/>
  <c r="B1265" i="4" a="1"/>
  <c r="B1265" i="4" s="1"/>
  <c r="B1266" i="4" a="1"/>
  <c r="B1266" i="4" s="1"/>
  <c r="B1267" i="4" a="1"/>
  <c r="B1267" i="4" s="1"/>
  <c r="B1268" i="4" a="1"/>
  <c r="B1268" i="4" s="1"/>
  <c r="B1269" i="4" a="1"/>
  <c r="B1269" i="4" s="1"/>
  <c r="B1270" i="4" a="1"/>
  <c r="B1270" i="4" s="1"/>
  <c r="B1271" i="4" a="1"/>
  <c r="B1271" i="4" s="1"/>
  <c r="B1272" i="4" a="1"/>
  <c r="B1272" i="4" s="1"/>
  <c r="B1273" i="4" a="1"/>
  <c r="B1273" i="4" s="1"/>
  <c r="B1274" i="4" a="1"/>
  <c r="B1274" i="4" s="1"/>
  <c r="B1275" i="4" a="1"/>
  <c r="B1275" i="4" s="1"/>
  <c r="B1276" i="4" a="1"/>
  <c r="B1276" i="4" s="1"/>
  <c r="B1277" i="4" a="1"/>
  <c r="B1277" i="4" s="1"/>
  <c r="B1278" i="4" a="1"/>
  <c r="B1278" i="4" s="1"/>
  <c r="B1279" i="4" a="1"/>
  <c r="B1279" i="4" s="1"/>
  <c r="B1280" i="4" a="1"/>
  <c r="B1280" i="4" s="1"/>
  <c r="B1281" i="4" a="1"/>
  <c r="B1281" i="4" s="1"/>
  <c r="B1282" i="4" a="1"/>
  <c r="B1282" i="4" s="1"/>
  <c r="B1283" i="4" a="1"/>
  <c r="B1283" i="4" s="1"/>
  <c r="B1284" i="4" a="1"/>
  <c r="B1284" i="4" s="1"/>
  <c r="B1285" i="4" a="1"/>
  <c r="B1285" i="4" s="1"/>
  <c r="B1286" i="4" a="1"/>
  <c r="B1286" i="4" s="1"/>
  <c r="B1287" i="4" a="1"/>
  <c r="B1287" i="4" s="1"/>
  <c r="B1288" i="4" a="1"/>
  <c r="B1288" i="4"/>
  <c r="B1289" i="4" a="1"/>
  <c r="B1289" i="4" s="1"/>
  <c r="B1290" i="4" a="1"/>
  <c r="B1290" i="4" s="1"/>
  <c r="B1291" i="4" a="1"/>
  <c r="B1291" i="4" s="1"/>
  <c r="B1292" i="4" a="1"/>
  <c r="B1292" i="4" s="1"/>
  <c r="B1293" i="4" a="1"/>
  <c r="B1293" i="4" s="1"/>
  <c r="B1294" i="4" a="1"/>
  <c r="B1294" i="4"/>
  <c r="B1295" i="4" a="1"/>
  <c r="B1295" i="4" s="1"/>
  <c r="B1296" i="4" a="1"/>
  <c r="B1296" i="4" s="1"/>
  <c r="B1297" i="4" a="1"/>
  <c r="B1297" i="4" s="1"/>
  <c r="B1298" i="4" a="1"/>
  <c r="B1298" i="4" s="1"/>
  <c r="B1299" i="4" a="1"/>
  <c r="B1299" i="4" s="1"/>
  <c r="B1300" i="4" a="1"/>
  <c r="B1300" i="4" s="1"/>
  <c r="B1301" i="4" a="1"/>
  <c r="B1301" i="4" s="1"/>
  <c r="B1302" i="4" a="1"/>
  <c r="B1302" i="4" s="1"/>
  <c r="B1303" i="4" a="1"/>
  <c r="B1303" i="4" s="1"/>
  <c r="B1304" i="4" a="1"/>
  <c r="B1304" i="4" s="1"/>
  <c r="B1305" i="4" a="1"/>
  <c r="B1305" i="4" s="1"/>
  <c r="B1306" i="4" a="1"/>
  <c r="B1306" i="4" s="1"/>
  <c r="B1307" i="4" a="1"/>
  <c r="B1307" i="4" s="1"/>
  <c r="B1308" i="4" a="1"/>
  <c r="B1308" i="4" s="1"/>
  <c r="B1309" i="4" a="1"/>
  <c r="B1309" i="4" s="1"/>
  <c r="B1310" i="4" a="1"/>
  <c r="B1310" i="4" s="1"/>
  <c r="B1311" i="4" a="1"/>
  <c r="B1311" i="4" s="1"/>
  <c r="B1312" i="4" a="1"/>
  <c r="B1312" i="4" s="1"/>
  <c r="B1313" i="4" a="1"/>
  <c r="B1313" i="4" s="1"/>
  <c r="B1314" i="4" a="1"/>
  <c r="B1314" i="4" s="1"/>
  <c r="B1315" i="4" a="1"/>
  <c r="B1315" i="4" s="1"/>
  <c r="B1316" i="4" a="1"/>
  <c r="B1316" i="4" s="1"/>
  <c r="B1317" i="4" a="1"/>
  <c r="B1317" i="4" s="1"/>
  <c r="B1318" i="4" a="1"/>
  <c r="B1318" i="4" s="1"/>
  <c r="B1319" i="4" a="1"/>
  <c r="B1319" i="4" s="1"/>
  <c r="B1320" i="4" a="1"/>
  <c r="B1320" i="4" s="1"/>
  <c r="B1321" i="4" a="1"/>
  <c r="B1321" i="4" s="1"/>
  <c r="B1322" i="4" a="1"/>
  <c r="B1322" i="4" s="1"/>
  <c r="B1323" i="4" a="1"/>
  <c r="B1323" i="4" s="1"/>
  <c r="B1324" i="4" a="1"/>
  <c r="B1324" i="4" s="1"/>
  <c r="B1325" i="4" a="1"/>
  <c r="B1325" i="4" s="1"/>
  <c r="B1326" i="4" a="1"/>
  <c r="B1326" i="4" s="1"/>
  <c r="B1327" i="4" a="1"/>
  <c r="B1327" i="4" s="1"/>
  <c r="B1328" i="4" a="1"/>
  <c r="B1328" i="4" s="1"/>
  <c r="B1329" i="4" a="1"/>
  <c r="B1329" i="4"/>
  <c r="B1330" i="4" a="1"/>
  <c r="B1330" i="4" s="1"/>
  <c r="B1331" i="4" a="1"/>
  <c r="B1331" i="4" s="1"/>
  <c r="B1332" i="4" a="1"/>
  <c r="B1332" i="4" s="1"/>
  <c r="B1333" i="4" a="1"/>
  <c r="B1333" i="4" s="1"/>
  <c r="B1334" i="4" a="1"/>
  <c r="B1334" i="4" s="1"/>
  <c r="B1335" i="4" a="1"/>
  <c r="B1335" i="4" s="1"/>
  <c r="B1336" i="4" a="1"/>
  <c r="B1336" i="4" s="1"/>
  <c r="B1337" i="4" a="1"/>
  <c r="B1337" i="4" s="1"/>
  <c r="B1338" i="4" a="1"/>
  <c r="B1338" i="4" s="1"/>
  <c r="B1339" i="4" a="1"/>
  <c r="B1339" i="4" s="1"/>
  <c r="B1340" i="4" a="1"/>
  <c r="B1340" i="4" s="1"/>
  <c r="B1341" i="4" a="1"/>
  <c r="B1341" i="4" s="1"/>
  <c r="B1342" i="4" a="1"/>
  <c r="B1342" i="4" s="1"/>
  <c r="B1343" i="4" a="1"/>
  <c r="B1343" i="4" s="1"/>
  <c r="B1344" i="4" a="1"/>
  <c r="B1344" i="4" s="1"/>
  <c r="B1345" i="4" a="1"/>
  <c r="B1345" i="4"/>
  <c r="B1346" i="4" a="1"/>
  <c r="B1346" i="4" s="1"/>
  <c r="B1347" i="4" a="1"/>
  <c r="B1347" i="4" s="1"/>
  <c r="B1348" i="4" a="1"/>
  <c r="B1348" i="4" s="1"/>
  <c r="B1349" i="4" a="1"/>
  <c r="B1349" i="4" s="1"/>
  <c r="B1350" i="4" a="1"/>
  <c r="B1350" i="4" s="1"/>
  <c r="B1351" i="4" a="1"/>
  <c r="B1351" i="4" s="1"/>
  <c r="B1352" i="4" a="1"/>
  <c r="B1352" i="4" s="1"/>
  <c r="B1353" i="4" a="1"/>
  <c r="B1353" i="4" s="1"/>
  <c r="B1354" i="4" a="1"/>
  <c r="B1354" i="4"/>
  <c r="B1355" i="4" a="1"/>
  <c r="B1355" i="4" s="1"/>
  <c r="B1356" i="4" a="1"/>
  <c r="B1356" i="4" s="1"/>
  <c r="B1357" i="4" a="1"/>
  <c r="B1357" i="4" s="1"/>
  <c r="B1358" i="4" a="1"/>
  <c r="B1358" i="4" s="1"/>
  <c r="B1359" i="4" a="1"/>
  <c r="B1359" i="4" s="1"/>
  <c r="B1360" i="4" a="1"/>
  <c r="B1360" i="4" s="1"/>
  <c r="B1361" i="4" a="1"/>
  <c r="B1361" i="4" s="1"/>
  <c r="B1362" i="4" a="1"/>
  <c r="B1362" i="4" s="1"/>
  <c r="B1363" i="4" a="1"/>
  <c r="B1363" i="4" s="1"/>
  <c r="B1364" i="4" a="1"/>
  <c r="B1364" i="4" s="1"/>
  <c r="B1365" i="4" a="1"/>
  <c r="B1365" i="4" s="1"/>
  <c r="B1366" i="4" a="1"/>
  <c r="B1366" i="4" s="1"/>
  <c r="B1367" i="4" a="1"/>
  <c r="B1367" i="4" s="1"/>
  <c r="B1368" i="4" a="1"/>
  <c r="B1368" i="4" s="1"/>
  <c r="B1369" i="4" a="1"/>
  <c r="B1369" i="4" s="1"/>
  <c r="B1370" i="4" a="1"/>
  <c r="B1370" i="4" s="1"/>
  <c r="B1371" i="4" a="1"/>
  <c r="B1371" i="4" s="1"/>
  <c r="B1372" i="4" a="1"/>
  <c r="B1372" i="4" s="1"/>
  <c r="B1373" i="4" a="1"/>
  <c r="B1373" i="4" s="1"/>
  <c r="B1374" i="4" a="1"/>
  <c r="B1374" i="4" s="1"/>
  <c r="B1375" i="4" a="1"/>
  <c r="B1375" i="4" s="1"/>
  <c r="B1376" i="4" a="1"/>
  <c r="B1376" i="4" s="1"/>
  <c r="B1377" i="4" a="1"/>
  <c r="B1377" i="4" s="1"/>
  <c r="B1378" i="4" a="1"/>
  <c r="B1378" i="4" s="1"/>
  <c r="B1379" i="4" a="1"/>
  <c r="B1379" i="4" s="1"/>
  <c r="B1380" i="4" a="1"/>
  <c r="B1380" i="4" s="1"/>
  <c r="B1381" i="4" a="1"/>
  <c r="B1381" i="4" s="1"/>
  <c r="B1382" i="4" a="1"/>
  <c r="B1382" i="4" s="1"/>
  <c r="B1383" i="4" a="1"/>
  <c r="B1383" i="4" s="1"/>
  <c r="B1384" i="4" a="1"/>
  <c r="B1384" i="4"/>
  <c r="B1385" i="4" a="1"/>
  <c r="B1385" i="4" s="1"/>
  <c r="B1386" i="4" a="1"/>
  <c r="B1386" i="4" s="1"/>
  <c r="B1387" i="4" a="1"/>
  <c r="B1387" i="4" s="1"/>
  <c r="B1388" i="4" a="1"/>
  <c r="B1388" i="4" s="1"/>
  <c r="B1389" i="4" a="1"/>
  <c r="B1389" i="4" s="1"/>
  <c r="B1390" i="4" a="1"/>
  <c r="B1390" i="4" s="1"/>
  <c r="B1391" i="4" a="1"/>
  <c r="B1391" i="4" s="1"/>
  <c r="B1392" i="4" a="1"/>
  <c r="B1392" i="4" s="1"/>
  <c r="B1393" i="4" a="1"/>
  <c r="B1393" i="4" s="1"/>
  <c r="B1394" i="4" a="1"/>
  <c r="B1394" i="4" s="1"/>
  <c r="B1395" i="4" a="1"/>
  <c r="B1395" i="4" s="1"/>
  <c r="B1396" i="4" a="1"/>
  <c r="B1396" i="4" s="1"/>
  <c r="B1397" i="4" a="1"/>
  <c r="B1397" i="4" s="1"/>
  <c r="B1398" i="4" a="1"/>
  <c r="B1398" i="4" s="1"/>
  <c r="B1399" i="4" a="1"/>
  <c r="B1399" i="4" s="1"/>
  <c r="B1400" i="4" a="1"/>
  <c r="B1400" i="4" s="1"/>
  <c r="B1401" i="4" a="1"/>
  <c r="B1401" i="4" s="1"/>
  <c r="B1402" i="4" a="1"/>
  <c r="B1402" i="4" s="1"/>
  <c r="B1403" i="4" a="1"/>
  <c r="B1403" i="4" s="1"/>
  <c r="B1404" i="4" a="1"/>
  <c r="B1404" i="4" s="1"/>
  <c r="B1405" i="4" a="1"/>
  <c r="B1405" i="4" s="1"/>
  <c r="B1406" i="4" a="1"/>
  <c r="B1406" i="4" s="1"/>
  <c r="B1407" i="4" a="1"/>
  <c r="B1407" i="4" s="1"/>
  <c r="B1408" i="4" a="1"/>
  <c r="B1408" i="4" s="1"/>
  <c r="B1409" i="4" a="1"/>
  <c r="B1409" i="4" s="1"/>
  <c r="B1410" i="4" a="1"/>
  <c r="B1410" i="4" s="1"/>
  <c r="B1411" i="4" a="1"/>
  <c r="B1411" i="4" s="1"/>
  <c r="B1412" i="4" a="1"/>
  <c r="B1412" i="4" s="1"/>
  <c r="B1413" i="4" a="1"/>
  <c r="B1413" i="4" s="1"/>
  <c r="B1414" i="4" a="1"/>
  <c r="B1414" i="4" s="1"/>
  <c r="B1415" i="4" a="1"/>
  <c r="B1415" i="4" s="1"/>
  <c r="B1416" i="4" a="1"/>
  <c r="B1416" i="4" s="1"/>
  <c r="B1417" i="4" a="1"/>
  <c r="B1417" i="4" s="1"/>
  <c r="B1418" i="4" a="1"/>
  <c r="B1418" i="4" s="1"/>
  <c r="B1419" i="4" a="1"/>
  <c r="B1419" i="4" s="1"/>
  <c r="B1420" i="4" a="1"/>
  <c r="B1420" i="4" s="1"/>
  <c r="B1421" i="4" a="1"/>
  <c r="B1421" i="4" s="1"/>
  <c r="B1422" i="4" a="1"/>
  <c r="B1422" i="4" s="1"/>
  <c r="B1423" i="4" a="1"/>
  <c r="B1423" i="4" s="1"/>
  <c r="B1424" i="4" a="1"/>
  <c r="B1424" i="4" s="1"/>
  <c r="B1425" i="4" a="1"/>
  <c r="B1425" i="4" s="1"/>
  <c r="B1426" i="4" a="1"/>
  <c r="B1426" i="4" s="1"/>
  <c r="B1427" i="4" a="1"/>
  <c r="B1427" i="4" s="1"/>
  <c r="B1428" i="4" a="1"/>
  <c r="B1428" i="4" s="1"/>
  <c r="B1429" i="4" a="1"/>
  <c r="B1429" i="4" s="1"/>
  <c r="B1430" i="4" a="1"/>
  <c r="B1430" i="4" s="1"/>
  <c r="B1431" i="4" a="1"/>
  <c r="B1431" i="4" s="1"/>
  <c r="B1432" i="4" a="1"/>
  <c r="B1432" i="4" s="1"/>
  <c r="B1433" i="4" a="1"/>
  <c r="B1433" i="4" s="1"/>
  <c r="B1434" i="4" a="1"/>
  <c r="B1434" i="4" s="1"/>
  <c r="B1435" i="4" a="1"/>
  <c r="B1435" i="4" s="1"/>
  <c r="B1436" i="4" a="1"/>
  <c r="B1436" i="4" s="1"/>
  <c r="B1437" i="4" a="1"/>
  <c r="B1437" i="4" s="1"/>
  <c r="B1438" i="4" a="1"/>
  <c r="B1438" i="4" s="1"/>
  <c r="B1439" i="4" a="1"/>
  <c r="B1439" i="4" s="1"/>
  <c r="B1440" i="4" a="1"/>
  <c r="B1440" i="4" s="1"/>
  <c r="B1441" i="4" a="1"/>
  <c r="B1441" i="4" s="1"/>
  <c r="B1442" i="4" a="1"/>
  <c r="B1442" i="4" s="1"/>
  <c r="B1443" i="4" a="1"/>
  <c r="B1443" i="4" s="1"/>
  <c r="B1444" i="4" a="1"/>
  <c r="B1444" i="4" s="1"/>
  <c r="B1445" i="4" a="1"/>
  <c r="B1445" i="4" s="1"/>
  <c r="B1446" i="4" a="1"/>
  <c r="B1446" i="4"/>
  <c r="B1447" i="4" a="1"/>
  <c r="B1447" i="4" s="1"/>
  <c r="B1448" i="4" a="1"/>
  <c r="B1448" i="4" s="1"/>
  <c r="B1449" i="4" a="1"/>
  <c r="B1449" i="4" s="1"/>
  <c r="B1450" i="4" a="1"/>
  <c r="B1450" i="4" s="1"/>
  <c r="B1451" i="4" a="1"/>
  <c r="B1451" i="4" s="1"/>
  <c r="B1452" i="4" a="1"/>
  <c r="B1452" i="4" s="1"/>
  <c r="B1453" i="4" a="1"/>
  <c r="B1453" i="4" s="1"/>
  <c r="B1454" i="4" a="1"/>
  <c r="B1454" i="4" s="1"/>
  <c r="B1455" i="4" a="1"/>
  <c r="B1455" i="4" s="1"/>
  <c r="B1456" i="4" a="1"/>
  <c r="B1456" i="4" s="1"/>
  <c r="B1457" i="4" a="1"/>
  <c r="B1457" i="4" s="1"/>
  <c r="B1458" i="4" a="1"/>
  <c r="B1458" i="4" s="1"/>
  <c r="B1459" i="4" a="1"/>
  <c r="B1459" i="4" s="1"/>
  <c r="B1460" i="4" a="1"/>
  <c r="B1460" i="4" s="1"/>
  <c r="B1461" i="4" a="1"/>
  <c r="B1461" i="4" s="1"/>
  <c r="B1462" i="4" a="1"/>
  <c r="B1462" i="4" s="1"/>
  <c r="B1463" i="4" a="1"/>
  <c r="B1463" i="4" s="1"/>
  <c r="B1464" i="4" a="1"/>
  <c r="B1464" i="4" s="1"/>
  <c r="B1465" i="4" a="1"/>
  <c r="B1465" i="4" s="1"/>
  <c r="B1466" i="4" a="1"/>
  <c r="B1466" i="4" s="1"/>
  <c r="B1467" i="4" a="1"/>
  <c r="B1467" i="4" s="1"/>
  <c r="B1468" i="4" a="1"/>
  <c r="B1468" i="4" s="1"/>
  <c r="B1469" i="4" a="1"/>
  <c r="B1469" i="4" s="1"/>
  <c r="B1470" i="4" a="1"/>
  <c r="B1470" i="4" s="1"/>
  <c r="B1471" i="4" a="1"/>
  <c r="B1471" i="4" s="1"/>
  <c r="AE6" i="4"/>
  <c r="AE5" i="4"/>
  <c r="D8" i="3" l="1"/>
  <c r="AE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tc={AE0DB5AC-81A2-43A4-AE53-A01216B816B3}</author>
    <author>tc={0B81E15E-DD9A-4236-81B4-4D48BE63AF1E}</author>
    <author>tc={F091E525-EDF3-41D0-A539-0FDB33165514}</author>
    <author>tc={B213066B-9631-47F1-B89F-A27C68CD14C5}</author>
    <author>tc={218F79AB-C068-4DAA-9564-A3F90933637B}</author>
    <author>tc={3F931918-7A11-44F1-8206-7170F411E256}</author>
    <author>tc={6EEA4F11-4A76-4CAF-9872-8723892F276C}</author>
    <author>tc={570925F2-C19B-4467-B9CF-D1F34F231D59}</author>
    <author>tc={4801515A-9B18-46AA-A067-73C8AD4607B4}</author>
  </authors>
  <commentList>
    <comment ref="B1" authorId="0" shapeId="0" xr:uid="{AE0DB5AC-81A2-43A4-AE53-A01216B816B3}">
      <text>
        <t>[Threaded comment]
Your version of Excel allows you to read this threaded comment; however, any edits to it will get removed if the file is opened in a newer version of Excel. Learn more: https://go.microsoft.com/fwlink/?linkid=870924
Comment:
    Attrition Yes/No Count</t>
      </text>
    </comment>
    <comment ref="F1" authorId="1" shapeId="0" xr:uid="{0B81E15E-DD9A-4236-81B4-4D48BE63AF1E}">
      <text>
        <t xml:space="preserve">[Threaded comment]
Your version of Excel allows you to read this threaded comment; however, any edits to it will get removed if the file is opened in a newer version of Excel. Learn more: https://go.microsoft.com/fwlink/?linkid=870924
Comment:
    Job Satisfaction count
</t>
      </text>
    </comment>
    <comment ref="C8" authorId="2" shapeId="0" xr:uid="{F091E525-EDF3-41D0-A539-0FDB33165514}">
      <text>
        <t xml:space="preserve">[Threaded comment]
Your version of Excel allows you to read this threaded comment; however, any edits to it will get removed if the file is opened in a newer version of Excel. Learn more: https://go.microsoft.com/fwlink/?linkid=870924
Comment:
    Calculated Inter-quartile range because the data set has some outliers.
</t>
      </text>
    </comment>
    <comment ref="B10" authorId="3" shapeId="0" xr:uid="{B213066B-9631-47F1-B89F-A27C68CD14C5}">
      <text>
        <t xml:space="preserve">[Threaded comment]
Your version of Excel allows you to read this threaded comment; however, any edits to it will get removed if the file is opened in a newer version of Excel. Learn more: https://go.microsoft.com/fwlink/?linkid=870924
Comment:
    Different Age range Attrition
I used a Label filter, “ to filter and show data that falls under the “Yes” Attrition
</t>
      </text>
    </comment>
    <comment ref="G12" authorId="4" shapeId="0" xr:uid="{218F79AB-C068-4DAA-9564-A3F90933637B}">
      <text>
        <t xml:space="preserve">[Threaded comment]
Your version of Excel allows you to read this threaded comment; however, any edits to it will get removed if the file is opened in a newer version of Excel. Learn more: https://go.microsoft.com/fwlink/?linkid=870924
Comment:
    Departments with respect to attrition and filtered result for “Yes”
</t>
      </text>
    </comment>
    <comment ref="A20" authorId="5" shapeId="0" xr:uid="{3F931918-7A11-44F1-8206-7170F411E256}">
      <text>
        <t xml:space="preserve">[Threaded comment]
Your version of Excel allows you to read this threaded comment; however, any edits to it will get removed if the file is opened in a newer version of Excel. Learn more: https://go.microsoft.com/fwlink/?linkid=870924
Comment:
    In this analysis, 
I compared the different Job roles, Average Monthly Income and Attrition.
I filtered my result for “Yes” to attrition
When I filter it to “No”, It reflects the actual turnover
</t>
      </text>
    </comment>
    <comment ref="C33" authorId="6" shapeId="0" xr:uid="{6EEA4F11-4A76-4CAF-9872-8723892F276C}">
      <text>
        <t>[Threaded comment]
Your version of Excel allows you to read this threaded comment; however, any edits to it will get removed if the file is opened in a newer version of Excel. Learn more: https://go.microsoft.com/fwlink/?linkid=870924
Comment:
    Attrition with respect to Job Satisfaction.
Field values are calculated as”% of Row total” ie with respect to individual rating
From the “Pivot table options”, I unselected the totals</t>
      </text>
    </comment>
    <comment ref="A44" authorId="7" shapeId="0" xr:uid="{570925F2-C19B-4467-B9CF-D1F34F231D59}">
      <text>
        <t>[Threaded comment]
Your version of Excel allows you to read this threaded comment; however, any edits to it will get removed if the file is opened in a newer version of Excel. Learn more: https://go.microsoft.com/fwlink/?linkid=870924
Comment:
    Analysis of Attrition and Overtime.
I filtered for “Yes” Overtime before generating the column chat.
From Design ribbon ,
I added extra chat element “Trendline”</t>
      </text>
    </comment>
    <comment ref="B51" authorId="8" shapeId="0" xr:uid="{4801515A-9B18-46AA-A067-73C8AD4607B4}">
      <text>
        <t>[Threaded comment]
Your version of Excel allows you to read this threaded comment; however, any edits to it will get removed if the file is opened in a newer version of Excel. Learn more: https://go.microsoft.com/fwlink/?linkid=870924
Comment:
    Turnover for different Job roles for the last 5 years. (using number of years in the company)
Last 2 years has the highest %.
Field values are calculated as”% of Row total” ie with respect to each Year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<sst xmlns="http://schemas.openxmlformats.org/spreadsheetml/2006/main" count="25133" uniqueCount="98">
  <si>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</si>
  <si>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</si>
  <si>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</si>
  <si>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</si>
  <si>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</si>
  <si>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</si>
  <si>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</si>
  <si>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</si>
  <si>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</si>
  <si>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</si>
  <si>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</si>
  <si>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</si>
  <si>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</si>
  <si>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</si>
  <si>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</si>
  <si>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</si>
  <si>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</si>
  <si>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</si>
  <si>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</si>
  <si>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</si>
  <si>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</si>
  <si>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</si>
  <si>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</si>
  <si>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</si>
  <si>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</si>
  <si>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</si>
  <si>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</si>
  <si>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</si>
  <si>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</si>
  <si>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</si>
  <si>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</si>
  <si>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</si>
  <si>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</si>
  <si>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</si>
  <si>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</si>
  <si>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</si>
  <si>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</si>
  <si>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</si>
  <si>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</si>
  <si>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</si>
  <si>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</si>
  <si>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</si>
  <si>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</si>
  <si>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</si>
  <si>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</si>
  <si>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</si>
  <si>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</si>
  <si>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</si>
  <si>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</si>
  <si>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</si>
  <si>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</si>
  <si>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</si>
  <si>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</si>
  <si>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</si>
  <si>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</si>
  <si>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</si>
  <si>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</si>
  <si>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</si>
  <si>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</si>
  <si>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</si>
  <si>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</si>
  <si>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</si>
  <si>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Grand Total</t>
  </si>
  <si>
    <t>Age Brackets</t>
  </si>
  <si>
    <t>Min Age</t>
  </si>
  <si>
    <t>Max Age</t>
  </si>
  <si>
    <t xml:space="preserve">Interval </t>
  </si>
  <si>
    <t>For Ages</t>
  </si>
  <si>
    <t>Age Groups</t>
  </si>
  <si>
    <t>#104862</t>
  </si>
  <si>
    <t>#0E2841</t>
  </si>
  <si>
    <t>#46B1E1</t>
  </si>
  <si>
    <t>Row Labels</t>
  </si>
  <si>
    <t>Column Labels</t>
  </si>
  <si>
    <t>Count of EmployeeNumber</t>
  </si>
  <si>
    <t>Average of MonthlyIncome</t>
  </si>
  <si>
    <t>Attrition rate</t>
  </si>
  <si>
    <t>JS_percentage</t>
  </si>
  <si>
    <t>KPIs</t>
  </si>
  <si>
    <t>(21-30)yrs</t>
  </si>
  <si>
    <t>(31-40)yrs</t>
  </si>
  <si>
    <t>(41-50)yrs</t>
  </si>
  <si>
    <t>(51-60)yrs</t>
  </si>
  <si>
    <t>Under 20yrs</t>
  </si>
  <si>
    <t>`</t>
  </si>
  <si>
    <t>Count of Age Groups</t>
  </si>
  <si>
    <t>#E97132</t>
  </si>
  <si>
    <t>#025043</t>
  </si>
  <si>
    <t>Count of Attrition</t>
  </si>
  <si>
    <t>Count of JobRole</t>
  </si>
  <si>
    <t>Q3</t>
  </si>
  <si>
    <t>Q1</t>
  </si>
  <si>
    <t>Inter- quartile Average Monthly_Income</t>
  </si>
  <si>
    <t>Count of JobSatisfaction</t>
  </si>
  <si>
    <t>#03836E</t>
  </si>
  <si>
    <t>Count of YearsInCurrentRole</t>
  </si>
  <si>
    <t>Average in last 5 years</t>
  </si>
  <si>
    <t>Average in last 2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</si>
</sst>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0.0"/>
    <numFmt numFmtId="165" formatCode="_-* #,##0_-;\-* #,##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FFF00"/>
        <bgColor indexed="64"/>
      </patternFill>
    </fill>
    <fill>
      <patternFill patternType="solid">
        <fgColor rgb="FF104862"/>
        <bgColor indexed="64"/>
      </patternFill>
    </fill>
    <fill>
      <patternFill patternType="solid">
        <fgColor rgb="FF0E2841"/>
        <bgColor indexed="64"/>
      </patternFill>
    </fill>
    <fill>
      <patternFill patternType="solid">
        <fgColor rgb="FF46B1E1"/>
        <bgColor indexed="64"/>
      </patternFill>
    </fill>
    <fill>
      <patternFill patternType="solid">
        <fgColor rgb="FFE97132"/>
        <bgColor indexed="64"/>
      </patternFill>
    </fill>
    <fill>
      <patternFill patternType="solid">
        <fgColor rgb="FF025043"/>
        <bgColor indexed="64"/>
      </patternFill>
    </fill>
    <fill>
      <patternFill patternType="solid">
        <fgColor rgb="FF03836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5">
    <xf numFmtId="0" fontId="0" fillId="0" borderId="0" xfId="0"/>
    <xf numFmtId="0" fontId="16" fillId="0" borderId="0" xfId="0" applyFont="1"/>
    <xf numFmtId="1" fontId="0" fillId="0" borderId="0" xfId="0" applyNumberFormat="1"/>
    <xf numFmtId="0" fontId="0" fillId="0" borderId="0" xfId="0" pivotButton="1"/>
    <xf numFmtId="0" fontId="0" fillId="0" borderId="0" xfId="42" applyNumberFormat="1" applyFont="1"/>
    <xf numFmtId="1" fontId="16" fillId="33" borderId="0" xfId="0" applyNumberFormat="1" applyFont="1" applyFill="1"/>
    <xf numFmtId="0" fontId="16" fillId="33" borderId="0" xfId="0" applyFont="1" applyFill="1"/>
    <xf numFmtId="0" fontId="0" fillId="0" borderId="0" xfId="0" applyAlignment="1">
      <alignment horizontal="left"/>
    </xf>
    <xf numFmtId="1" fontId="0" fillId="0" borderId="0" xfId="0" applyNumberFormat="1" applyAlignment="1">
      <alignment horizontal="left"/>
    </xf>
    <xf numFmtId="9" fontId="0" fillId="0" borderId="0" xfId="0" applyNumberFormat="1"/>
    <xf numFmtId="9" fontId="0" fillId="0" borderId="0" xfId="42" applyFont="1"/>
    <xf numFmtId="9" fontId="0" fillId="34" borderId="0" xfId="0" applyNumberFormat="1" applyFill="1"/>
    <xf numFmtId="0" fontId="16" fillId="34" borderId="0" xfId="0" applyFont="1" applyFill="1"/>
    <xf numFmtId="164" fontId="0" fillId="0" borderId="0" xfId="0" applyNumberFormat="1"/>
    <xf numFmtId="164" fontId="0" fillId="34" borderId="0" xfId="0" applyNumberFormat="1" applyFill="1"/>
    <xf numFmtId="165" fontId="0" fillId="0" borderId="0" xfId="0" applyNumberFormat="1"/>
    <xf numFmtId="165" fontId="0" fillId="34" borderId="0" xfId="0" applyNumberFormat="1" applyFill="1"/>
    <xf numFmtId="0" fontId="0" fillId="33" borderId="0" xfId="0" applyFill="1"/>
    <xf numFmtId="164" fontId="0" fillId="33" borderId="0" xfId="0" applyNumberFormat="1"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54">
    <dxf>
      <numFmt numFmtId="13" formatCode="0%"/>
    </dxf>
    <dxf>
      <numFmt numFmtId="13" formatCode="0%"/>
    </dxf>
    <dxf>
      <numFmt numFmtId="0" formatCode="General"/>
    </dxf>
    <dxf>
      <numFmt numFmtId="164" formatCode="[&gt;=1000000]\$0.0,,&quot;M&quot;;[&gt;=1000]\$0.0,&quot;K&quot;;\$0.0"/>
    </dxf>
    <dxf>
      <numFmt numFmtId="14" formatCode="0.00%"/>
    </dxf>
    <dxf>
      <numFmt numFmtId="13" formatCode="0%"/>
    </dxf>
    <dxf>
      <numFmt numFmtId="13" formatCode="0%"/>
    </dxf>
    <dxf>
      <numFmt numFmtId="13" formatCode="0%"/>
    </dxf>
    <dxf>
      <fill>
        <patternFill patternType="solid">
          <bgColor rgb="FFFFFF00"/>
        </patternFill>
      </fill>
    </dxf>
    <dxf>
      <numFmt numFmtId="164" formatCode="[&gt;=1000000]\$0.0,,&quot;M&quot;;[&gt;=1000]\$0.0,&quot;K&quot;;\$0.0"/>
    </dxf>
    <dxf>
      <numFmt numFmtId="165" formatCode="_-* #,##0_-;\-* #,##0_-;_-* &quot;-&quot;??_-;_-@_-"/>
    </dxf>
    <dxf>
      <numFmt numFmtId="165" formatCode="_-* #,##0_-;\-* #,##0_-;_-* &quot;-&quot;??_-;_-@_-"/>
    </dxf>
    <dxf>
      <numFmt numFmtId="13" formatCode="0%"/>
    </dxf>
    <dxf>
      <numFmt numFmtId="13" formatCode="0%"/>
    </dxf>
    <dxf>
      <numFmt numFmtId="0" formatCode="General"/>
    </dxf>
    <dxf>
      <numFmt numFmtId="164" formatCode="[&gt;=1000000]\$0.0,,&quot;M&quot;;[&gt;=1000]\$0.0,&quot;K&quot;;\$0.0"/>
    </dxf>
    <dxf>
      <numFmt numFmtId="14" formatCode="0.00%"/>
    </dxf>
    <dxf>
      <numFmt numFmtId="13" formatCode="0%"/>
    </dxf>
    <dxf>
      <numFmt numFmtId="13" formatCode="0%"/>
    </dxf>
    <dxf>
      <numFmt numFmtId="13" formatCode="0%"/>
    </dxf>
    <dxf>
      <numFmt numFmtId="13" formatCode="0%"/>
    </dxf>
    <dxf>
      <fill>
        <patternFill patternType="solid">
          <bgColor rgb="FFFFFF00"/>
        </patternFill>
      </fill>
    </dxf>
    <dxf>
      <numFmt numFmtId="164" formatCode="[&gt;=1000000]\$0.0,,&quot;M&quot;;[&gt;=1000]\$0.0,&quot;K&quot;;\$0.0"/>
    </dxf>
    <dxf>
      <numFmt numFmtId="165" formatCode="_-* #,##0_-;\-* #,##0_-;_-* &quot;-&quot;??_-;_-@_-"/>
    </dxf>
    <dxf>
      <numFmt numFmtId="165" formatCode="_-* #,##0_-;\-* #,##0_-;_-* &quot;-&quot;??_-;_-@_-"/>
    </dxf>
    <dxf>
      <numFmt numFmtId="13" formatCode="0%"/>
    </dxf>
    <dxf>
      <numFmt numFmtId="13" formatCode="0%"/>
    </dxf>
    <dxf>
      <numFmt numFmtId="13" formatCode="0%"/>
    </dxf>
    <dxf>
      <numFmt numFmtId="13" formatCode="0%"/>
    </dxf>
    <dxf>
      <numFmt numFmtId="13" formatCode="0%"/>
    </dxf>
    <dxf>
      <numFmt numFmtId="165" formatCode="_-* #,##0_-;\-* #,##0_-;_-* &quot;-&quot;??_-;_-@_-"/>
    </dxf>
    <dxf>
      <numFmt numFmtId="165" formatCode="_-* #,##0_-;\-* #,##0_-;_-* &quot;-&quot;??_-;_-@_-"/>
    </dxf>
    <dxf>
      <numFmt numFmtId="164" formatCode="[&gt;=1000000]\$0.0,,&quot;M&quot;;[&gt;=1000]\$0.0,&quot;K&quot;;\$0.0"/>
    </dxf>
    <dxf>
      <fill>
        <patternFill patternType="solid">
          <bgColor rgb="FFFFFF00"/>
        </patternFill>
      </fill>
    </dxf>
    <dxf>
      <numFmt numFmtId="13" formatCode="0%"/>
    </dxf>
    <dxf>
      <numFmt numFmtId="14" formatCode="0.00%"/>
    </dxf>
    <dxf>
      <numFmt numFmtId="164" formatCode="[&gt;=1000000]\$0.0,,&quot;M&quot;;[&gt;=1000]\$0.0,&quot;K&quot;;\$0.0"/>
    </dxf>
    <dxf>
      <numFmt numFmtId="0" formatCode="General"/>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Aptos Narrow"/>
        <family val="2"/>
        <scheme val="minor"/>
      </font>
      <fill>
        <patternFill patternType="solid">
          <fgColor indexed="64"/>
          <bgColor rgb="FFFFC000"/>
        </patternFill>
      </fill>
    </dxf>
    <dxf>
      <font>
        <b/>
        <i/>
        <color theme="1"/>
      </font>
    </dxf>
    <dxf>
      <font>
        <b/>
        <i val="0"/>
        <sz val="10"/>
        <color theme="0" tint="-4.9989318521683403E-2"/>
      </font>
      <fill>
        <patternFill patternType="solid">
          <fgColor auto="1"/>
          <bgColor rgb="FF03836E"/>
        </patternFill>
      </fill>
    </dxf>
  </dxfs>
  <tableStyles count="1" defaultTableStyle="TableStyleMedium2" defaultPivotStyle="PivotStyleLight16">
    <tableStyle name="Slicer Style_HR" pivot="0" table="0" count="8" xr9:uid="{E11DC756-0B3B-4AD3-AA77-10E5CA45E554}">
      <tableStyleElement type="wholeTable" dxfId="53"/>
      <tableStyleElement type="headerRow" dxfId="52"/>
    </tableStyle>
  </tableStyles>
  <colors>
    <mruColors>
      <color rgb="FF025043"/>
      <color rgb="FF03836E"/>
      <color rgb="FFC04F15"/>
      <color rgb="FF04C8A7"/>
      <color rgb="FF104862"/>
      <color rgb="FF01251F"/>
      <color rgb="FFE97132"/>
      <color rgb="FF46B1E1"/>
      <color rgb="FF0E2841"/>
      <color rgb="FFFFFFFF"/>
    </mruColors>
  </colors>
  <extLst>
    <ext xmlns:x14="http://schemas.microsoft.com/office/spreadsheetml/2009/9/main" uri="{46F421CA-312F-682f-3DD2-61675219B42D}">
      <x14:dxfs count="6">
        <dxf>
          <fill>
            <patternFill>
              <bgColor theme="5" tint="0.39994506668294322"/>
            </patternFill>
          </fill>
        </dxf>
        <dxf>
          <fill>
            <patternFill>
              <bgColor theme="5" tint="0.39994506668294322"/>
            </patternFill>
          </fill>
        </dxf>
        <dxf>
          <fill>
            <patternFill>
              <bgColor theme="4"/>
            </patternFill>
          </fill>
        </dxf>
        <dxf>
          <fill>
            <patternFill>
              <bgColor theme="4"/>
            </patternFill>
          </fill>
        </dxf>
        <dxf>
          <font>
            <b/>
            <i val="0"/>
          </font>
          <fill>
            <patternFill>
              <bgColor theme="5"/>
            </patternFill>
          </fill>
        </dxf>
        <dxf>
          <fill>
            <patternFill patternType="darkGray">
              <fgColor rgb="FF04C8A7"/>
              <bgColor theme="7" tint="-0.49998474074526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_HR">
        <x14:slicerStyle name="Slicer Style_HR">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[HR-Employee-Attrition.xlsx]Pivots-workings!PivotTable4</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w="19050">
            <a:noFill/>
          </a:ln>
          <a:effectLst/>
        </c:spPr>
        <c:dLbl>
          <c:idx val="0"/>
          <c:layout>
            <c:manualLayout>
              <c:x val="8.2114918211601662E-2"/>
              <c:y val="0.1372882140122188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25043"/>
          </a:solidFill>
          <a:ln w="19050">
            <a:noFill/>
          </a:ln>
          <a:effectLst/>
        </c:spPr>
        <c:dLbl>
          <c:idx val="0"/>
          <c:layout>
            <c:manualLayout>
              <c:x val="0.20939304143958443"/>
              <c:y val="6.04068141653762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3836E">
              <a:alpha val="60000"/>
            </a:srgbClr>
          </a:solidFill>
          <a:ln w="19050">
            <a:noFill/>
          </a:ln>
          <a:effectLst/>
        </c:spPr>
        <c:dLbl>
          <c:idx val="0"/>
          <c:layout>
            <c:manualLayout>
              <c:x val="-4.5163205016380964E-2"/>
              <c:y val="-0.1702373853751514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tint val="77000"/>
            </a:schemeClr>
          </a:solidFill>
          <a:ln w="19050">
            <a:noFill/>
          </a:ln>
          <a:effectLst/>
        </c:spPr>
        <c:dLbl>
          <c:idx val="0"/>
          <c:layout>
            <c:manualLayout>
              <c:x val="7.8009172301021654E-2"/>
              <c:y val="-0.1372882140122188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tint val="54000"/>
            </a:schemeClr>
          </a:solidFill>
          <a:ln w="19050">
            <a:noFill/>
          </a:ln>
          <a:effectLst/>
        </c:spPr>
        <c:dLbl>
          <c:idx val="0"/>
          <c:layout>
            <c:manualLayout>
              <c:x val="8.6220664122181823E-2"/>
              <c:y val="-0.1263051568912413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56915854192352E-2"/>
          <c:y val="0.15149527404240931"/>
          <c:w val="0.52472305612328363"/>
          <c:h val="0.7018290249337017"/>
        </c:manualLayout>
      </c:layout>
      <c:doughnutChart>
        <c:varyColors val="1"/>
        <c:ser>
          <c:idx val="0"/>
          <c:order val="0"/>
          <c:tx>
            <c:strRef>
              <c:f>'Pivots-workings'!$B$11:$B$12</c:f>
              <c:strCache>
                <c:ptCount val="1"/>
                <c:pt idx="0">
                  <c:v>Yes</c:v>
                </c:pt>
              </c:strCache>
            </c:strRef>
          </c:tx>
          <c:spPr>
            <a:ln>
              <a:noFill/>
            </a:ln>
          </c:spPr>
          <c:dPt>
            <c:idx val="0"/>
            <c:bubble3D val="0"/>
            <c:spPr>
              <a:solidFill>
                <a:schemeClr val="accent2">
                  <a:lumMod val="75000"/>
                </a:schemeClr>
              </a:solidFill>
              <a:ln w="19050">
                <a:noFill/>
              </a:ln>
              <a:effectLst/>
            </c:spPr>
            <c:extLst>
              <c:ext xmlns:c16="http://schemas.microsoft.com/office/drawing/2014/chart" uri="{C3380CC4-5D6E-409C-BE32-E72D297353CC}">
                <c16:uniqueId val="{00000001-0DFA-43EF-8D44-C9F28628B7A5}"/>
              </c:ext>
            </c:extLst>
          </c:dPt>
          <c:dPt>
            <c:idx val="1"/>
            <c:bubble3D val="0"/>
            <c:spPr>
              <a:solidFill>
                <a:srgbClr val="025043"/>
              </a:solidFill>
              <a:ln w="19050">
                <a:noFill/>
              </a:ln>
              <a:effectLst/>
            </c:spPr>
            <c:extLst>
              <c:ext xmlns:c16="http://schemas.microsoft.com/office/drawing/2014/chart" uri="{C3380CC4-5D6E-409C-BE32-E72D297353CC}">
                <c16:uniqueId val="{00000003-0DFA-43EF-8D44-C9F28628B7A5}"/>
              </c:ext>
            </c:extLst>
          </c:dPt>
          <c:dPt>
            <c:idx val="2"/>
            <c:bubble3D val="0"/>
            <c:spPr>
              <a:solidFill>
                <a:srgbClr val="03836E">
                  <a:alpha val="60000"/>
                </a:srgbClr>
              </a:solidFill>
              <a:ln w="19050">
                <a:noFill/>
              </a:ln>
              <a:effectLst/>
            </c:spPr>
            <c:extLst>
              <c:ext xmlns:c16="http://schemas.microsoft.com/office/drawing/2014/chart" uri="{C3380CC4-5D6E-409C-BE32-E72D297353CC}">
                <c16:uniqueId val="{00000005-0DFA-43EF-8D44-C9F28628B7A5}"/>
              </c:ext>
            </c:extLst>
          </c:dPt>
          <c:dPt>
            <c:idx val="3"/>
            <c:bubble3D val="0"/>
            <c:spPr>
              <a:solidFill>
                <a:schemeClr val="accent1">
                  <a:tint val="77000"/>
                </a:schemeClr>
              </a:solidFill>
              <a:ln w="19050">
                <a:noFill/>
              </a:ln>
              <a:effectLst/>
            </c:spPr>
            <c:extLst>
              <c:ext xmlns:c16="http://schemas.microsoft.com/office/drawing/2014/chart" uri="{C3380CC4-5D6E-409C-BE32-E72D297353CC}">
                <c16:uniqueId val="{00000007-0DFA-43EF-8D44-C9F28628B7A5}"/>
              </c:ext>
            </c:extLst>
          </c:dPt>
          <c:dPt>
            <c:idx val="4"/>
            <c:bubble3D val="0"/>
            <c:spPr>
              <a:solidFill>
                <a:schemeClr val="accent1">
                  <a:tint val="54000"/>
                </a:schemeClr>
              </a:solidFill>
              <a:ln w="19050">
                <a:noFill/>
              </a:ln>
              <a:effectLst/>
            </c:spPr>
            <c:extLst>
              <c:ext xmlns:c16="http://schemas.microsoft.com/office/drawing/2014/chart" uri="{C3380CC4-5D6E-409C-BE32-E72D297353CC}">
                <c16:uniqueId val="{00000009-0DFA-43EF-8D44-C9F28628B7A5}"/>
              </c:ext>
            </c:extLst>
          </c:dPt>
          <c:dLbls>
            <c:dLbl>
              <c:idx val="0"/>
              <c:layout>
                <c:manualLayout>
                  <c:x val="8.2114918211601662E-2"/>
                  <c:y val="0.137288214012218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FA-43EF-8D44-C9F28628B7A5}"/>
                </c:ext>
              </c:extLst>
            </c:dLbl>
            <c:dLbl>
              <c:idx val="1"/>
              <c:layout>
                <c:manualLayout>
                  <c:x val="0.20939304143958443"/>
                  <c:y val="6.04068141653762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FA-43EF-8D44-C9F28628B7A5}"/>
                </c:ext>
              </c:extLst>
            </c:dLbl>
            <c:dLbl>
              <c:idx val="2"/>
              <c:layout>
                <c:manualLayout>
                  <c:x val="-4.5163205016380964E-2"/>
                  <c:y val="-0.170237385375151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FA-43EF-8D44-C9F28628B7A5}"/>
                </c:ext>
              </c:extLst>
            </c:dLbl>
            <c:dLbl>
              <c:idx val="3"/>
              <c:layout>
                <c:manualLayout>
                  <c:x val="7.8009172301021654E-2"/>
                  <c:y val="-0.137288214012218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FA-43EF-8D44-C9F28628B7A5}"/>
                </c:ext>
              </c:extLst>
            </c:dLbl>
            <c:dLbl>
              <c:idx val="4"/>
              <c:layout>
                <c:manualLayout>
                  <c:x val="8.6220664122181823E-2"/>
                  <c:y val="-0.12630515689124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FA-43EF-8D44-C9F28628B7A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'Pivots-workings'!$A$13:$A$17</c:f>
              <c:strCache>
                <c:ptCount val="5"/>
                <c:pt idx="0">
                  <c:v>Under 20yrs</c:v>
                </c:pt>
                <c:pt idx="1">
                  <c:v>(21-30)yrs</c:v>
                </c:pt>
                <c:pt idx="2">
                  <c:v>(31-40)yrs</c:v>
                </c:pt>
                <c:pt idx="3">
                  <c:v>(41-50)yrs</c:v>
                </c:pt>
                <c:pt idx="4">
                  <c:v>(51-60)yrs</c:v>
                </c:pt>
              </c:strCache>
            </c:strRef>
          </c:cat>
          <c:val>
            <c:numRef>
              <c:f>'Pivots-workings'!$B$13:$B$17</c:f>
              <c:numCache>
                <c:formatCode>0%</c:formatCode>
                <c:ptCount val="5"/>
                <c:pt idx="0">
                  <c:v>6.7510548523206745E-2</c:v>
                </c:pt>
                <c:pt idx="1">
                  <c:v>0.35443037974683544</c:v>
                </c:pt>
                <c:pt idx="2">
                  <c:v>0.35864978902953587</c:v>
                </c:pt>
                <c:pt idx="3">
                  <c:v>0.14345991561181434</c:v>
                </c:pt>
                <c:pt idx="4">
                  <c:v>7.5949367088607597E-2</c:v>
                </c:pt>
              </c:numCache>
            </c:numRef>
          </c:val>
          <c:extLst>
            <c:ext xmlns:c16="http://schemas.microsoft.com/office/drawing/2014/chart" uri="{C3380CC4-5D6E-409C-BE32-E72D297353CC}">
              <c16:uniqueId val="{0000000C-EB8B-4247-8F96-B33451F3054F}"/>
            </c:ext>
          </c:extLst>
        </c:ser>
        <c:dLbls>
          <c:showLegendKey val="0"/>
          <c:showVal val="1"/>
          <c:showCatName val="0"/>
          <c:showSerName val="0"/>
          <c:showPercent val="0"/>
          <c:showBubbleSize val="0"/>
          <c:showLeaderLines val="1"/>
        </c:dLbls>
        <c:firstSliceAng val="90"/>
        <c:holeSize val="80"/>
      </c:doughnutChart>
      <c:spPr>
        <a:noFill/>
        <a:ln>
          <a:noFill/>
        </a:ln>
        <a:effectLst/>
      </c:spPr>
    </c:plotArea>
    <c:legend>
      <c:legendPos val="r"/>
      <c:layout>
        <c:manualLayout>
          <c:xMode val="edge"/>
          <c:yMode val="edge"/>
          <c:x val="0.75323755845838614"/>
          <c:y val="0.26283277257764137"/>
          <c:w val="0.24676244154161384"/>
          <c:h val="0.463350965319916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[HR-Employee-Attrition.xlsx]Pivots-workings!PivotTable2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251F">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1251F">
              <a:alpha val="70000"/>
            </a:srgbClr>
          </a:solidFill>
          <a:ln>
            <a:noFill/>
          </a:ln>
          <a:effectLst/>
        </c:spPr>
      </c:pivotFmt>
      <c:pivotFmt>
        <c:idx val="6"/>
        <c:spPr>
          <a:solidFill>
            <a:srgbClr val="01251F">
              <a:alpha val="70000"/>
            </a:srgbClr>
          </a:solidFill>
          <a:ln>
            <a:noFill/>
          </a:ln>
          <a:effectLst/>
        </c:spPr>
      </c:pivotFmt>
    </c:pivotFmts>
    <c:plotArea>
      <c:layout/>
      <c:barChart>
        <c:barDir val="col"/>
        <c:grouping val="clustered"/>
        <c:varyColors val="0"/>
        <c:ser>
          <c:idx val="0"/>
          <c:order val="0"/>
          <c:tx>
            <c:strRef>
              <c:f>'Pivots-workings'!$G$13:$G$14</c:f>
              <c:strCache>
                <c:ptCount val="1"/>
                <c:pt idx="0">
                  <c:v>Yes</c:v>
                </c:pt>
              </c:strCache>
            </c:strRef>
          </c:tx>
          <c:spPr>
            <a:solidFill>
              <a:srgbClr val="01251F">
                <a:alpha val="7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'Pivots-workings'!$F$15:$F$17</c:f>
              <c:strCache>
                <c:ptCount val="3"/>
                <c:pt idx="0">
                  <c:v>Human Resources</c:v>
                </c:pt>
                <c:pt idx="1">
                  <c:v>Research &amp; Development</c:v>
                </c:pt>
                <c:pt idx="2">
                  <c:v>Sales</c:v>
                </c:pt>
              </c:strCache>
            </c:strRef>
          </c:cat>
          <c:val>
            <c:numRef>
              <c:f>'Pivots-workings'!$G$15:$G$17</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2-E5BE-488B-94C3-5A9D667DD635}"/>
            </c:ext>
          </c:extLst>
        </c:ser>
        <c:dLbls>
          <c:showLegendKey val="0"/>
          <c:showVal val="1"/>
          <c:showCatName val="0"/>
          <c:showSerName val="0"/>
          <c:showPercent val="0"/>
          <c:showBubbleSize val="0"/>
        </c:dLbls>
        <c:gapWidth val="219"/>
        <c:overlap val="-27"/>
        <c:axId val="1359113120"/>
        <c:axId val="1359106880"/>
      </c:barChart>
      <c:catAx>
        <c:axId val="135911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59106880"/>
        <c:crosses val="autoZero"/>
        <c:auto val="1"/>
        <c:lblAlgn val="ctr"/>
        <c:lblOffset val="100"/>
        <c:noMultiLvlLbl val="0"/>
      </c:catAx>
      <c:valAx>
        <c:axId val="1359106880"/>
        <c:scaling>
          <c:orientation val="minMax"/>
        </c:scaling>
        <c:delete val="1"/>
        <c:axPos val="l"/>
        <c:numFmt formatCode="0%" sourceLinked="1"/>
        <c:majorTickMark val="none"/>
        <c:minorTickMark val="none"/>
        <c:tickLblPos val="nextTo"/>
        <c:crossAx val="135911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[HR-Employee-Attrition.xlsx]Pivots-workings!PivotTable5</c:name>
    <c:fmtId val="2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50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5.2629842086992756E-2"/>
              <c:y val="-3.77093151681038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5.2629842086992722E-2"/>
              <c:y val="-5.513366672840649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41950671787479"/>
          <c:y val="6.136090313410586E-2"/>
          <c:w val="0.64694952343281487"/>
          <c:h val="0.45687518832131152"/>
        </c:manualLayout>
      </c:layout>
      <c:barChart>
        <c:barDir val="col"/>
        <c:grouping val="clustered"/>
        <c:varyColors val="0"/>
        <c:ser>
          <c:idx val="0"/>
          <c:order val="0"/>
          <c:tx>
            <c:strRef>
              <c:f>'Pivots-workings'!$B$21</c:f>
              <c:strCache>
                <c:ptCount val="1"/>
                <c:pt idx="0">
                  <c:v>Average of MonthlyIncome</c:v>
                </c:pt>
              </c:strCache>
            </c:strRef>
          </c:tx>
          <c:spPr>
            <a:solidFill>
              <a:srgbClr val="025043"/>
            </a:solidFill>
            <a:ln>
              <a:noFill/>
            </a:ln>
            <a:effectLst/>
          </c:spPr>
          <c:invertIfNegative val="0"/>
          <c:cat>
            <c:strRef>
              <c:f>'Pivots-workings'!$A$22:$A$30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'Pivots-workings'!$B$22:$B$30</c:f>
              <c:numCache>
                <c:formatCode>[&gt;=1000000]\$0.0,,"M";[&gt;=1000]\$0.0,"K";\$0.0</c:formatCode>
                <c:ptCount val="9"/>
                <c:pt idx="0">
                  <c:v>8548.2222222222226</c:v>
                </c:pt>
                <c:pt idx="1">
                  <c:v>3715.75</c:v>
                </c:pt>
                <c:pt idx="2">
                  <c:v>2919.2580645161293</c:v>
                </c:pt>
                <c:pt idx="3">
                  <c:v>16797.400000000001</c:v>
                </c:pt>
                <c:pt idx="4">
                  <c:v>7365.5</c:v>
                </c:pt>
                <c:pt idx="5">
                  <c:v>19395.5</c:v>
                </c:pt>
                <c:pt idx="6">
                  <c:v>2780.4680851063831</c:v>
                </c:pt>
                <c:pt idx="7">
                  <c:v>7489</c:v>
                </c:pt>
                <c:pt idx="8">
                  <c:v>2364.7272727272725</c:v>
                </c:pt>
              </c:numCache>
            </c:numRef>
          </c:val>
          <c:extLst>
            <c:ext xmlns:c16="http://schemas.microsoft.com/office/drawing/2014/chart" uri="{C3380CC4-5D6E-409C-BE32-E72D297353CC}">
              <c16:uniqueId val="{00000015-7B37-42E1-87F7-5FCF51A9374F}"/>
            </c:ext>
          </c:extLst>
        </c:ser>
        <c:dLbls>
          <c:showLegendKey val="0"/>
          <c:showVal val="0"/>
          <c:showCatName val="0"/>
          <c:showSerName val="0"/>
          <c:showPercent val="0"/>
          <c:showBubbleSize val="0"/>
        </c:dLbls>
        <c:gapWidth val="219"/>
        <c:axId val="1038468224"/>
        <c:axId val="1038460544"/>
      </c:barChart>
      <c:lineChart>
        <c:grouping val="standard"/>
        <c:varyColors val="0"/>
        <c:ser>
          <c:idx val="1"/>
          <c:order val="1"/>
          <c:tx>
            <c:strRef>
              <c:f>'Pivots-workings'!$C$21</c:f>
              <c:strCache>
                <c:ptCount val="1"/>
                <c:pt idx="0">
                  <c:v>Count of JobRole</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17-7B37-42E1-87F7-5FCF51A9374F}"/>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18-7B37-42E1-87F7-5FCF51A9374F}"/>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19-7B37-42E1-87F7-5FCF51A9374F}"/>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1A-7B37-42E1-87F7-5FCF51A9374F}"/>
              </c:ext>
            </c:extLst>
          </c:dPt>
          <c:dPt>
            <c:idx val="4"/>
            <c:marker>
              <c:symbol val="none"/>
            </c:marker>
            <c:bubble3D val="0"/>
            <c:extLst>
              <c:ext xmlns:c16="http://schemas.microsoft.com/office/drawing/2014/chart" uri="{C3380CC4-5D6E-409C-BE32-E72D297353CC}">
                <c16:uniqueId val="{0000001B-7B37-42E1-87F7-5FCF51A9374F}"/>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1C-7B37-42E1-87F7-5FCF51A9374F}"/>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1D-7B37-42E1-87F7-5FCF51A9374F}"/>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1E-7B37-42E1-87F7-5FCF51A9374F}"/>
              </c:ext>
            </c:extLst>
          </c:dPt>
          <c:dPt>
            <c:idx val="8"/>
            <c:marker>
              <c:symbol val="none"/>
            </c:marker>
            <c:bubble3D val="0"/>
            <c:spPr>
              <a:ln w="28575" cap="rnd">
                <a:solidFill>
                  <a:schemeClr val="accent2"/>
                </a:solidFill>
                <a:round/>
              </a:ln>
              <a:effectLst/>
            </c:spPr>
          </c:dPt>
          <c:dLbls>
            <c:dLbl>
              <c:idx val="0"/>
              <c:delete val="1"/>
              <c:extLst>
                <c:ext xmlns:c15="http://schemas.microsoft.com/office/drawing/2012/chart" uri="{CE6537A1-D6FC-4f65-9D91-7224C49458BB}"/>
                <c:ext xmlns:c16="http://schemas.microsoft.com/office/drawing/2014/chart" uri="{C3380CC4-5D6E-409C-BE32-E72D297353CC}">
                  <c16:uniqueId val="{00000017-7B37-42E1-87F7-5FCF51A9374F}"/>
                </c:ext>
              </c:extLst>
            </c:dLbl>
            <c:dLbl>
              <c:idx val="1"/>
              <c:delete val="1"/>
              <c:extLst>
                <c:ext xmlns:c15="http://schemas.microsoft.com/office/drawing/2012/chart" uri="{CE6537A1-D6FC-4f65-9D91-7224C49458BB}"/>
                <c:ext xmlns:c16="http://schemas.microsoft.com/office/drawing/2014/chart" uri="{C3380CC4-5D6E-409C-BE32-E72D297353CC}">
                  <c16:uniqueId val="{00000018-7B37-42E1-87F7-5FCF51A9374F}"/>
                </c:ext>
              </c:extLst>
            </c:dLbl>
            <c:dLbl>
              <c:idx val="2"/>
              <c:layout>
                <c:manualLayout>
                  <c:x val="-5.2629842086992756E-2"/>
                  <c:y val="-3.77093151681038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7B37-42E1-87F7-5FCF51A9374F}"/>
                </c:ext>
              </c:extLst>
            </c:dLbl>
            <c:dLbl>
              <c:idx val="3"/>
              <c:delete val="1"/>
              <c:extLst>
                <c:ext xmlns:c15="http://schemas.microsoft.com/office/drawing/2012/chart" uri="{CE6537A1-D6FC-4f65-9D91-7224C49458BB}"/>
                <c:ext xmlns:c16="http://schemas.microsoft.com/office/drawing/2014/chart" uri="{C3380CC4-5D6E-409C-BE32-E72D297353CC}">
                  <c16:uniqueId val="{0000001A-7B37-42E1-87F7-5FCF51A9374F}"/>
                </c:ext>
              </c:extLst>
            </c:dLbl>
            <c:dLbl>
              <c:idx val="4"/>
              <c:delete val="1"/>
              <c:extLst>
                <c:ext xmlns:c15="http://schemas.microsoft.com/office/drawing/2012/chart" uri="{CE6537A1-D6FC-4f65-9D91-7224C49458BB}"/>
                <c:ext xmlns:c16="http://schemas.microsoft.com/office/drawing/2014/chart" uri="{C3380CC4-5D6E-409C-BE32-E72D297353CC}">
                  <c16:uniqueId val="{0000001B-7B37-42E1-87F7-5FCF51A9374F}"/>
                </c:ext>
              </c:extLst>
            </c:dLbl>
            <c:dLbl>
              <c:idx val="5"/>
              <c:delete val="1"/>
              <c:extLst>
                <c:ext xmlns:c15="http://schemas.microsoft.com/office/drawing/2012/chart" uri="{CE6537A1-D6FC-4f65-9D91-7224C49458BB}"/>
                <c:ext xmlns:c16="http://schemas.microsoft.com/office/drawing/2014/chart" uri="{C3380CC4-5D6E-409C-BE32-E72D297353CC}">
                  <c16:uniqueId val="{0000001C-7B37-42E1-87F7-5FCF51A9374F}"/>
                </c:ext>
              </c:extLst>
            </c:dLbl>
            <c:dLbl>
              <c:idx val="6"/>
              <c:delete val="1"/>
              <c:extLst>
                <c:ext xmlns:c15="http://schemas.microsoft.com/office/drawing/2012/chart" uri="{CE6537A1-D6FC-4f65-9D91-7224C49458BB}"/>
                <c:ext xmlns:c16="http://schemas.microsoft.com/office/drawing/2014/chart" uri="{C3380CC4-5D6E-409C-BE32-E72D297353CC}">
                  <c16:uniqueId val="{0000001D-7B37-42E1-87F7-5FCF51A9374F}"/>
                </c:ext>
              </c:extLst>
            </c:dLbl>
            <c:dLbl>
              <c:idx val="7"/>
              <c:layout>
                <c:manualLayout>
                  <c:x val="-5.2629842086992722E-2"/>
                  <c:y val="-5.513366672840649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7B37-42E1-87F7-5FCF51A9374F}"/>
                </c:ext>
              </c:extLst>
            </c:dLbl>
            <c:dLbl>
              <c:idx val="8"/>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'Pivots-workings'!$A$22:$A$30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'Pivots-workings'!$C$22:$C$30</c:f>
              <c:numCache>
                <c:formatCode>0%</c:formatCode>
                <c:ptCount val="9"/>
                <c:pt idx="0">
                  <c:v>3.7974683544303799E-2</c:v>
                </c:pt>
                <c:pt idx="1">
                  <c:v>5.0632911392405063E-2</c:v>
                </c:pt>
                <c:pt idx="2">
                  <c:v>0.26160337552742619</c:v>
                </c:pt>
                <c:pt idx="3">
                  <c:v>2.1097046413502109E-2</c:v>
                </c:pt>
                <c:pt idx="4">
                  <c:v>4.2194092827004218E-2</c:v>
                </c:pt>
                <c:pt idx="5">
                  <c:v>8.4388185654008432E-3</c:v>
                </c:pt>
                <c:pt idx="6">
                  <c:v>0.19831223628691982</c:v>
                </c:pt>
                <c:pt idx="7">
                  <c:v>0.24050632911392406</c:v>
                </c:pt>
                <c:pt idx="8">
                  <c:v>0.13924050632911392</c:v>
                </c:pt>
              </c:numCache>
            </c:numRef>
          </c:val>
          <c:smooth val="0"/>
          <c:extLst>
            <c:ext xmlns:c16="http://schemas.microsoft.com/office/drawing/2014/chart" uri="{C3380CC4-5D6E-409C-BE32-E72D297353CC}">
              <c16:uniqueId val="{00000016-7B37-42E1-87F7-5FCF51A9374F}"/>
            </c:ext>
          </c:extLst>
        </c:ser>
        <c:dLbls>
          <c:showLegendKey val="0"/>
          <c:showVal val="0"/>
          <c:showCatName val="0"/>
          <c:showSerName val="0"/>
          <c:showPercent val="0"/>
          <c:showBubbleSize val="0"/>
        </c:dLbls>
        <c:marker val="1"/>
        <c:smooth val="0"/>
        <c:axId val="1764096512"/>
        <c:axId val="1764093632"/>
      </c:lineChart>
      <c:valAx>
        <c:axId val="176409363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64096512"/>
        <c:crosses val="autoZero"/>
        <c:crossBetween val="between"/>
      </c:valAx>
      <c:catAx>
        <c:axId val="1764096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93632"/>
        <c:crosses val="autoZero"/>
        <c:auto val="1"/>
        <c:lblAlgn val="ctr"/>
        <c:lblOffset val="100"/>
        <c:noMultiLvlLbl val="0"/>
      </c:catAx>
      <c:valAx>
        <c:axId val="1038460544"/>
        <c:scaling>
          <c:orientation val="minMax"/>
        </c:scaling>
        <c:delete val="0"/>
        <c:axPos val="r"/>
        <c:numFmt formatCode="[&gt;=1000000]\$0.0,,&quot;M&quot;;[&gt;=1000]\$0.0,&quot;K&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68224"/>
        <c:crosses val="max"/>
        <c:crossBetween val="between"/>
      </c:valAx>
      <c:catAx>
        <c:axId val="1038468224"/>
        <c:scaling>
          <c:orientation val="minMax"/>
        </c:scaling>
        <c:delete val="1"/>
        <c:axPos val="b"/>
        <c:numFmt formatCode="General" sourceLinked="1"/>
        <c:majorTickMark val="out"/>
        <c:minorTickMark val="none"/>
        <c:tickLblPos val="nextTo"/>
        <c:crossAx val="10384605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[HR-Employee-Attrition.xlsx]Pivots-workings!PivotTable8</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sq" cmpd="sng">
            <a:solidFill>
              <a:srgbClr val="104862"/>
            </a:solidFill>
            <a:prstDash val="lgDash"/>
            <a:round/>
            <a:headEnd type="oval"/>
            <a:tailEnd type="triangle"/>
          </a:ln>
          <a:effectLst/>
        </c:spPr>
        <c:marker>
          <c:symbol val="circle"/>
          <c:size val="5"/>
          <c:spPr>
            <a:solidFill>
              <a:srgbClr val="02504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2">
                <a:lumMod val="75000"/>
              </a:schemeClr>
            </a:solidFill>
            <a:round/>
            <a:headEnd type="oval"/>
            <a:tailEnd type="triangle"/>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8518518518518517E-2"/>
          <c:w val="0.78721359303771243"/>
          <c:h val="0.87445246427529888"/>
        </c:manualLayout>
      </c:layout>
      <c:lineChart>
        <c:grouping val="standard"/>
        <c:varyColors val="0"/>
        <c:ser>
          <c:idx val="0"/>
          <c:order val="0"/>
          <c:tx>
            <c:strRef>
              <c:f>'Pivots-workings'!$B$34:$B$35</c:f>
              <c:strCache>
                <c:ptCount val="1"/>
                <c:pt idx="0">
                  <c:v>No</c:v>
                </c:pt>
              </c:strCache>
            </c:strRef>
          </c:tx>
          <c:spPr>
            <a:ln w="34925" cap="sq" cmpd="sng">
              <a:solidFill>
                <a:srgbClr val="104862"/>
              </a:solidFill>
              <a:prstDash val="lgDash"/>
              <a:round/>
              <a:headEnd type="oval"/>
              <a:tailEnd type="triangle"/>
            </a:ln>
            <a:effectLst/>
          </c:spPr>
          <c:marker>
            <c:symbol val="circle"/>
            <c:size val="5"/>
            <c:spPr>
              <a:solidFill>
                <a:srgbClr val="025043"/>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'Pivots-workings'!$A$36:$A$39</c:f>
              <c:strCache>
                <c:ptCount val="4"/>
                <c:pt idx="0">
                  <c:v>1</c:v>
                </c:pt>
                <c:pt idx="1">
                  <c:v>2</c:v>
                </c:pt>
                <c:pt idx="2">
                  <c:v>3</c:v>
                </c:pt>
                <c:pt idx="3">
                  <c:v>4</c:v>
                </c:pt>
              </c:strCache>
            </c:strRef>
          </c:cat>
          <c:val>
            <c:numRef>
              <c:f>'Pivots-workings'!$B$36:$B$39</c:f>
              <c:numCache>
                <c:formatCode>0%</c:formatCode>
                <c:ptCount val="4"/>
                <c:pt idx="0">
                  <c:v>0.77162629757785473</c:v>
                </c:pt>
                <c:pt idx="1">
                  <c:v>0.83571428571428574</c:v>
                </c:pt>
                <c:pt idx="2">
                  <c:v>0.83484162895927605</c:v>
                </c:pt>
                <c:pt idx="3">
                  <c:v>0.88671023965141615</c:v>
                </c:pt>
              </c:numCache>
            </c:numRef>
          </c:val>
          <c:smooth val="1"/>
          <c:extLst>
            <c:ext xmlns:c16="http://schemas.microsoft.com/office/drawing/2014/chart" uri="{C3380CC4-5D6E-409C-BE32-E72D297353CC}">
              <c16:uniqueId val="{00000000-7E69-4E7F-9C68-CDCC4519E8F5}"/>
            </c:ext>
          </c:extLst>
        </c:ser>
        <c:ser>
          <c:idx val="1"/>
          <c:order val="1"/>
          <c:tx>
            <c:strRef>
              <c:f>'Pivots-workings'!$C$34:$C$35</c:f>
              <c:strCache>
                <c:ptCount val="1"/>
                <c:pt idx="0">
                  <c:v>Yes</c:v>
                </c:pt>
              </c:strCache>
            </c:strRef>
          </c:tx>
          <c:spPr>
            <a:ln w="38100" cap="rnd">
              <a:solidFill>
                <a:schemeClr val="accent2">
                  <a:lumMod val="75000"/>
                </a:schemeClr>
              </a:solidFill>
              <a:round/>
              <a:headEnd type="oval"/>
              <a:tailEnd type="triangle"/>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'Pivots-workings'!$A$36:$A$39</c:f>
              <c:strCache>
                <c:ptCount val="4"/>
                <c:pt idx="0">
                  <c:v>1</c:v>
                </c:pt>
                <c:pt idx="1">
                  <c:v>2</c:v>
                </c:pt>
                <c:pt idx="2">
                  <c:v>3</c:v>
                </c:pt>
                <c:pt idx="3">
                  <c:v>4</c:v>
                </c:pt>
              </c:strCache>
            </c:strRef>
          </c:cat>
          <c:val>
            <c:numRef>
              <c:f>'Pivots-workings'!$C$36:$C$39</c:f>
              <c:numCache>
                <c:formatCode>0%</c:formatCode>
                <c:ptCount val="4"/>
                <c:pt idx="0">
                  <c:v>0.22837370242214533</c:v>
                </c:pt>
                <c:pt idx="1">
                  <c:v>0.16428571428571428</c:v>
                </c:pt>
                <c:pt idx="2">
                  <c:v>0.16515837104072398</c:v>
                </c:pt>
                <c:pt idx="3">
                  <c:v>0.11328976034858387</c:v>
                </c:pt>
              </c:numCache>
            </c:numRef>
          </c:val>
          <c:smooth val="0"/>
          <c:extLst>
            <c:ext xmlns:c16="http://schemas.microsoft.com/office/drawing/2014/chart" uri="{C3380CC4-5D6E-409C-BE32-E72D297353CC}">
              <c16:uniqueId val="{00000004-814E-4B6B-AD75-7BE8988DA168}"/>
            </c:ext>
          </c:extLst>
        </c:ser>
        <c:dLbls>
          <c:dLblPos val="t"/>
          <c:showLegendKey val="0"/>
          <c:showVal val="1"/>
          <c:showCatName val="0"/>
          <c:showSerName val="0"/>
          <c:showPercent val="0"/>
          <c:showBubbleSize val="0"/>
        </c:dLbls>
        <c:dropLines>
          <c:spPr>
            <a:ln w="9525" cap="flat" cmpd="sng" algn="ctr">
              <a:solidFill>
                <a:srgbClr val="438789"/>
              </a:solidFill>
              <a:prstDash val="sysDot"/>
              <a:round/>
            </a:ln>
            <a:effectLst/>
          </c:spPr>
        </c:dropLines>
        <c:marker val="1"/>
        <c:smooth val="0"/>
        <c:axId val="1605055792"/>
        <c:axId val="1605042832"/>
      </c:lineChart>
      <c:catAx>
        <c:axId val="160505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05042832"/>
        <c:crosses val="autoZero"/>
        <c:auto val="1"/>
        <c:lblAlgn val="ctr"/>
        <c:lblOffset val="100"/>
        <c:noMultiLvlLbl val="0"/>
      </c:catAx>
      <c:valAx>
        <c:axId val="1605042832"/>
        <c:scaling>
          <c:orientation val="minMax"/>
        </c:scaling>
        <c:delete val="1"/>
        <c:axPos val="l"/>
        <c:numFmt formatCode="0%" sourceLinked="1"/>
        <c:majorTickMark val="none"/>
        <c:minorTickMark val="none"/>
        <c:tickLblPos val="nextTo"/>
        <c:crossAx val="1605055792"/>
        <c:crosses val="autoZero"/>
        <c:crossBetween val="between"/>
      </c:valAx>
      <c:spPr>
        <a:noFill/>
        <a:ln>
          <a:noFill/>
        </a:ln>
        <a:effectLst/>
      </c:spPr>
    </c:plotArea>
    <c:legend>
      <c:legendPos val="r"/>
      <c:layout>
        <c:manualLayout>
          <c:xMode val="edge"/>
          <c:yMode val="edge"/>
          <c:x val="0.76746257770410276"/>
          <c:y val="0.38392094012532835"/>
          <c:w val="0.2117476999585578"/>
          <c:h val="0.19526937760243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[HR-Employee-Attrition.xlsx]Pivots-workings!PivotTable10</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5043"/>
          </a:solidFill>
          <a:ln w="57150">
            <a:solidFill>
              <a:srgbClr val="C04F15">
                <a:alpha val="30196"/>
              </a:srgbClr>
            </a:solidFill>
          </a:ln>
          <a:effectLst>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25043"/>
          </a:solidFill>
          <a:ln w="57150">
            <a:solidFill>
              <a:srgbClr val="C04F15">
                <a:alpha val="30196"/>
              </a:srgbClr>
            </a:solidFill>
          </a:ln>
          <a:effectLst/>
        </c:spPr>
      </c:pivotFmt>
      <c:pivotFmt>
        <c:idx val="6"/>
        <c:spPr>
          <a:solidFill>
            <a:srgbClr val="C04F15"/>
          </a:solidFill>
          <a:ln w="19050">
            <a:solidFill>
              <a:srgbClr val="C04F15">
                <a:alpha val="30196"/>
              </a:srgbClr>
            </a:solidFill>
          </a:ln>
          <a:effectLst/>
        </c:spPr>
      </c:pivotFmt>
      <c:pivotFmt>
        <c:idx val="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15581103308225E-2"/>
          <c:y val="0.11514901673015478"/>
          <c:w val="0.90207551540908704"/>
          <c:h val="0.73808766799365078"/>
        </c:manualLayout>
      </c:layout>
      <c:barChart>
        <c:barDir val="col"/>
        <c:grouping val="clustered"/>
        <c:varyColors val="0"/>
        <c:ser>
          <c:idx val="0"/>
          <c:order val="0"/>
          <c:tx>
            <c:strRef>
              <c:f>'Pivots-workings'!$B$45:$B$46</c:f>
              <c:strCache>
                <c:ptCount val="1"/>
                <c:pt idx="0">
                  <c:v>Yes</c:v>
                </c:pt>
              </c:strCache>
            </c:strRef>
          </c:tx>
          <c:spPr>
            <a:solidFill>
              <a:srgbClr val="025043"/>
            </a:solidFill>
            <a:ln w="57150">
              <a:solidFill>
                <a:srgbClr val="C04F15">
                  <a:alpha val="30196"/>
                </a:srgbClr>
              </a:solidFill>
            </a:ln>
            <a:effectLst>
              <a:softEdge rad="31750"/>
            </a:effectLst>
          </c:spPr>
          <c:invertIfNegative val="0"/>
          <c:dPt>
            <c:idx val="0"/>
            <c:invertIfNegative val="0"/>
            <c:bubble3D val="0"/>
            <c:spPr>
              <a:solidFill>
                <a:srgbClr val="C04F15"/>
              </a:solidFill>
              <a:ln w="19050">
                <a:solidFill>
                  <a:srgbClr val="C04F15">
                    <a:alpha val="30196"/>
                  </a:srgbClr>
                </a:solidFill>
              </a:ln>
              <a:effectLst/>
            </c:spPr>
          </c:dPt>
          <c:dPt>
            <c:idx val="1"/>
            <c:invertIfNegative val="0"/>
            <c:bubble3D val="0"/>
            <c:spPr>
              <a:solidFill>
                <a:srgbClr val="025043"/>
              </a:solidFill>
              <a:ln w="57150">
                <a:solidFill>
                  <a:srgbClr val="C04F15">
                    <a:alpha val="30196"/>
                  </a:srgb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'Pivots-workings'!$A$47:$A$48</c:f>
              <c:strCache>
                <c:ptCount val="2"/>
                <c:pt idx="0">
                  <c:v>No</c:v>
                </c:pt>
                <c:pt idx="1">
                  <c:v>Yes</c:v>
                </c:pt>
              </c:strCache>
            </c:strRef>
          </c:cat>
          <c:val>
            <c:numRef>
              <c:f>'Pivots-workings'!$B$47:$B$48</c:f>
              <c:numCache>
                <c:formatCode>0%</c:formatCode>
                <c:ptCount val="2"/>
                <c:pt idx="0">
                  <c:v>0.46413502109704641</c:v>
                </c:pt>
                <c:pt idx="1">
                  <c:v>0.53586497890295359</c:v>
                </c:pt>
              </c:numCache>
            </c:numRef>
          </c:val>
          <c:extLst>
            <c:ext xmlns:c16="http://schemas.microsoft.com/office/drawing/2014/chart" uri="{C3380CC4-5D6E-409C-BE32-E72D297353CC}">
              <c16:uniqueId val="{00000006-7FC0-4621-A1A6-5BCD443F75AA}"/>
            </c:ext>
          </c:extLst>
        </c:ser>
        <c:dLbls>
          <c:showLegendKey val="0"/>
          <c:showVal val="0"/>
          <c:showCatName val="0"/>
          <c:showSerName val="0"/>
          <c:showPercent val="0"/>
          <c:showBubbleSize val="0"/>
        </c:dLbls>
        <c:gapWidth val="150"/>
        <c:axId val="1402676208"/>
        <c:axId val="1402659888"/>
      </c:barChart>
      <c:catAx>
        <c:axId val="1402676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2659888"/>
        <c:crosses val="autoZero"/>
        <c:auto val="1"/>
        <c:lblAlgn val="ctr"/>
        <c:lblOffset val="100"/>
        <c:noMultiLvlLbl val="0"/>
      </c:catAx>
      <c:valAx>
        <c:axId val="1402659888"/>
        <c:scaling>
          <c:orientation val="minMax"/>
        </c:scaling>
        <c:delete val="1"/>
        <c:axPos val="l"/>
        <c:numFmt formatCode="0%" sourceLinked="1"/>
        <c:majorTickMark val="out"/>
        <c:minorTickMark val="none"/>
        <c:tickLblPos val="nextTo"/>
        <c:crossAx val="140267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[HR-Employee-Attrition.xlsx]Pivots-workings!PivotTable11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lumMod val="40000"/>
              <a:lumOff val="60000"/>
            </a:schemeClr>
          </a:solidFill>
          <a:ln>
            <a:solidFill>
              <a:srgbClr val="03836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tx1">
              <a:lumMod val="95000"/>
              <a:lumOff val="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03836E"/>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02504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03836E"/>
          </a:solidFill>
          <a:ln w="25400">
            <a:noFill/>
          </a:ln>
          <a:effectLst/>
        </c:spPr>
        <c:dLbl>
          <c:idx val="0"/>
          <c:layout>
            <c:manualLayout>
              <c:x val="3.9483432347625635E-3"/>
              <c:y val="-0.433978112689311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35"/>
        <c:spPr>
          <a:solidFill>
            <a:srgbClr val="03836E"/>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03836E"/>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03836E"/>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03836E"/>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03836E"/>
          </a:solidFill>
          <a:ln w="254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92652413043957E-2"/>
          <c:y val="0"/>
          <c:w val="0.66171225567946002"/>
          <c:h val="0.87922989395111739"/>
        </c:manualLayout>
      </c:layout>
      <c:areaChart>
        <c:grouping val="standard"/>
        <c:varyColors val="0"/>
        <c:ser>
          <c:idx val="0"/>
          <c:order val="0"/>
          <c:tx>
            <c:strRef>
              <c:f>'Pivots-workings'!$B$52:$B$53</c:f>
              <c:strCache>
                <c:ptCount val="1"/>
                <c:pt idx="0">
                  <c:v>Healthcare Representative</c:v>
                </c:pt>
              </c:strCache>
            </c:strRef>
          </c:tx>
          <c:spPr>
            <a:solidFill>
              <a:schemeClr val="accent3">
                <a:lumMod val="40000"/>
                <a:lumOff val="60000"/>
              </a:schemeClr>
            </a:solidFill>
            <a:ln>
              <a:solidFill>
                <a:srgbClr val="03836E"/>
              </a:solidFill>
            </a:ln>
            <a:effectLst/>
          </c:spPr>
          <c:cat>
            <c:strRef>
              <c:f>'Pivots-workings'!$A$54:$A$59</c:f>
              <c:strCache>
                <c:ptCount val="6"/>
                <c:pt idx="0">
                  <c:v>0</c:v>
                </c:pt>
                <c:pt idx="1">
                  <c:v>1</c:v>
                </c:pt>
                <c:pt idx="2">
                  <c:v>2</c:v>
                </c:pt>
                <c:pt idx="3">
                  <c:v>3</c:v>
                </c:pt>
                <c:pt idx="4">
                  <c:v>4</c:v>
                </c:pt>
                <c:pt idx="5">
                  <c:v>5</c:v>
                </c:pt>
              </c:strCache>
            </c:strRef>
          </c:cat>
          <c:val>
            <c:numRef>
              <c:f>'Pivots-workings'!$B$54:$B$59</c:f>
              <c:numCache>
                <c:formatCode>0%</c:formatCode>
                <c:ptCount val="6"/>
                <c:pt idx="0">
                  <c:v>0.12686567164179105</c:v>
                </c:pt>
                <c:pt idx="1">
                  <c:v>0.11428571428571428</c:v>
                </c:pt>
                <c:pt idx="2">
                  <c:v>0.10699588477366255</c:v>
                </c:pt>
                <c:pt idx="3">
                  <c:v>0.12871287128712872</c:v>
                </c:pt>
                <c:pt idx="4">
                  <c:v>5.4054054054054057E-2</c:v>
                </c:pt>
                <c:pt idx="5">
                  <c:v>8.8235294117647065E-2</c:v>
                </c:pt>
              </c:numCache>
            </c:numRef>
          </c:val>
          <c:extLst>
            <c:ext xmlns:c16="http://schemas.microsoft.com/office/drawing/2014/chart" uri="{C3380CC4-5D6E-409C-BE32-E72D297353CC}">
              <c16:uniqueId val="{00000023-BDFF-4AA1-BC57-F3CA8CA0A57C}"/>
            </c:ext>
          </c:extLst>
        </c:ser>
        <c:ser>
          <c:idx val="1"/>
          <c:order val="1"/>
          <c:tx>
            <c:strRef>
              <c:f>'Pivots-workings'!$C$52:$C$53</c:f>
              <c:strCache>
                <c:ptCount val="1"/>
                <c:pt idx="0">
                  <c:v>Laboratory Technician</c:v>
                </c:pt>
              </c:strCache>
            </c:strRef>
          </c:tx>
          <c:spPr>
            <a:solidFill>
              <a:schemeClr val="tx1">
                <a:lumMod val="95000"/>
                <a:lumOff val="5000"/>
              </a:schemeClr>
            </a:solidFill>
            <a:ln w="25400">
              <a:noFill/>
            </a:ln>
            <a:effectLst/>
          </c:spPr>
          <c:cat>
            <c:strRef>
              <c:f>'Pivots-workings'!$A$54:$A$59</c:f>
              <c:strCache>
                <c:ptCount val="6"/>
                <c:pt idx="0">
                  <c:v>0</c:v>
                </c:pt>
                <c:pt idx="1">
                  <c:v>1</c:v>
                </c:pt>
                <c:pt idx="2">
                  <c:v>2</c:v>
                </c:pt>
                <c:pt idx="3">
                  <c:v>3</c:v>
                </c:pt>
                <c:pt idx="4">
                  <c:v>4</c:v>
                </c:pt>
                <c:pt idx="5">
                  <c:v>5</c:v>
                </c:pt>
              </c:strCache>
            </c:strRef>
          </c:cat>
          <c:val>
            <c:numRef>
              <c:f>'Pivots-workings'!$C$54:$C$59</c:f>
              <c:numCache>
                <c:formatCode>0%</c:formatCode>
                <c:ptCount val="6"/>
                <c:pt idx="0">
                  <c:v>0.29850746268656714</c:v>
                </c:pt>
                <c:pt idx="1">
                  <c:v>0.2</c:v>
                </c:pt>
                <c:pt idx="2">
                  <c:v>0.23868312757201646</c:v>
                </c:pt>
                <c:pt idx="3">
                  <c:v>0.20792079207920791</c:v>
                </c:pt>
                <c:pt idx="4">
                  <c:v>0.17567567567567569</c:v>
                </c:pt>
                <c:pt idx="5">
                  <c:v>8.8235294117647065E-2</c:v>
                </c:pt>
              </c:numCache>
            </c:numRef>
          </c:val>
          <c:extLst>
            <c:ext xmlns:c16="http://schemas.microsoft.com/office/drawing/2014/chart" uri="{C3380CC4-5D6E-409C-BE32-E72D297353CC}">
              <c16:uniqueId val="{00000025-BDFF-4AA1-BC57-F3CA8CA0A57C}"/>
            </c:ext>
          </c:extLst>
        </c:ser>
        <c:ser>
          <c:idx val="2"/>
          <c:order val="2"/>
          <c:tx>
            <c:strRef>
              <c:f>'Pivots-workings'!$D$52:$D$53</c:f>
              <c:strCache>
                <c:ptCount val="1"/>
                <c:pt idx="0">
                  <c:v>Manufacturing Director</c:v>
                </c:pt>
              </c:strCache>
            </c:strRef>
          </c:tx>
          <c:spPr>
            <a:solidFill>
              <a:schemeClr val="accent2">
                <a:lumMod val="60000"/>
                <a:lumOff val="40000"/>
              </a:schemeClr>
            </a:solidFill>
            <a:ln w="25400">
              <a:noFill/>
            </a:ln>
            <a:effectLst/>
          </c:spPr>
          <c:cat>
            <c:strRef>
              <c:f>'Pivots-workings'!$A$54:$A$59</c:f>
              <c:strCache>
                <c:ptCount val="6"/>
                <c:pt idx="0">
                  <c:v>0</c:v>
                </c:pt>
                <c:pt idx="1">
                  <c:v>1</c:v>
                </c:pt>
                <c:pt idx="2">
                  <c:v>2</c:v>
                </c:pt>
                <c:pt idx="3">
                  <c:v>3</c:v>
                </c:pt>
                <c:pt idx="4">
                  <c:v>4</c:v>
                </c:pt>
                <c:pt idx="5">
                  <c:v>5</c:v>
                </c:pt>
              </c:strCache>
            </c:strRef>
          </c:cat>
          <c:val>
            <c:numRef>
              <c:f>'Pivots-workings'!$D$54:$D$59</c:f>
              <c:numCache>
                <c:formatCode>0%</c:formatCode>
                <c:ptCount val="6"/>
                <c:pt idx="0">
                  <c:v>9.7014925373134331E-2</c:v>
                </c:pt>
                <c:pt idx="1">
                  <c:v>5.7142857142857141E-2</c:v>
                </c:pt>
                <c:pt idx="2">
                  <c:v>0.11934156378600823</c:v>
                </c:pt>
                <c:pt idx="3">
                  <c:v>0.10891089108910891</c:v>
                </c:pt>
                <c:pt idx="4">
                  <c:v>0.14864864864864866</c:v>
                </c:pt>
                <c:pt idx="5">
                  <c:v>0.17647058823529413</c:v>
                </c:pt>
              </c:numCache>
            </c:numRef>
          </c:val>
          <c:extLst>
            <c:ext xmlns:c16="http://schemas.microsoft.com/office/drawing/2014/chart" uri="{C3380CC4-5D6E-409C-BE32-E72D297353CC}">
              <c16:uniqueId val="{0000002A-BDFF-4AA1-BC57-F3CA8CA0A57C}"/>
            </c:ext>
          </c:extLst>
        </c:ser>
        <c:ser>
          <c:idx val="3"/>
          <c:order val="3"/>
          <c:tx>
            <c:strRef>
              <c:f>'Pivots-workings'!$E$52:$E$53</c:f>
              <c:strCache>
                <c:ptCount val="1"/>
                <c:pt idx="0">
                  <c:v>Research Scientist</c:v>
                </c:pt>
              </c:strCache>
            </c:strRef>
          </c:tx>
          <c:spPr>
            <a:solidFill>
              <a:srgbClr val="03836E"/>
            </a:solidFill>
            <a:ln w="25400">
              <a:noFill/>
            </a:ln>
            <a:effectLst/>
          </c:spPr>
          <c:dPt>
            <c:idx val="0"/>
            <c:bubble3D val="0"/>
            <c:spPr>
              <a:solidFill>
                <a:srgbClr val="03836E"/>
              </a:solidFill>
              <a:ln w="25400">
                <a:noFill/>
              </a:ln>
              <a:effectLst/>
            </c:spPr>
            <c:extLst>
              <c:ext xmlns:c16="http://schemas.microsoft.com/office/drawing/2014/chart" uri="{C3380CC4-5D6E-409C-BE32-E72D297353CC}">
                <c16:uniqueId val="{00000001-58B4-44D8-BC00-A0870E74FC19}"/>
              </c:ext>
            </c:extLst>
          </c:dPt>
          <c:dPt>
            <c:idx val="1"/>
            <c:bubble3D val="0"/>
            <c:spPr>
              <a:solidFill>
                <a:srgbClr val="03836E"/>
              </a:solidFill>
              <a:ln w="25400">
                <a:noFill/>
              </a:ln>
              <a:effectLst/>
            </c:spPr>
            <c:extLst>
              <c:ext xmlns:c16="http://schemas.microsoft.com/office/drawing/2014/chart" uri="{C3380CC4-5D6E-409C-BE32-E72D297353CC}">
                <c16:uniqueId val="{00000003-58B4-44D8-BC00-A0870E74FC19}"/>
              </c:ext>
            </c:extLst>
          </c:dPt>
          <c:dPt>
            <c:idx val="2"/>
            <c:bubble3D val="0"/>
            <c:spPr>
              <a:solidFill>
                <a:srgbClr val="03836E"/>
              </a:solidFill>
              <a:ln w="25400">
                <a:noFill/>
              </a:ln>
              <a:effectLst/>
            </c:spPr>
            <c:extLst>
              <c:ext xmlns:c16="http://schemas.microsoft.com/office/drawing/2014/chart" uri="{C3380CC4-5D6E-409C-BE32-E72D297353CC}">
                <c16:uniqueId val="{00000005-58B4-44D8-BC00-A0870E74FC19}"/>
              </c:ext>
            </c:extLst>
          </c:dPt>
          <c:dPt>
            <c:idx val="3"/>
            <c:bubble3D val="0"/>
            <c:spPr>
              <a:solidFill>
                <a:srgbClr val="03836E"/>
              </a:solidFill>
              <a:ln w="25400">
                <a:noFill/>
              </a:ln>
              <a:effectLst/>
            </c:spPr>
            <c:extLst>
              <c:ext xmlns:c16="http://schemas.microsoft.com/office/drawing/2014/chart" uri="{C3380CC4-5D6E-409C-BE32-E72D297353CC}">
                <c16:uniqueId val="{00000007-58B4-44D8-BC00-A0870E74FC19}"/>
              </c:ext>
            </c:extLst>
          </c:dPt>
          <c:dPt>
            <c:idx val="4"/>
            <c:bubble3D val="0"/>
            <c:spPr>
              <a:solidFill>
                <a:srgbClr val="03836E"/>
              </a:solidFill>
              <a:ln w="25400">
                <a:noFill/>
              </a:ln>
              <a:effectLst/>
            </c:spPr>
            <c:extLst>
              <c:ext xmlns:c16="http://schemas.microsoft.com/office/drawing/2014/chart" uri="{C3380CC4-5D6E-409C-BE32-E72D297353CC}">
                <c16:uniqueId val="{00000009-58B4-44D8-BC00-A0870E74FC19}"/>
              </c:ext>
            </c:extLst>
          </c:dPt>
          <c:dPt>
            <c:idx val="5"/>
            <c:bubble3D val="0"/>
            <c:spPr>
              <a:solidFill>
                <a:srgbClr val="03836E"/>
              </a:solidFill>
              <a:ln w="25400">
                <a:noFill/>
              </a:ln>
              <a:effectLst/>
            </c:spPr>
            <c:extLst>
              <c:ext xmlns:c16="http://schemas.microsoft.com/office/drawing/2014/chart" uri="{C3380CC4-5D6E-409C-BE32-E72D297353CC}">
                <c16:uniqueId val="{0000000B-58B4-44D8-BC00-A0870E74FC19}"/>
              </c:ext>
            </c:extLst>
          </c:dPt>
          <c:dLbls>
            <c:dLbl>
              <c:idx val="0"/>
              <c:delete val="1"/>
              <c:extLst>
                <c:ext xmlns:c15="http://schemas.microsoft.com/office/drawing/2012/chart" uri="{CE6537A1-D6FC-4f65-9D91-7224C49458BB}"/>
                <c:ext xmlns:c16="http://schemas.microsoft.com/office/drawing/2014/chart" uri="{C3380CC4-5D6E-409C-BE32-E72D297353CC}">
                  <c16:uniqueId val="{00000001-58B4-44D8-BC00-A0870E74FC19}"/>
                </c:ext>
              </c:extLst>
            </c:dLbl>
            <c:dLbl>
              <c:idx val="1"/>
              <c:layout>
                <c:manualLayout>
                  <c:x val="3.9483432347625635E-3"/>
                  <c:y val="-0.433978112689311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B4-44D8-BC00-A0870E74FC19}"/>
                </c:ext>
              </c:extLst>
            </c:dLbl>
            <c:dLbl>
              <c:idx val="2"/>
              <c:delete val="1"/>
              <c:extLst>
                <c:ext xmlns:c15="http://schemas.microsoft.com/office/drawing/2012/chart" uri="{CE6537A1-D6FC-4f65-9D91-7224C49458BB}"/>
                <c:ext xmlns:c16="http://schemas.microsoft.com/office/drawing/2014/chart" uri="{C3380CC4-5D6E-409C-BE32-E72D297353CC}">
                  <c16:uniqueId val="{00000005-58B4-44D8-BC00-A0870E74FC19}"/>
                </c:ext>
              </c:extLst>
            </c:dLbl>
            <c:dLbl>
              <c:idx val="3"/>
              <c:delete val="1"/>
              <c:extLst>
                <c:ext xmlns:c15="http://schemas.microsoft.com/office/drawing/2012/chart" uri="{CE6537A1-D6FC-4f65-9D91-7224C49458BB}"/>
                <c:ext xmlns:c16="http://schemas.microsoft.com/office/drawing/2014/chart" uri="{C3380CC4-5D6E-409C-BE32-E72D297353CC}">
                  <c16:uniqueId val="{00000007-58B4-44D8-BC00-A0870E74FC19}"/>
                </c:ext>
              </c:extLst>
            </c:dLbl>
            <c:dLbl>
              <c:idx val="4"/>
              <c:delete val="1"/>
              <c:extLst>
                <c:ext xmlns:c15="http://schemas.microsoft.com/office/drawing/2012/chart" uri="{CE6537A1-D6FC-4f65-9D91-7224C49458BB}"/>
                <c:ext xmlns:c16="http://schemas.microsoft.com/office/drawing/2014/chart" uri="{C3380CC4-5D6E-409C-BE32-E72D297353CC}">
                  <c16:uniqueId val="{00000009-58B4-44D8-BC00-A0870E74FC19}"/>
                </c:ext>
              </c:extLst>
            </c:dLbl>
            <c:dLbl>
              <c:idx val="5"/>
              <c:delete val="1"/>
              <c:extLst>
                <c:ext xmlns:c15="http://schemas.microsoft.com/office/drawing/2012/chart" uri="{CE6537A1-D6FC-4f65-9D91-7224C49458BB}"/>
                <c:ext xmlns:c16="http://schemas.microsoft.com/office/drawing/2014/chart" uri="{C3380CC4-5D6E-409C-BE32-E72D297353CC}">
                  <c16:uniqueId val="{0000000B-58B4-44D8-BC00-A0870E74FC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'Pivots-workings'!$A$54:$A$59</c:f>
              <c:strCache>
                <c:ptCount val="6"/>
                <c:pt idx="0">
                  <c:v>0</c:v>
                </c:pt>
                <c:pt idx="1">
                  <c:v>1</c:v>
                </c:pt>
                <c:pt idx="2">
                  <c:v>2</c:v>
                </c:pt>
                <c:pt idx="3">
                  <c:v>3</c:v>
                </c:pt>
                <c:pt idx="4">
                  <c:v>4</c:v>
                </c:pt>
                <c:pt idx="5">
                  <c:v>5</c:v>
                </c:pt>
              </c:strCache>
            </c:strRef>
          </c:cat>
          <c:val>
            <c:numRef>
              <c:f>'Pivots-workings'!$E$54:$E$59</c:f>
              <c:numCache>
                <c:formatCode>0%</c:formatCode>
                <c:ptCount val="6"/>
                <c:pt idx="0">
                  <c:v>0.26865671641791045</c:v>
                </c:pt>
                <c:pt idx="1">
                  <c:v>0.45714285714285713</c:v>
                </c:pt>
                <c:pt idx="2">
                  <c:v>0.32098765432098764</c:v>
                </c:pt>
                <c:pt idx="3">
                  <c:v>0.28712871287128711</c:v>
                </c:pt>
                <c:pt idx="4">
                  <c:v>0.27027027027027029</c:v>
                </c:pt>
                <c:pt idx="5">
                  <c:v>0.38235294117647056</c:v>
                </c:pt>
              </c:numCache>
            </c:numRef>
          </c:val>
          <c:extLst>
            <c:ext xmlns:c16="http://schemas.microsoft.com/office/drawing/2014/chart" uri="{C3380CC4-5D6E-409C-BE32-E72D297353CC}">
              <c16:uniqueId val="{0000002B-BDFF-4AA1-BC57-F3CA8CA0A57C}"/>
            </c:ext>
          </c:extLst>
        </c:ser>
        <c:ser>
          <c:idx val="4"/>
          <c:order val="4"/>
          <c:tx>
            <c:strRef>
              <c:f>'Pivots-workings'!$F$52:$F$53</c:f>
              <c:strCache>
                <c:ptCount val="1"/>
                <c:pt idx="0">
                  <c:v>Sales Executive</c:v>
                </c:pt>
              </c:strCache>
            </c:strRef>
          </c:tx>
          <c:spPr>
            <a:solidFill>
              <a:schemeClr val="accent2">
                <a:lumMod val="75000"/>
              </a:schemeClr>
            </a:solidFill>
            <a:ln w="25400">
              <a:noFill/>
            </a:ln>
            <a:effectLst/>
          </c:spPr>
          <c:cat>
            <c:strRef>
              <c:f>'Pivots-workings'!$A$54:$A$59</c:f>
              <c:strCache>
                <c:ptCount val="6"/>
                <c:pt idx="0">
                  <c:v>0</c:v>
                </c:pt>
                <c:pt idx="1">
                  <c:v>1</c:v>
                </c:pt>
                <c:pt idx="2">
                  <c:v>2</c:v>
                </c:pt>
                <c:pt idx="3">
                  <c:v>3</c:v>
                </c:pt>
                <c:pt idx="4">
                  <c:v>4</c:v>
                </c:pt>
                <c:pt idx="5">
                  <c:v>5</c:v>
                </c:pt>
              </c:strCache>
            </c:strRef>
          </c:cat>
          <c:val>
            <c:numRef>
              <c:f>'Pivots-workings'!$F$54:$F$59</c:f>
              <c:numCache>
                <c:formatCode>0%</c:formatCode>
                <c:ptCount val="6"/>
                <c:pt idx="0">
                  <c:v>0.20895522388059701</c:v>
                </c:pt>
                <c:pt idx="1">
                  <c:v>0.17142857142857143</c:v>
                </c:pt>
                <c:pt idx="2">
                  <c:v>0.2139917695473251</c:v>
                </c:pt>
                <c:pt idx="3">
                  <c:v>0.26732673267326734</c:v>
                </c:pt>
                <c:pt idx="4">
                  <c:v>0.35135135135135137</c:v>
                </c:pt>
                <c:pt idx="5">
                  <c:v>0.26470588235294118</c:v>
                </c:pt>
              </c:numCache>
            </c:numRef>
          </c:val>
          <c:extLst>
            <c:ext xmlns:c16="http://schemas.microsoft.com/office/drawing/2014/chart" uri="{C3380CC4-5D6E-409C-BE32-E72D297353CC}">
              <c16:uniqueId val="{0000002C-BDFF-4AA1-BC57-F3CA8CA0A57C}"/>
            </c:ext>
          </c:extLst>
        </c:ser>
        <c:dLbls>
          <c:showLegendKey val="0"/>
          <c:showVal val="0"/>
          <c:showCatName val="0"/>
          <c:showSerName val="0"/>
          <c:showPercent val="0"/>
          <c:showBubbleSize val="0"/>
        </c:dLbls>
        <c:axId val="1895866928"/>
        <c:axId val="1895861648"/>
      </c:areaChart>
      <c:catAx>
        <c:axId val="1895866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95861648"/>
        <c:crosses val="autoZero"/>
        <c:auto val="1"/>
        <c:lblAlgn val="ctr"/>
        <c:lblOffset val="100"/>
        <c:noMultiLvlLbl val="0"/>
      </c:catAx>
      <c:valAx>
        <c:axId val="1895861648"/>
        <c:scaling>
          <c:orientation val="minMax"/>
        </c:scaling>
        <c:delete val="1"/>
        <c:axPos val="l"/>
        <c:numFmt formatCode="0%" sourceLinked="1"/>
        <c:majorTickMark val="none"/>
        <c:minorTickMark val="none"/>
        <c:tickLblPos val="nextTo"/>
        <c:crossAx val="1895866928"/>
        <c:crosses val="autoZero"/>
        <c:crossBetween val="midCat"/>
      </c:valAx>
      <c:spPr>
        <a:noFill/>
        <a:ln>
          <a:noFill/>
        </a:ln>
        <a:effectLst/>
      </c:spPr>
    </c:plotArea>
    <c:legend>
      <c:legendPos val="r"/>
      <c:layout>
        <c:manualLayout>
          <c:xMode val="edge"/>
          <c:yMode val="edge"/>
          <c:x val="0.7092821421116684"/>
          <c:y val="3.0319297026117686E-2"/>
          <c:w val="0.29071780934385799"/>
          <c:h val="0.76965067069045856"/>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317499</xdr:colOff>
      <xdr:row>0</xdr:row>
      <xdr:rowOff>81064</xdr:rowOff>
    </xdr:from>
    <xdr:to>
      <xdr:col>22</xdr:col>
      <xdr:colOff>152400</xdr:colOff>
      <xdr:row>32</xdr:row>
      <xdr:rowOff>127000</xdr:rowOff>
    </xdr:to>
    <xdr:sp macro="" textlink="">
      <xdr:nvSpPr>
        <xdr:cNvPr id="2" name="Rectangle: Diagonal Corners Rounded 1">
          <a:extLst>
            <a:ext uri="{FF2B5EF4-FFF2-40B4-BE49-F238E27FC236}">
              <a16:creationId xmlns:a16="http://schemas.microsoft.com/office/drawing/2014/main" id="{B9CF224A-B919-26D6-5E12-C3540E77BDFC}"/>
            </a:ext>
          </a:extLst>
        </xdr:cNvPr>
        <xdr:cNvSpPr/>
      </xdr:nvSpPr>
      <xdr:spPr>
        <a:xfrm>
          <a:off x="317499" y="81064"/>
          <a:ext cx="13246101" cy="6006469"/>
        </a:xfrm>
        <a:prstGeom prst="round2DiagRect">
          <a:avLst>
            <a:gd name="adj1" fmla="val 11777"/>
            <a:gd name="adj2" fmla="val 0"/>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397064</xdr:colOff>
      <xdr:row>1</xdr:row>
      <xdr:rowOff>20265</xdr:rowOff>
    </xdr:from>
    <xdr:to>
      <xdr:col>21</xdr:col>
      <xdr:colOff>573264</xdr:colOff>
      <xdr:row>31</xdr:row>
      <xdr:rowOff>169332</xdr:rowOff>
    </xdr:to>
    <xdr:sp macro="" textlink="">
      <xdr:nvSpPr>
        <xdr:cNvPr id="3" name="Rectangle: Diagonal Corners Rounded 2">
          <a:extLst>
            <a:ext uri="{FF2B5EF4-FFF2-40B4-BE49-F238E27FC236}">
              <a16:creationId xmlns:a16="http://schemas.microsoft.com/office/drawing/2014/main" id="{5BB5C55A-F3C9-A563-C656-BA5E9E5D7421}"/>
            </a:ext>
          </a:extLst>
        </xdr:cNvPr>
        <xdr:cNvSpPr/>
      </xdr:nvSpPr>
      <xdr:spPr>
        <a:xfrm>
          <a:off x="397064" y="208082"/>
          <a:ext cx="12947749" cy="5783574"/>
        </a:xfrm>
        <a:prstGeom prst="round2DiagRect">
          <a:avLst>
            <a:gd name="adj1" fmla="val 11905"/>
            <a:gd name="adj2" fmla="val 0"/>
          </a:avLst>
        </a:prstGeom>
        <a:solidFill>
          <a:schemeClr val="accent3">
            <a:lumMod val="20000"/>
            <a:lumOff val="8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GB" sz="1100">
            <a:solidFill>
              <a:schemeClr val="accent2">
                <a:lumMod val="20000"/>
                <a:lumOff val="80000"/>
              </a:schemeClr>
            </a:solidFill>
          </a:endParaRPr>
        </a:p>
      </xdr:txBody>
    </xdr:sp>
    <xdr:clientData/>
  </xdr:twoCellAnchor>
  <xdr:twoCellAnchor>
    <xdr:from>
      <xdr:col>1</xdr:col>
      <xdr:colOff>310745</xdr:colOff>
      <xdr:row>0</xdr:row>
      <xdr:rowOff>87818</xdr:rowOff>
    </xdr:from>
    <xdr:to>
      <xdr:col>11</xdr:col>
      <xdr:colOff>243192</xdr:colOff>
      <xdr:row>2</xdr:row>
      <xdr:rowOff>168883</xdr:rowOff>
    </xdr:to>
    <xdr:sp macro="" textlink="">
      <xdr:nvSpPr>
        <xdr:cNvPr id="9" name="TextBox 8">
          <a:extLst>
            <a:ext uri="{FF2B5EF4-FFF2-40B4-BE49-F238E27FC236}">
              <a16:creationId xmlns:a16="http://schemas.microsoft.com/office/drawing/2014/main" id="{322875EF-E938-2415-2BCE-710D730B468C}"/>
            </a:ext>
          </a:extLst>
        </xdr:cNvPr>
        <xdr:cNvSpPr txBox="1"/>
      </xdr:nvSpPr>
      <xdr:spPr>
        <a:xfrm>
          <a:off x="918724" y="87818"/>
          <a:ext cx="6012234" cy="445852"/>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scene3d>
            <a:camera prst="orthographicFront"/>
            <a:lightRig rig="threePt" dir="t"/>
          </a:scene3d>
          <a:sp3d extrusionH="57150">
            <a:bevelT w="38100" h="38100" prst="angle"/>
          </a:sp3d>
        </a:bodyPr>
        <a:lstStyle/>
        <a:p>
          <a:pPr marL="0" indent="0" algn="l"/>
          <a:r>
            <a:rPr lang="en-GB" sz="24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t>HR Workforce</a:t>
          </a:r>
          <a:r>
            <a:rPr lang="en-GB" sz="2400" b="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t> Attrition</a:t>
          </a:r>
          <a:r>
            <a:rPr lang="en-GB" sz="2400" b="1"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latin typeface="Arial Black" panose="020B0A04020102020204" pitchFamily="34" charset="0"/>
              <a:ea typeface="+mn-ea"/>
              <a:cs typeface="+mn-cs"/>
            </a:rPr>
            <a:t> </a:t>
          </a:r>
          <a:r>
            <a:rPr lang="en-GB" sz="2400" b="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t>Dashboard</a:t>
          </a:r>
          <a:endParaRPr lang="en-GB" sz="24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endParaRPr>
        </a:p>
        <a:p>
          <a:pPr marL="0" indent="0" algn="l"/>
          <a:endParaRPr lang="en-GB" sz="11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latin typeface="+mn-lt"/>
            <a:ea typeface="+mn-ea"/>
            <a:cs typeface="+mn-cs"/>
          </a:endParaRPr>
        </a:p>
      </xdr:txBody>
    </xdr:sp>
    <xdr:clientData/>
  </xdr:twoCellAnchor>
  <xdr:twoCellAnchor>
    <xdr:from>
      <xdr:col>1</xdr:col>
      <xdr:colOff>71335</xdr:colOff>
      <xdr:row>2</xdr:row>
      <xdr:rowOff>125379</xdr:rowOff>
    </xdr:from>
    <xdr:to>
      <xdr:col>12</xdr:col>
      <xdr:colOff>553935</xdr:colOff>
      <xdr:row>4</xdr:row>
      <xdr:rowOff>57826</xdr:rowOff>
    </xdr:to>
    <xdr:sp macro="" textlink="">
      <xdr:nvSpPr>
        <xdr:cNvPr id="10" name="TextBox 9">
          <a:extLst>
            <a:ext uri="{FF2B5EF4-FFF2-40B4-BE49-F238E27FC236}">
              <a16:creationId xmlns:a16="http://schemas.microsoft.com/office/drawing/2014/main" id="{B6D89515-D779-294C-7735-BD11E1286D7A}"/>
            </a:ext>
          </a:extLst>
        </xdr:cNvPr>
        <xdr:cNvSpPr txBox="1"/>
      </xdr:nvSpPr>
      <xdr:spPr>
        <a:xfrm>
          <a:off x="679314" y="490166"/>
          <a:ext cx="7170366" cy="297234"/>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GB" sz="1600" b="1">
              <a:solidFill>
                <a:srgbClr val="000000"/>
              </a:solidFill>
              <a:latin typeface="+mn-lt"/>
              <a:ea typeface="+mn-ea"/>
              <a:cs typeface="+mn-cs"/>
            </a:rPr>
            <a:t>Overview of employee attrition insights, salary structures and workforce trends.</a:t>
          </a:r>
        </a:p>
        <a:p>
          <a:pPr marL="0" indent="0" algn="l"/>
          <a:endParaRPr lang="en-GB" sz="1100">
            <a:solidFill>
              <a:schemeClr val="dk1"/>
            </a:solidFill>
            <a:latin typeface="+mn-lt"/>
            <a:ea typeface="+mn-ea"/>
            <a:cs typeface="+mn-cs"/>
          </a:endParaRPr>
        </a:p>
      </xdr:txBody>
    </xdr:sp>
    <xdr:clientData/>
  </xdr:twoCellAnchor>
  <xdr:twoCellAnchor>
    <xdr:from>
      <xdr:col>0</xdr:col>
      <xdr:colOff>460072</xdr:colOff>
      <xdr:row>7</xdr:row>
      <xdr:rowOff>130331</xdr:rowOff>
    </xdr:from>
    <xdr:to>
      <xdr:col>3</xdr:col>
      <xdr:colOff>242044</xdr:colOff>
      <xdr:row>13</xdr:row>
      <xdr:rowOff>125802</xdr:rowOff>
    </xdr:to>
    <xdr:sp macro="" textlink="">
      <xdr:nvSpPr>
        <xdr:cNvPr id="11" name="Rectangle: Rounded Corners 10">
          <a:extLst>
            <a:ext uri="{FF2B5EF4-FFF2-40B4-BE49-F238E27FC236}">
              <a16:creationId xmlns:a16="http://schemas.microsoft.com/office/drawing/2014/main" id="{77DEC617-D2A7-D0D7-DEFD-F6A1273738EB}"/>
            </a:ext>
          </a:extLst>
        </xdr:cNvPr>
        <xdr:cNvSpPr/>
      </xdr:nvSpPr>
      <xdr:spPr>
        <a:xfrm>
          <a:off x="460072" y="1392491"/>
          <a:ext cx="1616416" cy="1077323"/>
        </a:xfrm>
        <a:prstGeom prst="roundRect">
          <a:avLst>
            <a:gd name="adj" fmla="val 8205"/>
          </a:avLst>
        </a:prstGeom>
        <a:solidFill>
          <a:srgbClr val="025043"/>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403047</xdr:colOff>
      <xdr:row>14</xdr:row>
      <xdr:rowOff>17887</xdr:rowOff>
    </xdr:from>
    <xdr:to>
      <xdr:col>5</xdr:col>
      <xdr:colOff>509789</xdr:colOff>
      <xdr:row>31</xdr:row>
      <xdr:rowOff>105607</xdr:rowOff>
    </xdr:to>
    <xdr:sp macro="" textlink="">
      <xdr:nvSpPr>
        <xdr:cNvPr id="12" name="Rectangle: Rounded Corners 11">
          <a:extLst>
            <a:ext uri="{FF2B5EF4-FFF2-40B4-BE49-F238E27FC236}">
              <a16:creationId xmlns:a16="http://schemas.microsoft.com/office/drawing/2014/main" id="{1DA5181B-9C11-2905-E9F8-E22547D6C6F5}"/>
            </a:ext>
          </a:extLst>
        </xdr:cNvPr>
        <xdr:cNvSpPr/>
      </xdr:nvSpPr>
      <xdr:spPr>
        <a:xfrm>
          <a:off x="403047" y="2647324"/>
          <a:ext cx="3147587" cy="3280607"/>
        </a:xfrm>
        <a:prstGeom prst="roundRect">
          <a:avLst>
            <a:gd name="adj" fmla="val 8205"/>
          </a:avLst>
        </a:prstGeom>
        <a:solidFill>
          <a:srgbClr val="438789">
            <a:alpha val="20000"/>
          </a:srgbClr>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16</xdr:col>
      <xdr:colOff>379335</xdr:colOff>
      <xdr:row>4</xdr:row>
      <xdr:rowOff>53660</xdr:rowOff>
    </xdr:from>
    <xdr:to>
      <xdr:col>21</xdr:col>
      <xdr:colOff>536620</xdr:colOff>
      <xdr:row>32</xdr:row>
      <xdr:rowOff>11536</xdr:rowOff>
    </xdr:to>
    <xdr:sp macro="" textlink="">
      <xdr:nvSpPr>
        <xdr:cNvPr id="17" name="Rectangle: Rounded Corners 16">
          <a:extLst>
            <a:ext uri="{FF2B5EF4-FFF2-40B4-BE49-F238E27FC236}">
              <a16:creationId xmlns:a16="http://schemas.microsoft.com/office/drawing/2014/main" id="{9254992E-611A-C84D-EBBC-563716939F2F}"/>
            </a:ext>
          </a:extLst>
        </xdr:cNvPr>
        <xdr:cNvSpPr/>
      </xdr:nvSpPr>
      <xdr:spPr>
        <a:xfrm>
          <a:off x="10110039" y="804928"/>
          <a:ext cx="3198130" cy="5216749"/>
        </a:xfrm>
        <a:prstGeom prst="roundRect">
          <a:avLst>
            <a:gd name="adj" fmla="val 8205"/>
          </a:avLst>
        </a:prstGeom>
        <a:solidFill>
          <a:srgbClr val="438789">
            <a:alpha val="20000"/>
          </a:srgbClr>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32</xdr:col>
      <xdr:colOff>211192</xdr:colOff>
      <xdr:row>0</xdr:row>
      <xdr:rowOff>0</xdr:rowOff>
    </xdr:from>
    <xdr:to>
      <xdr:col>37</xdr:col>
      <xdr:colOff>321962</xdr:colOff>
      <xdr:row>5</xdr:row>
      <xdr:rowOff>143817</xdr:rowOff>
    </xdr:to>
    <xdr:sp macro="" textlink="">
      <xdr:nvSpPr>
        <xdr:cNvPr id="18" name="Rectangle: Rounded Corners 17">
          <a:extLst>
            <a:ext uri="{FF2B5EF4-FFF2-40B4-BE49-F238E27FC236}">
              <a16:creationId xmlns:a16="http://schemas.microsoft.com/office/drawing/2014/main" id="{91A0D5AE-1390-9FCD-7E4E-81CFC763CC43}"/>
            </a:ext>
          </a:extLst>
        </xdr:cNvPr>
        <xdr:cNvSpPr/>
      </xdr:nvSpPr>
      <xdr:spPr>
        <a:xfrm>
          <a:off x="19707408" y="0"/>
          <a:ext cx="3157054" cy="1044831"/>
        </a:xfrm>
        <a:prstGeom prst="roundRect">
          <a:avLst>
            <a:gd name="adj" fmla="val 8205"/>
          </a:avLst>
        </a:prstGeom>
        <a:solidFill>
          <a:srgbClr val="438789">
            <a:alpha val="20000"/>
          </a:srgbClr>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xdr:col>
      <xdr:colOff>0</xdr:colOff>
      <xdr:row>4</xdr:row>
      <xdr:rowOff>53662</xdr:rowOff>
    </xdr:from>
    <xdr:to>
      <xdr:col>4</xdr:col>
      <xdr:colOff>0</xdr:colOff>
      <xdr:row>7</xdr:row>
      <xdr:rowOff>92726</xdr:rowOff>
    </xdr:to>
    <xdr:sp macro="" textlink="">
      <xdr:nvSpPr>
        <xdr:cNvPr id="21" name="Rectangle: Rounded Corners 20">
          <a:extLst>
            <a:ext uri="{FF2B5EF4-FFF2-40B4-BE49-F238E27FC236}">
              <a16:creationId xmlns:a16="http://schemas.microsoft.com/office/drawing/2014/main" id="{969E735F-8900-9A46-4E10-83870A7EB733}"/>
            </a:ext>
          </a:extLst>
        </xdr:cNvPr>
        <xdr:cNvSpPr/>
      </xdr:nvSpPr>
      <xdr:spPr>
        <a:xfrm>
          <a:off x="608169" y="804930"/>
          <a:ext cx="1824507" cy="602514"/>
        </a:xfrm>
        <a:prstGeom prst="roundRect">
          <a:avLst>
            <a:gd name="adj" fmla="val 8205"/>
          </a:avLst>
        </a:prstGeom>
        <a:solidFill>
          <a:srgbClr val="438789">
            <a:alpha val="40000"/>
          </a:srgbClr>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0</xdr:colOff>
      <xdr:row>14</xdr:row>
      <xdr:rowOff>0</xdr:rowOff>
    </xdr:from>
    <xdr:to>
      <xdr:col>11</xdr:col>
      <xdr:colOff>94075</xdr:colOff>
      <xdr:row>32</xdr:row>
      <xdr:rowOff>0</xdr:rowOff>
    </xdr:to>
    <xdr:sp macro="" textlink="">
      <xdr:nvSpPr>
        <xdr:cNvPr id="23" name="Rectangle: Rounded Corners 22">
          <a:extLst>
            <a:ext uri="{FF2B5EF4-FFF2-40B4-BE49-F238E27FC236}">
              <a16:creationId xmlns:a16="http://schemas.microsoft.com/office/drawing/2014/main" id="{4274B9A4-0043-CD6B-DAD5-BEC97A91DB07}"/>
            </a:ext>
          </a:extLst>
        </xdr:cNvPr>
        <xdr:cNvSpPr/>
      </xdr:nvSpPr>
      <xdr:spPr>
        <a:xfrm>
          <a:off x="3649014" y="2629437"/>
          <a:ext cx="3134920" cy="3380704"/>
        </a:xfrm>
        <a:prstGeom prst="roundRect">
          <a:avLst>
            <a:gd name="adj" fmla="val 8205"/>
          </a:avLst>
        </a:prstGeom>
        <a:solidFill>
          <a:srgbClr val="438789">
            <a:alpha val="20000"/>
          </a:srgbClr>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11</xdr:col>
      <xdr:colOff>148950</xdr:colOff>
      <xdr:row>17</xdr:row>
      <xdr:rowOff>15680</xdr:rowOff>
    </xdr:from>
    <xdr:to>
      <xdr:col>16</xdr:col>
      <xdr:colOff>363598</xdr:colOff>
      <xdr:row>31</xdr:row>
      <xdr:rowOff>169332</xdr:rowOff>
    </xdr:to>
    <xdr:sp macro="" textlink="">
      <xdr:nvSpPr>
        <xdr:cNvPr id="25" name="Rectangle: Rounded Corners 24">
          <a:extLst>
            <a:ext uri="{FF2B5EF4-FFF2-40B4-BE49-F238E27FC236}">
              <a16:creationId xmlns:a16="http://schemas.microsoft.com/office/drawing/2014/main" id="{40AA9A91-4CA7-9602-0AED-D221469679A6}"/>
            </a:ext>
          </a:extLst>
        </xdr:cNvPr>
        <xdr:cNvSpPr/>
      </xdr:nvSpPr>
      <xdr:spPr>
        <a:xfrm>
          <a:off x="6830254" y="3144666"/>
          <a:ext cx="3251605" cy="2730463"/>
        </a:xfrm>
        <a:prstGeom prst="roundRect">
          <a:avLst>
            <a:gd name="adj" fmla="val 8205"/>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GB" sz="1300" b="0" i="0" u="none" strike="noStrike" cap="none" spc="50">
            <a:ln w="9525" cmpd="sng">
              <a:solidFill>
                <a:schemeClr val="accent1"/>
              </a:solidFill>
              <a:prstDash val="solid"/>
            </a:ln>
            <a:solidFill>
              <a:srgbClr val="000000"/>
            </a:solidFill>
            <a:effectLst>
              <a:glow rad="38100">
                <a:schemeClr val="accent1">
                  <a:alpha val="40000"/>
                </a:schemeClr>
              </a:glow>
            </a:effectLst>
            <a:latin typeface="Aptos Narrow"/>
            <a:ea typeface="Calibri" panose="020F0502020204030204" pitchFamily="34" charset="0"/>
            <a:cs typeface="Calibri" panose="020F0502020204030204" pitchFamily="34" charset="0"/>
          </a:endParaRPr>
        </a:p>
      </xdr:txBody>
    </xdr:sp>
    <xdr:clientData/>
  </xdr:twoCellAnchor>
  <xdr:twoCellAnchor>
    <xdr:from>
      <xdr:col>15</xdr:col>
      <xdr:colOff>61736</xdr:colOff>
      <xdr:row>1</xdr:row>
      <xdr:rowOff>44098</xdr:rowOff>
    </xdr:from>
    <xdr:to>
      <xdr:col>21</xdr:col>
      <xdr:colOff>449792</xdr:colOff>
      <xdr:row>3</xdr:row>
      <xdr:rowOff>167569</xdr:rowOff>
    </xdr:to>
    <xdr:sp macro="" textlink="">
      <xdr:nvSpPr>
        <xdr:cNvPr id="26" name="Rectangle: Rounded Corners 25">
          <a:extLst>
            <a:ext uri="{FF2B5EF4-FFF2-40B4-BE49-F238E27FC236}">
              <a16:creationId xmlns:a16="http://schemas.microsoft.com/office/drawing/2014/main" id="{CF2596DB-EFC6-8222-D937-E427B9B9B87A}"/>
            </a:ext>
          </a:extLst>
        </xdr:cNvPr>
        <xdr:cNvSpPr/>
      </xdr:nvSpPr>
      <xdr:spPr>
        <a:xfrm>
          <a:off x="9189861" y="229306"/>
          <a:ext cx="4039306" cy="493888"/>
        </a:xfrm>
        <a:prstGeom prst="roundRect">
          <a:avLst>
            <a:gd name="adj" fmla="val 10898"/>
          </a:avLst>
        </a:prstGeom>
        <a:solidFill>
          <a:srgbClr val="03836E">
            <a:alpha val="30196"/>
          </a:srgbClr>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564445</xdr:colOff>
      <xdr:row>8</xdr:row>
      <xdr:rowOff>78395</xdr:rowOff>
    </xdr:from>
    <xdr:to>
      <xdr:col>3</xdr:col>
      <xdr:colOff>15680</xdr:colOff>
      <xdr:row>10</xdr:row>
      <xdr:rowOff>15679</xdr:rowOff>
    </xdr:to>
    <xdr:sp macro="" textlink="">
      <xdr:nvSpPr>
        <xdr:cNvPr id="29" name="TextBox 28">
          <a:extLst>
            <a:ext uri="{FF2B5EF4-FFF2-40B4-BE49-F238E27FC236}">
              <a16:creationId xmlns:a16="http://schemas.microsoft.com/office/drawing/2014/main" id="{1EC27C58-A577-F2B1-52DA-E52E5B4D1456}"/>
            </a:ext>
          </a:extLst>
        </xdr:cNvPr>
        <xdr:cNvSpPr txBox="1"/>
      </xdr:nvSpPr>
      <xdr:spPr>
        <a:xfrm>
          <a:off x="564445" y="1520864"/>
          <a:ext cx="1285679" cy="29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xdr:col>
      <xdr:colOff>39355</xdr:colOff>
      <xdr:row>8</xdr:row>
      <xdr:rowOff>161228</xdr:rowOff>
    </xdr:from>
    <xdr:to>
      <xdr:col>3</xdr:col>
      <xdr:colOff>102071</xdr:colOff>
      <xdr:row>10</xdr:row>
      <xdr:rowOff>104899</xdr:rowOff>
    </xdr:to>
    <xdr:sp macro="" textlink="">
      <xdr:nvSpPr>
        <xdr:cNvPr id="30" name="TextBox 29">
          <a:extLst>
            <a:ext uri="{FF2B5EF4-FFF2-40B4-BE49-F238E27FC236}">
              <a16:creationId xmlns:a16="http://schemas.microsoft.com/office/drawing/2014/main" id="{6EBAA321-30AA-0E57-FDEF-10031AA45C05}"/>
            </a:ext>
          </a:extLst>
        </xdr:cNvPr>
        <xdr:cNvSpPr txBox="1"/>
      </xdr:nvSpPr>
      <xdr:spPr>
        <a:xfrm>
          <a:off x="649615" y="1612657"/>
          <a:ext cx="1283235" cy="306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cap="none" spc="5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rPr>
            <a:t>Total</a:t>
          </a:r>
          <a:r>
            <a:rPr lang="en-GB" sz="1400" b="1" cap="none" spc="50" baseline="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rPr>
            <a:t> Staff</a:t>
          </a:r>
          <a:endParaRPr lang="en-GB" sz="1400" b="1" cap="none" spc="5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1</xdr:col>
      <xdr:colOff>166644</xdr:colOff>
      <xdr:row>11</xdr:row>
      <xdr:rowOff>13926</xdr:rowOff>
    </xdr:from>
    <xdr:to>
      <xdr:col>2</xdr:col>
      <xdr:colOff>542657</xdr:colOff>
      <xdr:row>12</xdr:row>
      <xdr:rowOff>180614</xdr:rowOff>
    </xdr:to>
    <xdr:sp macro="" textlink="Total_staff">
      <xdr:nvSpPr>
        <xdr:cNvPr id="31" name="TextBox 30">
          <a:extLst>
            <a:ext uri="{FF2B5EF4-FFF2-40B4-BE49-F238E27FC236}">
              <a16:creationId xmlns:a16="http://schemas.microsoft.com/office/drawing/2014/main" id="{4B21E49D-1BF6-97EE-919F-E803F54D4B07}"/>
            </a:ext>
          </a:extLst>
        </xdr:cNvPr>
        <xdr:cNvSpPr txBox="1"/>
      </xdr:nvSpPr>
      <xdr:spPr>
        <a:xfrm>
          <a:off x="776904" y="2009640"/>
          <a:ext cx="986272" cy="348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marL="0" indent="0"/>
          <a:fld id="{50BC206E-8DFC-460F-A371-5F29F80B52BB}" type="TxLink">
            <a:rPr lang="en-US" sz="2000" b="1" cap="none" spc="0">
              <a:ln/>
              <a:solidFill>
                <a:schemeClr val="bg1"/>
              </a:solidFill>
              <a:effectLst/>
              <a:latin typeface="Century Gothic" panose="020B0502020202020204" pitchFamily="34" charset="0"/>
              <a:ea typeface="Calibri" panose="020F0502020204030204" pitchFamily="34" charset="0"/>
              <a:cs typeface="Calibri" panose="020F0502020204030204" pitchFamily="34" charset="0"/>
            </a:rPr>
            <a:pPr marL="0" indent="0"/>
            <a:t> 1,470 </a:t>
          </a:fld>
          <a:endParaRPr lang="en-GB" sz="2000" b="1" cap="none" spc="0">
            <a:ln/>
            <a:solidFill>
              <a:schemeClr val="bg1"/>
            </a:solidFill>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1</xdr:col>
      <xdr:colOff>188149</xdr:colOff>
      <xdr:row>15</xdr:row>
      <xdr:rowOff>39197</xdr:rowOff>
    </xdr:from>
    <xdr:to>
      <xdr:col>5</xdr:col>
      <xdr:colOff>329260</xdr:colOff>
      <xdr:row>18</xdr:row>
      <xdr:rowOff>39197</xdr:rowOff>
    </xdr:to>
    <xdr:sp macro="" textlink="Age_attrition">
      <xdr:nvSpPr>
        <xdr:cNvPr id="33" name="TextBox 32">
          <a:extLst>
            <a:ext uri="{FF2B5EF4-FFF2-40B4-BE49-F238E27FC236}">
              <a16:creationId xmlns:a16="http://schemas.microsoft.com/office/drawing/2014/main" id="{6582ED59-7530-586B-DEF0-FD89445080FD}"/>
            </a:ext>
          </a:extLst>
        </xdr:cNvPr>
        <xdr:cNvSpPr txBox="1"/>
      </xdr:nvSpPr>
      <xdr:spPr>
        <a:xfrm>
          <a:off x="799630" y="2743827"/>
          <a:ext cx="2587037" cy="540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7B9760-9D23-49B5-B156-9B96FA82AB38}" type="TxLink">
            <a:rPr lang="en-US" sz="1400" b="0" i="0" u="none" strike="noStrike" cap="none" spc="50">
              <a:ln w="9525" cmpd="sng">
                <a:solidFill>
                  <a:schemeClr val="accent1"/>
                </a:solidFill>
                <a:prstDash val="solid"/>
              </a:ln>
              <a:solidFill>
                <a:srgbClr val="025043"/>
              </a:solidFill>
              <a:effectLst>
                <a:glow rad="38100">
                  <a:schemeClr val="accent1">
                    <a:alpha val="40000"/>
                  </a:schemeClr>
                </a:glow>
              </a:effectLst>
              <a:latin typeface="Aptos Narrow"/>
              <a:ea typeface="Calibri" panose="020F0502020204030204" pitchFamily="34" charset="0"/>
              <a:cs typeface="Calibri" panose="020F0502020204030204" pitchFamily="34" charset="0"/>
            </a:rPr>
            <a:pPr/>
            <a:t>Staff within (31-40)yrs are mostly prone to attrition.</a:t>
          </a:fld>
          <a:endParaRPr lang="en-GB" sz="1400" b="1" cap="none" spc="50">
            <a:ln w="9525" cmpd="sng">
              <a:solidFill>
                <a:schemeClr val="accent1"/>
              </a:solidFill>
              <a:prstDash val="solid"/>
            </a:ln>
            <a:solidFill>
              <a:srgbClr val="025043"/>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3</xdr:col>
      <xdr:colOff>306732</xdr:colOff>
      <xdr:row>7</xdr:row>
      <xdr:rowOff>141621</xdr:rowOff>
    </xdr:from>
    <xdr:to>
      <xdr:col>6</xdr:col>
      <xdr:colOff>88703</xdr:colOff>
      <xdr:row>13</xdr:row>
      <xdr:rowOff>137092</xdr:rowOff>
    </xdr:to>
    <xdr:sp macro="" textlink="">
      <xdr:nvSpPr>
        <xdr:cNvPr id="34" name="Rectangle: Rounded Corners 33">
          <a:extLst>
            <a:ext uri="{FF2B5EF4-FFF2-40B4-BE49-F238E27FC236}">
              <a16:creationId xmlns:a16="http://schemas.microsoft.com/office/drawing/2014/main" id="{D23A826C-7621-77C3-F676-337A618C088B}"/>
            </a:ext>
          </a:extLst>
        </xdr:cNvPr>
        <xdr:cNvSpPr/>
      </xdr:nvSpPr>
      <xdr:spPr>
        <a:xfrm>
          <a:off x="2141176" y="1403781"/>
          <a:ext cx="1616416" cy="1077323"/>
        </a:xfrm>
        <a:prstGeom prst="roundRect">
          <a:avLst>
            <a:gd name="adj" fmla="val 8205"/>
          </a:avLst>
        </a:prstGeom>
        <a:solidFill>
          <a:srgbClr val="025043"/>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137711</xdr:colOff>
      <xdr:row>7</xdr:row>
      <xdr:rowOff>152909</xdr:rowOff>
    </xdr:from>
    <xdr:to>
      <xdr:col>8</xdr:col>
      <xdr:colOff>531164</xdr:colOff>
      <xdr:row>13</xdr:row>
      <xdr:rowOff>148380</xdr:rowOff>
    </xdr:to>
    <xdr:sp macro="" textlink="">
      <xdr:nvSpPr>
        <xdr:cNvPr id="35" name="Rectangle: Rounded Corners 34">
          <a:extLst>
            <a:ext uri="{FF2B5EF4-FFF2-40B4-BE49-F238E27FC236}">
              <a16:creationId xmlns:a16="http://schemas.microsoft.com/office/drawing/2014/main" id="{C60ADBDA-CDE1-913D-3056-21A609124C99}"/>
            </a:ext>
          </a:extLst>
        </xdr:cNvPr>
        <xdr:cNvSpPr/>
      </xdr:nvSpPr>
      <xdr:spPr>
        <a:xfrm>
          <a:off x="3806600" y="1415069"/>
          <a:ext cx="1616416" cy="1077323"/>
        </a:xfrm>
        <a:prstGeom prst="roundRect">
          <a:avLst>
            <a:gd name="adj" fmla="val 8205"/>
          </a:avLst>
        </a:prstGeom>
        <a:solidFill>
          <a:srgbClr val="025043"/>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304802</xdr:colOff>
      <xdr:row>7</xdr:row>
      <xdr:rowOff>140169</xdr:rowOff>
    </xdr:from>
    <xdr:to>
      <xdr:col>5</xdr:col>
      <xdr:colOff>580124</xdr:colOff>
      <xdr:row>10</xdr:row>
      <xdr:rowOff>156791</xdr:rowOff>
    </xdr:to>
    <xdr:sp macro="" textlink="">
      <xdr:nvSpPr>
        <xdr:cNvPr id="36" name="TextBox 35">
          <a:extLst>
            <a:ext uri="{FF2B5EF4-FFF2-40B4-BE49-F238E27FC236}">
              <a16:creationId xmlns:a16="http://schemas.microsoft.com/office/drawing/2014/main" id="{10DB571E-D09D-5732-00DF-AB78BEF0AFAE}"/>
            </a:ext>
          </a:extLst>
        </xdr:cNvPr>
        <xdr:cNvSpPr txBox="1"/>
      </xdr:nvSpPr>
      <xdr:spPr>
        <a:xfrm>
          <a:off x="2139246" y="1402329"/>
          <a:ext cx="1498285" cy="557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cap="none" spc="5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rPr>
            <a:t>Overall Attrition</a:t>
          </a:r>
          <a:r>
            <a:rPr lang="en-GB" sz="1400" b="1" cap="none" spc="50" baseline="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rPr>
            <a:t> Rate</a:t>
          </a:r>
          <a:endParaRPr lang="en-GB" sz="1400" b="1" cap="none" spc="5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6</xdr:col>
      <xdr:colOff>85295</xdr:colOff>
      <xdr:row>7</xdr:row>
      <xdr:rowOff>172248</xdr:rowOff>
    </xdr:from>
    <xdr:to>
      <xdr:col>8</xdr:col>
      <xdr:colOff>491872</xdr:colOff>
      <xdr:row>11</xdr:row>
      <xdr:rowOff>176665</xdr:rowOff>
    </xdr:to>
    <xdr:sp macro="" textlink="">
      <xdr:nvSpPr>
        <xdr:cNvPr id="37" name="TextBox 36">
          <a:extLst>
            <a:ext uri="{FF2B5EF4-FFF2-40B4-BE49-F238E27FC236}">
              <a16:creationId xmlns:a16="http://schemas.microsoft.com/office/drawing/2014/main" id="{2627BB86-733A-4144-EC7F-F453B2C8EEC7}"/>
            </a:ext>
          </a:extLst>
        </xdr:cNvPr>
        <xdr:cNvSpPr txBox="1"/>
      </xdr:nvSpPr>
      <xdr:spPr>
        <a:xfrm>
          <a:off x="3734309" y="1486966"/>
          <a:ext cx="1622915" cy="755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300" b="1" cap="none" spc="5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rPr>
            <a:t>Average Monthly Income </a:t>
          </a:r>
        </a:p>
        <a:p>
          <a:pPr marL="0" indent="0" algn="ctr"/>
          <a:r>
            <a:rPr lang="en-GB" sz="1300" b="1" cap="none" spc="5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rPr>
            <a:t>IQR</a:t>
          </a:r>
        </a:p>
      </xdr:txBody>
    </xdr:sp>
    <xdr:clientData/>
  </xdr:twoCellAnchor>
  <xdr:twoCellAnchor>
    <xdr:from>
      <xdr:col>4</xdr:col>
      <xdr:colOff>96991</xdr:colOff>
      <xdr:row>10</xdr:row>
      <xdr:rowOff>180680</xdr:rowOff>
    </xdr:from>
    <xdr:to>
      <xdr:col>5</xdr:col>
      <xdr:colOff>246881</xdr:colOff>
      <xdr:row>12</xdr:row>
      <xdr:rowOff>165940</xdr:rowOff>
    </xdr:to>
    <xdr:sp macro="" textlink="Attrition_rate">
      <xdr:nvSpPr>
        <xdr:cNvPr id="38" name="TextBox 37">
          <a:extLst>
            <a:ext uri="{FF2B5EF4-FFF2-40B4-BE49-F238E27FC236}">
              <a16:creationId xmlns:a16="http://schemas.microsoft.com/office/drawing/2014/main" id="{7EB572A0-FEB3-FAF5-9802-5375D2AE2B89}"/>
            </a:ext>
          </a:extLst>
        </xdr:cNvPr>
        <xdr:cNvSpPr txBox="1"/>
      </xdr:nvSpPr>
      <xdr:spPr>
        <a:xfrm>
          <a:off x="2538030" y="1994966"/>
          <a:ext cx="760150" cy="348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marL="0" indent="0"/>
          <a:fld id="{A253E9B1-8F4D-40F9-8062-64E6732F5CD5}" type="TxLink">
            <a:rPr lang="en-US" sz="2000" b="1" cap="none" spc="0">
              <a:ln/>
              <a:solidFill>
                <a:schemeClr val="bg1"/>
              </a:solidFill>
              <a:effectLst/>
              <a:latin typeface="Century Gothic" panose="020B0502020202020204" pitchFamily="34" charset="0"/>
              <a:ea typeface="Calibri" panose="020F0502020204030204" pitchFamily="34" charset="0"/>
              <a:cs typeface="Calibri" panose="020F0502020204030204" pitchFamily="34" charset="0"/>
            </a:rPr>
            <a:pPr marL="0" indent="0"/>
            <a:t>16%</a:t>
          </a:fld>
          <a:endParaRPr lang="en-GB" sz="2000" b="1" cap="none" spc="0">
            <a:ln/>
            <a:solidFill>
              <a:schemeClr val="bg1"/>
            </a:solidFill>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6</xdr:col>
      <xdr:colOff>485238</xdr:colOff>
      <xdr:row>11</xdr:row>
      <xdr:rowOff>49684</xdr:rowOff>
    </xdr:from>
    <xdr:to>
      <xdr:col>8</xdr:col>
      <xdr:colOff>126501</xdr:colOff>
      <xdr:row>13</xdr:row>
      <xdr:rowOff>100050</xdr:rowOff>
    </xdr:to>
    <xdr:sp macro="" textlink="Quartile_Average">
      <xdr:nvSpPr>
        <xdr:cNvPr id="39" name="TextBox 38">
          <a:extLst>
            <a:ext uri="{FF2B5EF4-FFF2-40B4-BE49-F238E27FC236}">
              <a16:creationId xmlns:a16="http://schemas.microsoft.com/office/drawing/2014/main" id="{A4EBAFA5-0F54-5688-1D5C-70D53CF25160}"/>
            </a:ext>
          </a:extLst>
        </xdr:cNvPr>
        <xdr:cNvSpPr txBox="1"/>
      </xdr:nvSpPr>
      <xdr:spPr>
        <a:xfrm>
          <a:off x="4146796" y="2045398"/>
          <a:ext cx="861783" cy="413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marL="0" indent="0"/>
          <a:fld id="{D0B01117-AF50-44DD-A35A-F1E1EFCAD2D2}" type="TxLink">
            <a:rPr lang="en-US" sz="2000" b="1" cap="none" spc="0">
              <a:ln/>
              <a:solidFill>
                <a:schemeClr val="bg1"/>
              </a:solidFill>
              <a:effectLst/>
              <a:latin typeface="Century Gothic" panose="020B0502020202020204" pitchFamily="34" charset="0"/>
              <a:ea typeface="Calibri" panose="020F0502020204030204" pitchFamily="34" charset="0"/>
              <a:cs typeface="Calibri" panose="020F0502020204030204" pitchFamily="34" charset="0"/>
            </a:rPr>
            <a:pPr marL="0" indent="0"/>
            <a:t>$5.5K</a:t>
          </a:fld>
          <a:endParaRPr lang="en-US" sz="2000" b="1" cap="none" spc="0">
            <a:ln/>
            <a:solidFill>
              <a:schemeClr val="bg1"/>
            </a:solidFill>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8</xdr:col>
      <xdr:colOff>588011</xdr:colOff>
      <xdr:row>7</xdr:row>
      <xdr:rowOff>148520</xdr:rowOff>
    </xdr:from>
    <xdr:to>
      <xdr:col>11</xdr:col>
      <xdr:colOff>369983</xdr:colOff>
      <xdr:row>13</xdr:row>
      <xdr:rowOff>143991</xdr:rowOff>
    </xdr:to>
    <xdr:sp macro="" textlink="">
      <xdr:nvSpPr>
        <xdr:cNvPr id="40" name="Rectangle: Rounded Corners 39">
          <a:extLst>
            <a:ext uri="{FF2B5EF4-FFF2-40B4-BE49-F238E27FC236}">
              <a16:creationId xmlns:a16="http://schemas.microsoft.com/office/drawing/2014/main" id="{A1317E49-D087-ADA2-F586-D8125F12525E}"/>
            </a:ext>
          </a:extLst>
        </xdr:cNvPr>
        <xdr:cNvSpPr/>
      </xdr:nvSpPr>
      <xdr:spPr>
        <a:xfrm>
          <a:off x="5479863" y="1410680"/>
          <a:ext cx="1616416" cy="1077323"/>
        </a:xfrm>
        <a:prstGeom prst="roundRect">
          <a:avLst>
            <a:gd name="adj" fmla="val 8205"/>
          </a:avLst>
        </a:prstGeom>
        <a:solidFill>
          <a:srgbClr val="025043"/>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8</xdr:col>
      <xdr:colOff>414465</xdr:colOff>
      <xdr:row>7</xdr:row>
      <xdr:rowOff>114084</xdr:rowOff>
    </xdr:from>
    <xdr:to>
      <xdr:col>11</xdr:col>
      <xdr:colOff>230909</xdr:colOff>
      <xdr:row>12</xdr:row>
      <xdr:rowOff>57727</xdr:rowOff>
    </xdr:to>
    <xdr:sp macro="" textlink="">
      <xdr:nvSpPr>
        <xdr:cNvPr id="41" name="TextBox 40">
          <a:extLst>
            <a:ext uri="{FF2B5EF4-FFF2-40B4-BE49-F238E27FC236}">
              <a16:creationId xmlns:a16="http://schemas.microsoft.com/office/drawing/2014/main" id="{BF372337-9FFC-7796-5A05-93789C5E403C}"/>
            </a:ext>
          </a:extLst>
        </xdr:cNvPr>
        <xdr:cNvSpPr txBox="1"/>
      </xdr:nvSpPr>
      <xdr:spPr>
        <a:xfrm>
          <a:off x="5296543" y="1384084"/>
          <a:ext cx="1647223" cy="85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lgn="ctr"/>
          <a:r>
            <a:rPr lang="en-GB" sz="1400" b="1" cap="none" spc="5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rPr>
            <a:t>Highest</a:t>
          </a:r>
          <a:r>
            <a:rPr lang="en-GB" sz="1400" b="1" cap="none" spc="50" baseline="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rPr>
            <a:t> Job Satisfaction Rate</a:t>
          </a:r>
          <a:endParaRPr lang="en-GB" sz="1400" b="1" cap="none" spc="50">
            <a:ln w="9525" cmpd="sng">
              <a:solidFill>
                <a:schemeClr val="accent1"/>
              </a:solidFill>
              <a:prstDash val="solid"/>
            </a:ln>
            <a:solidFill>
              <a:schemeClr val="bg1"/>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9</xdr:col>
      <xdr:colOff>331235</xdr:colOff>
      <xdr:row>11</xdr:row>
      <xdr:rowOff>52183</xdr:rowOff>
    </xdr:from>
    <xdr:to>
      <xdr:col>10</xdr:col>
      <xdr:colOff>481124</xdr:colOff>
      <xdr:row>13</xdr:row>
      <xdr:rowOff>43832</xdr:rowOff>
    </xdr:to>
    <xdr:sp macro="" textlink="Max_JS">
      <xdr:nvSpPr>
        <xdr:cNvPr id="42" name="TextBox 41">
          <a:extLst>
            <a:ext uri="{FF2B5EF4-FFF2-40B4-BE49-F238E27FC236}">
              <a16:creationId xmlns:a16="http://schemas.microsoft.com/office/drawing/2014/main" id="{C84C22F6-0C26-9B74-F605-1D5523581F73}"/>
            </a:ext>
          </a:extLst>
        </xdr:cNvPr>
        <xdr:cNvSpPr txBox="1"/>
      </xdr:nvSpPr>
      <xdr:spPr>
        <a:xfrm>
          <a:off x="5823573" y="2047897"/>
          <a:ext cx="760148" cy="354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marL="0" indent="0"/>
          <a:fld id="{4B2D8DFC-D32E-4ADE-96C4-1BED0BB5D0EF}" type="TxLink">
            <a:rPr lang="en-US" sz="2000" b="1" cap="none" spc="0">
              <a:ln/>
              <a:solidFill>
                <a:schemeClr val="bg1"/>
              </a:solidFill>
              <a:effectLst/>
              <a:latin typeface="Century Gothic" panose="020B0502020202020204" pitchFamily="34" charset="0"/>
              <a:ea typeface="Calibri" panose="020F0502020204030204" pitchFamily="34" charset="0"/>
              <a:cs typeface="Calibri" panose="020F0502020204030204" pitchFamily="34" charset="0"/>
            </a:rPr>
            <a:pPr marL="0" indent="0"/>
            <a:t>31%</a:t>
          </a:fld>
          <a:endParaRPr lang="en-GB" sz="2000" b="1" cap="none" spc="0">
            <a:ln/>
            <a:solidFill>
              <a:schemeClr val="bg1"/>
            </a:solidFill>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0</xdr:col>
      <xdr:colOff>465910</xdr:colOff>
      <xdr:row>18</xdr:row>
      <xdr:rowOff>70555</xdr:rowOff>
    </xdr:from>
    <xdr:to>
      <xdr:col>5</xdr:col>
      <xdr:colOff>501729</xdr:colOff>
      <xdr:row>31</xdr:row>
      <xdr:rowOff>39196</xdr:rowOff>
    </xdr:to>
    <xdr:graphicFrame macro="">
      <xdr:nvGraphicFramePr>
        <xdr:cNvPr id="4" name="Chart 3">
          <a:extLst>
            <a:ext uri="{FF2B5EF4-FFF2-40B4-BE49-F238E27FC236}">
              <a16:creationId xmlns:a16="http://schemas.microsoft.com/office/drawing/2014/main" id="{31FD94BB-1FC0-4C92-8C8F-D6112889C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452933</xdr:colOff>
      <xdr:row>4</xdr:row>
      <xdr:rowOff>12268</xdr:rowOff>
    </xdr:from>
    <xdr:to>
      <xdr:col>16</xdr:col>
      <xdr:colOff>290062</xdr:colOff>
      <xdr:row>17</xdr:row>
      <xdr:rowOff>15680</xdr:rowOff>
    </xdr:to>
    <xdr:sp macro="" textlink="">
      <xdr:nvSpPr>
        <xdr:cNvPr id="7" name="Rectangle: Rounded Corners 6">
          <a:extLst>
            <a:ext uri="{FF2B5EF4-FFF2-40B4-BE49-F238E27FC236}">
              <a16:creationId xmlns:a16="http://schemas.microsoft.com/office/drawing/2014/main" id="{8B048245-0FC0-442F-D8AE-B21D187EC5DA}"/>
            </a:ext>
          </a:extLst>
        </xdr:cNvPr>
        <xdr:cNvSpPr/>
      </xdr:nvSpPr>
      <xdr:spPr>
        <a:xfrm>
          <a:off x="7179229" y="733503"/>
          <a:ext cx="2894537" cy="2347424"/>
        </a:xfrm>
        <a:prstGeom prst="roundRect">
          <a:avLst>
            <a:gd name="adj" fmla="val 8205"/>
          </a:avLst>
        </a:prstGeom>
        <a:solidFill>
          <a:srgbClr val="438789">
            <a:alpha val="20000"/>
          </a:srgbClr>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11</xdr:col>
      <xdr:colOff>547007</xdr:colOff>
      <xdr:row>7</xdr:row>
      <xdr:rowOff>148951</xdr:rowOff>
    </xdr:from>
    <xdr:to>
      <xdr:col>16</xdr:col>
      <xdr:colOff>188349</xdr:colOff>
      <xdr:row>16</xdr:row>
      <xdr:rowOff>117083</xdr:rowOff>
    </xdr:to>
    <xdr:graphicFrame macro="">
      <xdr:nvGraphicFramePr>
        <xdr:cNvPr id="13" name="Chart 12">
          <a:extLst>
            <a:ext uri="{FF2B5EF4-FFF2-40B4-BE49-F238E27FC236}">
              <a16:creationId xmlns:a16="http://schemas.microsoft.com/office/drawing/2014/main" id="{621C2808-F7FB-4313-B7C8-17F5DC11B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599253</xdr:colOff>
      <xdr:row>4</xdr:row>
      <xdr:rowOff>113202</xdr:rowOff>
    </xdr:from>
    <xdr:to>
      <xdr:col>16</xdr:col>
      <xdr:colOff>128882</xdr:colOff>
      <xdr:row>7</xdr:row>
      <xdr:rowOff>113203</xdr:rowOff>
    </xdr:to>
    <xdr:sp macro="" textlink="H_Dept_attrition">
      <xdr:nvSpPr>
        <xdr:cNvPr id="14" name="TextBox 13">
          <a:extLst>
            <a:ext uri="{FF2B5EF4-FFF2-40B4-BE49-F238E27FC236}">
              <a16:creationId xmlns:a16="http://schemas.microsoft.com/office/drawing/2014/main" id="{95926C4D-10EA-E21E-238D-465B7A2EDCC8}"/>
            </a:ext>
          </a:extLst>
        </xdr:cNvPr>
        <xdr:cNvSpPr txBox="1"/>
      </xdr:nvSpPr>
      <xdr:spPr>
        <a:xfrm>
          <a:off x="7325549" y="834437"/>
          <a:ext cx="2587037" cy="540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54E135-534E-4B9A-9379-819D2CAD857B}" type="TxLink">
            <a:rPr lang="en-US" sz="1300" b="0" i="0" u="none" strike="noStrike" cap="none" spc="50">
              <a:ln w="9525" cmpd="sng">
                <a:solidFill>
                  <a:schemeClr val="accent1"/>
                </a:solidFill>
                <a:prstDash val="solid"/>
              </a:ln>
              <a:solidFill>
                <a:srgbClr val="000000"/>
              </a:solidFill>
              <a:effectLst>
                <a:glow rad="38100">
                  <a:schemeClr val="accent1">
                    <a:alpha val="40000"/>
                  </a:schemeClr>
                </a:glow>
              </a:effectLst>
              <a:latin typeface="Aptos Narrow"/>
              <a:ea typeface="Calibri" panose="020F0502020204030204" pitchFamily="34" charset="0"/>
              <a:cs typeface="Calibri" panose="020F0502020204030204" pitchFamily="34" charset="0"/>
            </a:rPr>
            <a:pPr/>
            <a:t>Research &amp; Development has the highest turnover of 56%</a:t>
          </a:fld>
          <a:endParaRPr lang="en-GB" sz="1300" b="0" cap="none" spc="50">
            <a:ln w="9525" cmpd="sng">
              <a:solidFill>
                <a:schemeClr val="accent1"/>
              </a:solidFill>
              <a:prstDash val="solid"/>
            </a:ln>
            <a:solidFill>
              <a:srgbClr val="FF0000"/>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16</xdr:col>
      <xdr:colOff>529607</xdr:colOff>
      <xdr:row>18</xdr:row>
      <xdr:rowOff>70555</xdr:rowOff>
    </xdr:from>
    <xdr:to>
      <xdr:col>21</xdr:col>
      <xdr:colOff>525247</xdr:colOff>
      <xdr:row>32</xdr:row>
      <xdr:rowOff>109124</xdr:rowOff>
    </xdr:to>
    <xdr:graphicFrame macro="">
      <xdr:nvGraphicFramePr>
        <xdr:cNvPr id="16" name="Chart 15">
          <a:extLst>
            <a:ext uri="{FF2B5EF4-FFF2-40B4-BE49-F238E27FC236}">
              <a16:creationId xmlns:a16="http://schemas.microsoft.com/office/drawing/2014/main" id="{3DEAB79B-BA8E-4513-BB68-22DDF677E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406883</xdr:colOff>
      <xdr:row>16</xdr:row>
      <xdr:rowOff>42982</xdr:rowOff>
    </xdr:from>
    <xdr:to>
      <xdr:col>21</xdr:col>
      <xdr:colOff>525248</xdr:colOff>
      <xdr:row>19</xdr:row>
      <xdr:rowOff>95996</xdr:rowOff>
    </xdr:to>
    <xdr:sp macro="" textlink="income_turnover">
      <xdr:nvSpPr>
        <xdr:cNvPr id="20" name="TextBox 19">
          <a:extLst>
            <a:ext uri="{FF2B5EF4-FFF2-40B4-BE49-F238E27FC236}">
              <a16:creationId xmlns:a16="http://schemas.microsoft.com/office/drawing/2014/main" id="{EE1BD57B-AF2A-849A-9430-60E63B162483}"/>
            </a:ext>
          </a:extLst>
        </xdr:cNvPr>
        <xdr:cNvSpPr txBox="1"/>
      </xdr:nvSpPr>
      <xdr:spPr>
        <a:xfrm>
          <a:off x="10171039" y="2945839"/>
          <a:ext cx="3169664" cy="59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5C4619-AA76-47DD-8ACA-FBE3143D8B0B}" type="TxLink">
            <a:rPr lang="en-US" sz="1100" b="0" i="0" u="none" strike="noStrike" cap="none" spc="50">
              <a:ln w="9525" cmpd="sng">
                <a:solidFill>
                  <a:schemeClr val="accent1"/>
                </a:solidFill>
                <a:prstDash val="solid"/>
              </a:ln>
              <a:solidFill>
                <a:srgbClr val="000000"/>
              </a:solidFill>
              <a:effectLst>
                <a:glow rad="38100">
                  <a:schemeClr val="accent1">
                    <a:alpha val="40000"/>
                  </a:schemeClr>
                </a:glow>
              </a:effectLst>
              <a:latin typeface="Aptos Narrow"/>
              <a:ea typeface="Calibri" panose="020F0502020204030204" pitchFamily="34" charset="0"/>
              <a:cs typeface="Calibri" panose="020F0502020204030204" pitchFamily="34" charset="0"/>
            </a:rPr>
            <a:pPr algn="ctr"/>
            <a:t>Lower income jobs such as 'Sales Representative' has the highest attrition of 26% and vice versa.</a:t>
          </a:fld>
          <a:endParaRPr lang="en-GB" sz="1300" b="0" cap="none" spc="50">
            <a:ln w="9525" cmpd="sng">
              <a:solidFill>
                <a:schemeClr val="accent1"/>
              </a:solidFill>
              <a:prstDash val="solid"/>
            </a:ln>
            <a:solidFill>
              <a:srgbClr val="FF0000"/>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6</xdr:col>
      <xdr:colOff>145001</xdr:colOff>
      <xdr:row>18</xdr:row>
      <xdr:rowOff>78395</xdr:rowOff>
    </xdr:from>
    <xdr:to>
      <xdr:col>11</xdr:col>
      <xdr:colOff>103844</xdr:colOff>
      <xdr:row>30</xdr:row>
      <xdr:rowOff>109752</xdr:rowOff>
    </xdr:to>
    <xdr:graphicFrame macro="">
      <xdr:nvGraphicFramePr>
        <xdr:cNvPr id="22" name="Chart 21">
          <a:extLst>
            <a:ext uri="{FF2B5EF4-FFF2-40B4-BE49-F238E27FC236}">
              <a16:creationId xmlns:a16="http://schemas.microsoft.com/office/drawing/2014/main" id="{F4F0880F-E122-4C15-94B7-9F4BD8E48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85295</xdr:colOff>
      <xdr:row>15</xdr:row>
      <xdr:rowOff>30417</xdr:rowOff>
    </xdr:from>
    <xdr:to>
      <xdr:col>11</xdr:col>
      <xdr:colOff>148950</xdr:colOff>
      <xdr:row>18</xdr:row>
      <xdr:rowOff>62716</xdr:rowOff>
    </xdr:to>
    <xdr:sp macro="" textlink="jobSatisfation_A">
      <xdr:nvSpPr>
        <xdr:cNvPr id="32" name="TextBox 31">
          <a:extLst>
            <a:ext uri="{FF2B5EF4-FFF2-40B4-BE49-F238E27FC236}">
              <a16:creationId xmlns:a16="http://schemas.microsoft.com/office/drawing/2014/main" id="{17F4793C-3DFA-BADF-6D6C-ABCABD444D04}"/>
            </a:ext>
          </a:extLst>
        </xdr:cNvPr>
        <xdr:cNvSpPr txBox="1"/>
      </xdr:nvSpPr>
      <xdr:spPr>
        <a:xfrm>
          <a:off x="3754184" y="2735047"/>
          <a:ext cx="3121062" cy="57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A8D0D7-A583-40BC-A819-A1AF5EAB670F}" type="TxLink">
            <a:rPr lang="en-US" sz="1300" b="0" i="0" u="none" strike="noStrike" cap="none" spc="50">
              <a:ln w="9525" cmpd="sng">
                <a:solidFill>
                  <a:schemeClr val="accent1"/>
                </a:solidFill>
                <a:prstDash val="solid"/>
              </a:ln>
              <a:solidFill>
                <a:srgbClr val="000000"/>
              </a:solidFill>
              <a:effectLst>
                <a:glow rad="38100">
                  <a:schemeClr val="accent1">
                    <a:alpha val="40000"/>
                  </a:schemeClr>
                </a:glow>
              </a:effectLst>
              <a:latin typeface="Aptos Narrow"/>
              <a:ea typeface="Calibri" panose="020F0502020204030204" pitchFamily="34" charset="0"/>
              <a:cs typeface="Calibri" panose="020F0502020204030204" pitchFamily="34" charset="0"/>
            </a:rPr>
            <a:pPr marL="0" indent="0"/>
            <a:t>23% Staff with least Job satisfaction of 1 has the highest attrition</a:t>
          </a:fld>
          <a:endParaRPr lang="en-GB" sz="1300" b="0" i="0" u="none" strike="noStrike" cap="none" spc="50">
            <a:ln w="9525" cmpd="sng">
              <a:solidFill>
                <a:schemeClr val="accent1"/>
              </a:solidFill>
              <a:prstDash val="solid"/>
            </a:ln>
            <a:solidFill>
              <a:srgbClr val="000000"/>
            </a:solidFill>
            <a:effectLst>
              <a:glow rad="38100">
                <a:schemeClr val="accent1">
                  <a:alpha val="40000"/>
                </a:schemeClr>
              </a:glow>
            </a:effectLst>
            <a:latin typeface="Aptos Narrow"/>
            <a:ea typeface="Calibri" panose="020F0502020204030204" pitchFamily="34" charset="0"/>
            <a:cs typeface="Calibri" panose="020F0502020204030204" pitchFamily="34" charset="0"/>
          </a:endParaRPr>
        </a:p>
      </xdr:txBody>
    </xdr:sp>
    <xdr:clientData/>
  </xdr:twoCellAnchor>
  <xdr:twoCellAnchor>
    <xdr:from>
      <xdr:col>16</xdr:col>
      <xdr:colOff>570536</xdr:colOff>
      <xdr:row>6</xdr:row>
      <xdr:rowOff>159908</xdr:rowOff>
    </xdr:from>
    <xdr:to>
      <xdr:col>21</xdr:col>
      <xdr:colOff>372456</xdr:colOff>
      <xdr:row>16</xdr:row>
      <xdr:rowOff>0</xdr:rowOff>
    </xdr:to>
    <xdr:graphicFrame macro="">
      <xdr:nvGraphicFramePr>
        <xdr:cNvPr id="45" name="Chart 44">
          <a:extLst>
            <a:ext uri="{FF2B5EF4-FFF2-40B4-BE49-F238E27FC236}">
              <a16:creationId xmlns:a16="http://schemas.microsoft.com/office/drawing/2014/main" id="{224A0B8B-3C4D-499D-A6E8-539A3ED76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4</xdr:row>
      <xdr:rowOff>44718</xdr:rowOff>
    </xdr:from>
    <xdr:to>
      <xdr:col>11</xdr:col>
      <xdr:colOff>389215</xdr:colOff>
      <xdr:row>7</xdr:row>
      <xdr:rowOff>107435</xdr:rowOff>
    </xdr:to>
    <xdr:sp macro="" textlink="">
      <xdr:nvSpPr>
        <xdr:cNvPr id="47" name="Rectangle: Rounded Corners 46">
          <a:extLst>
            <a:ext uri="{FF2B5EF4-FFF2-40B4-BE49-F238E27FC236}">
              <a16:creationId xmlns:a16="http://schemas.microsoft.com/office/drawing/2014/main" id="{C121573D-F073-CB5F-B4D1-74BABD41A06F}"/>
            </a:ext>
          </a:extLst>
        </xdr:cNvPr>
        <xdr:cNvSpPr/>
      </xdr:nvSpPr>
      <xdr:spPr>
        <a:xfrm>
          <a:off x="4865352" y="795986"/>
          <a:ext cx="2213722" cy="626167"/>
        </a:xfrm>
        <a:prstGeom prst="roundRect">
          <a:avLst>
            <a:gd name="adj" fmla="val 0"/>
          </a:avLst>
        </a:prstGeom>
        <a:solidFill>
          <a:srgbClr val="438789">
            <a:alpha val="40000"/>
          </a:srgbClr>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16</xdr:col>
      <xdr:colOff>529608</xdr:colOff>
      <xdr:row>4</xdr:row>
      <xdr:rowOff>69334</xdr:rowOff>
    </xdr:from>
    <xdr:to>
      <xdr:col>21</xdr:col>
      <xdr:colOff>59237</xdr:colOff>
      <xdr:row>7</xdr:row>
      <xdr:rowOff>69335</xdr:rowOff>
    </xdr:to>
    <xdr:sp macro="" textlink="Overtime_Attri">
      <xdr:nvSpPr>
        <xdr:cNvPr id="50" name="TextBox 49">
          <a:extLst>
            <a:ext uri="{FF2B5EF4-FFF2-40B4-BE49-F238E27FC236}">
              <a16:creationId xmlns:a16="http://schemas.microsoft.com/office/drawing/2014/main" id="{73F5B45C-BD0D-D591-252A-BFDD661313EF}"/>
            </a:ext>
          </a:extLst>
        </xdr:cNvPr>
        <xdr:cNvSpPr txBox="1"/>
      </xdr:nvSpPr>
      <xdr:spPr>
        <a:xfrm>
          <a:off x="10293764" y="795048"/>
          <a:ext cx="2580928" cy="54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50C332-8AED-4B13-BAF0-87A025A1CFA3}" type="TxLink">
            <a:rPr lang="en-US" sz="1300" b="0" i="0" u="none" strike="noStrike" cap="none" spc="50">
              <a:ln w="9525" cmpd="sng">
                <a:solidFill>
                  <a:schemeClr val="accent1"/>
                </a:solidFill>
                <a:prstDash val="solid"/>
              </a:ln>
              <a:solidFill>
                <a:srgbClr val="000000"/>
              </a:solidFill>
              <a:effectLst>
                <a:glow rad="38100">
                  <a:schemeClr val="accent1">
                    <a:alpha val="40000"/>
                  </a:schemeClr>
                </a:glow>
              </a:effectLst>
              <a:latin typeface="Aptos Narrow"/>
              <a:ea typeface="Calibri" panose="020F0502020204030204" pitchFamily="34" charset="0"/>
              <a:cs typeface="Calibri" panose="020F0502020204030204" pitchFamily="34" charset="0"/>
            </a:rPr>
            <a:pPr/>
            <a:t>Attrition increases with increase in Overtime.</a:t>
          </a:fld>
          <a:endParaRPr lang="en-GB" sz="1300" b="0" cap="none" spc="50">
            <a:ln w="9525" cmpd="sng">
              <a:solidFill>
                <a:schemeClr val="accent1"/>
              </a:solidFill>
              <a:prstDash val="solid"/>
            </a:ln>
            <a:solidFill>
              <a:srgbClr val="FF0000"/>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15</xdr:col>
      <xdr:colOff>196759</xdr:colOff>
      <xdr:row>1</xdr:row>
      <xdr:rowOff>125212</xdr:rowOff>
    </xdr:from>
    <xdr:to>
      <xdr:col>21</xdr:col>
      <xdr:colOff>449791</xdr:colOff>
      <xdr:row>3</xdr:row>
      <xdr:rowOff>167569</xdr:rowOff>
    </xdr:to>
    <xdr:sp macro="" textlink="">
      <xdr:nvSpPr>
        <xdr:cNvPr id="51" name="TextBox 50">
          <a:extLst>
            <a:ext uri="{FF2B5EF4-FFF2-40B4-BE49-F238E27FC236}">
              <a16:creationId xmlns:a16="http://schemas.microsoft.com/office/drawing/2014/main" id="{17D6C1CA-18CD-5A51-EAFD-000593F3F975}"/>
            </a:ext>
          </a:extLst>
        </xdr:cNvPr>
        <xdr:cNvSpPr txBox="1"/>
      </xdr:nvSpPr>
      <xdr:spPr>
        <a:xfrm>
          <a:off x="9350655" y="306641"/>
          <a:ext cx="3914591" cy="40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600" b="1" cap="none" spc="50">
              <a:ln w="9525" cmpd="sng">
                <a:solidFill>
                  <a:schemeClr val="accent1"/>
                </a:solidFill>
                <a:prstDash val="solid"/>
              </a:ln>
              <a:solidFill>
                <a:srgbClr val="025043"/>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rPr>
            <a:t>By</a:t>
          </a:r>
          <a:r>
            <a:rPr lang="en-GB" sz="1600" b="1" cap="none" spc="50" baseline="0">
              <a:ln w="9525" cmpd="sng">
                <a:solidFill>
                  <a:schemeClr val="accent1"/>
                </a:solidFill>
                <a:prstDash val="solid"/>
              </a:ln>
              <a:solidFill>
                <a:srgbClr val="025043"/>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rPr>
            <a:t> Nnennaya Ihekwoaba</a:t>
          </a:r>
          <a:endParaRPr lang="en-GB" sz="1600" b="1" cap="none" spc="50">
            <a:ln w="9525" cmpd="sng">
              <a:solidFill>
                <a:schemeClr val="accent1"/>
              </a:solidFill>
              <a:prstDash val="solid"/>
            </a:ln>
            <a:solidFill>
              <a:srgbClr val="025043"/>
            </a:solidFill>
            <a:effectLst>
              <a:glow rad="38100">
                <a:schemeClr val="accent1">
                  <a:alpha val="40000"/>
                </a:schemeClr>
              </a:glow>
            </a:effectLst>
            <a:latin typeface="Century Gothic" panose="020B0502020202020204" pitchFamily="34" charset="0"/>
            <a:ea typeface="Calibri" panose="020F0502020204030204" pitchFamily="34" charset="0"/>
            <a:cs typeface="Calibri" panose="020F0502020204030204" pitchFamily="34" charset="0"/>
          </a:endParaRPr>
        </a:p>
      </xdr:txBody>
    </xdr:sp>
    <xdr:clientData/>
  </xdr:twoCellAnchor>
  <xdr:twoCellAnchor>
    <xdr:from>
      <xdr:col>5</xdr:col>
      <xdr:colOff>0</xdr:colOff>
      <xdr:row>4</xdr:row>
      <xdr:rowOff>50800</xdr:rowOff>
    </xdr:from>
    <xdr:to>
      <xdr:col>7</xdr:col>
      <xdr:colOff>460509</xdr:colOff>
      <xdr:row>7</xdr:row>
      <xdr:rowOff>0</xdr:rowOff>
    </xdr:to>
    <xdr:sp macro="" textlink="">
      <xdr:nvSpPr>
        <xdr:cNvPr id="55" name="Rectangle: Rounded Corners 54">
          <a:extLst>
            <a:ext uri="{FF2B5EF4-FFF2-40B4-BE49-F238E27FC236}">
              <a16:creationId xmlns:a16="http://schemas.microsoft.com/office/drawing/2014/main" id="{F75DCDB7-6D91-27C6-78DA-310C7A9FFAAA}"/>
            </a:ext>
          </a:extLst>
        </xdr:cNvPr>
        <xdr:cNvSpPr/>
      </xdr:nvSpPr>
      <xdr:spPr>
        <a:xfrm>
          <a:off x="3048000" y="787400"/>
          <a:ext cx="1679709" cy="501650"/>
        </a:xfrm>
        <a:prstGeom prst="roundRect">
          <a:avLst>
            <a:gd name="adj" fmla="val 8205"/>
          </a:avLst>
        </a:prstGeom>
        <a:solidFill>
          <a:srgbClr val="438789">
            <a:alpha val="40000"/>
          </a:srgbClr>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editAs="oneCell">
    <xdr:from>
      <xdr:col>4</xdr:col>
      <xdr:colOff>88744</xdr:colOff>
      <xdr:row>4</xdr:row>
      <xdr:rowOff>69334</xdr:rowOff>
    </xdr:from>
    <xdr:to>
      <xdr:col>7</xdr:col>
      <xdr:colOff>460509</xdr:colOff>
      <xdr:row>7</xdr:row>
      <xdr:rowOff>69335</xdr:rowOff>
    </xdr:to>
    <mc:AlternateContent xmlns:mc="http://schemas.openxmlformats.org/markup-compatibility/2006" xmlns:a14="http://schemas.microsoft.com/office/drawing/2010/main">
      <mc:Choice Requires="a14">
        <xdr:graphicFrame macro="">
          <xdr:nvGraphicFramePr>
            <xdr:cNvPr id="53" name="TrainingTimesLastYear">
              <a:extLst>
                <a:ext uri="{FF2B5EF4-FFF2-40B4-BE49-F238E27FC236}">
                  <a16:creationId xmlns:a16="http://schemas.microsoft.com/office/drawing/2014/main" id="{93E70433-5A14-FF63-2C4E-FDC8573D9377}"/>
                </a:ext>
              </a:extLst>
            </xdr:cNvPr>
            <xdr:cNvGraphicFramePr/>
          </xdr:nvGraphicFramePr>
          <xdr:xfrm>
            <a:off x="0" y="0"/>
            <a:ext cx="0" cy="0"/>
          </xdr:xfrm>
          <a:graphic>
            <a:graphicData uri="http://schemas.microsoft.com/office/drawing/2010/slicer">
              <sle:slicer xmlns:sle="http://schemas.microsoft.com/office/drawing/2010/slicer" name="TrainingTimesLastYear"/>
            </a:graphicData>
          </a:graphic>
        </xdr:graphicFrame>
      </mc:Choice>
      <mc:Fallback xmlns="">
        <xdr:sp macro="" textlink="">
          <xdr:nvSpPr>
            <xdr:cNvPr id="0" name=""/>
            <xdr:cNvSpPr>
              <a:spLocks noTextEdit="1"/>
            </xdr:cNvSpPr>
          </xdr:nvSpPr>
          <xdr:spPr>
            <a:xfrm>
              <a:off x="2529783" y="795048"/>
              <a:ext cx="2202544" cy="5442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4</xdr:row>
      <xdr:rowOff>62606</xdr:rowOff>
    </xdr:from>
    <xdr:to>
      <xdr:col>11</xdr:col>
      <xdr:colOff>389215</xdr:colOff>
      <xdr:row>7</xdr:row>
      <xdr:rowOff>65808</xdr:rowOff>
    </xdr:to>
    <mc:AlternateContent xmlns:mc="http://schemas.openxmlformats.org/markup-compatibility/2006" xmlns:a14="http://schemas.microsoft.com/office/drawing/2010/main">
      <mc:Choice Requires="a14">
        <xdr:graphicFrame macro="">
          <xdr:nvGraphicFramePr>
            <xdr:cNvPr id="48" name="EnvironmentSatisfaction">
              <a:extLst>
                <a:ext uri="{FF2B5EF4-FFF2-40B4-BE49-F238E27FC236}">
                  <a16:creationId xmlns:a16="http://schemas.microsoft.com/office/drawing/2014/main" id="{82F8B344-4621-BB15-1F8C-5044D09F23D1}"/>
                </a:ext>
              </a:extLst>
            </xdr:cNvPr>
            <xdr:cNvGraphicFramePr/>
          </xdr:nvGraphicFramePr>
          <xdr:xfrm>
            <a:off x="0" y="0"/>
            <a:ext cx="0" cy="0"/>
          </xdr:xfrm>
          <a:graphic>
            <a:graphicData uri="http://schemas.microsoft.com/office/drawing/2010/slicer">
              <sle:slicer xmlns:sle="http://schemas.microsoft.com/office/drawing/2010/slicer" name="EnvironmentSatisfaction"/>
            </a:graphicData>
          </a:graphic>
        </xdr:graphicFrame>
      </mc:Choice>
      <mc:Fallback xmlns="">
        <xdr:sp macro="" textlink="">
          <xdr:nvSpPr>
            <xdr:cNvPr id="0" name=""/>
            <xdr:cNvSpPr>
              <a:spLocks noTextEdit="1"/>
            </xdr:cNvSpPr>
          </xdr:nvSpPr>
          <xdr:spPr>
            <a:xfrm>
              <a:off x="4882078" y="788320"/>
              <a:ext cx="2219994" cy="5474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13294</xdr:colOff>
      <xdr:row>4</xdr:row>
      <xdr:rowOff>69334</xdr:rowOff>
    </xdr:from>
    <xdr:to>
      <xdr:col>4</xdr:col>
      <xdr:colOff>0</xdr:colOff>
      <xdr:row>7</xdr:row>
      <xdr:rowOff>69335</xdr:rowOff>
    </xdr:to>
    <mc:AlternateContent xmlns:mc="http://schemas.openxmlformats.org/markup-compatibility/2006" xmlns:a14="http://schemas.microsoft.com/office/drawing/2010/main">
      <mc:Choice Requires="a14">
        <xdr:graphicFrame macro="">
          <xdr:nvGraphicFramePr>
            <xdr:cNvPr id="56" name="OverTime">
              <a:extLst>
                <a:ext uri="{FF2B5EF4-FFF2-40B4-BE49-F238E27FC236}">
                  <a16:creationId xmlns:a16="http://schemas.microsoft.com/office/drawing/2014/main" id="{E6C7F521-2015-F0DB-D50D-B305FE6F922B}"/>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623554" y="795048"/>
              <a:ext cx="1817485" cy="5442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148951</xdr:colOff>
      <xdr:row>17</xdr:row>
      <xdr:rowOff>39312</xdr:rowOff>
    </xdr:from>
    <xdr:to>
      <xdr:col>16</xdr:col>
      <xdr:colOff>338102</xdr:colOff>
      <xdr:row>32</xdr:row>
      <xdr:rowOff>11536</xdr:rowOff>
    </xdr:to>
    <xdr:sp macro="" textlink="">
      <xdr:nvSpPr>
        <xdr:cNvPr id="59" name="Rectangle: Rounded Corners 58">
          <a:extLst>
            <a:ext uri="{FF2B5EF4-FFF2-40B4-BE49-F238E27FC236}">
              <a16:creationId xmlns:a16="http://schemas.microsoft.com/office/drawing/2014/main" id="{5DE148D2-8F3E-6418-A6E5-3B34BAEA7143}"/>
            </a:ext>
          </a:extLst>
        </xdr:cNvPr>
        <xdr:cNvSpPr/>
      </xdr:nvSpPr>
      <xdr:spPr>
        <a:xfrm>
          <a:off x="6861808" y="3123598"/>
          <a:ext cx="3240450" cy="2693652"/>
        </a:xfrm>
        <a:prstGeom prst="roundRect">
          <a:avLst>
            <a:gd name="adj" fmla="val 8205"/>
          </a:avLst>
        </a:prstGeom>
        <a:solidFill>
          <a:srgbClr val="438789">
            <a:alpha val="20000"/>
          </a:srgbClr>
        </a:solidFill>
        <a:ln>
          <a:noFill/>
        </a:ln>
        <a:scene3d>
          <a:camera prst="orthographicFront"/>
          <a:lightRig rig="threePt" dir="t"/>
        </a:scene3d>
        <a:sp3d>
          <a:bevelT/>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11</xdr:col>
      <xdr:colOff>185573</xdr:colOff>
      <xdr:row>20</xdr:row>
      <xdr:rowOff>0</xdr:rowOff>
    </xdr:from>
    <xdr:to>
      <xdr:col>16</xdr:col>
      <xdr:colOff>421644</xdr:colOff>
      <xdr:row>31</xdr:row>
      <xdr:rowOff>106839</xdr:rowOff>
    </xdr:to>
    <xdr:graphicFrame macro="">
      <xdr:nvGraphicFramePr>
        <xdr:cNvPr id="57" name="Chart 56">
          <a:extLst>
            <a:ext uri="{FF2B5EF4-FFF2-40B4-BE49-F238E27FC236}">
              <a16:creationId xmlns:a16="http://schemas.microsoft.com/office/drawing/2014/main" id="{DE67C6BC-D0CD-4573-BB29-DD88F8C66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547007</xdr:colOff>
      <xdr:row>17</xdr:row>
      <xdr:rowOff>25556</xdr:rowOff>
    </xdr:from>
    <xdr:to>
      <xdr:col>16</xdr:col>
      <xdr:colOff>76636</xdr:colOff>
      <xdr:row>20</xdr:row>
      <xdr:rowOff>25558</xdr:rowOff>
    </xdr:to>
    <xdr:sp macro="" textlink="">
      <xdr:nvSpPr>
        <xdr:cNvPr id="58" name="TextBox 57">
          <a:extLst>
            <a:ext uri="{FF2B5EF4-FFF2-40B4-BE49-F238E27FC236}">
              <a16:creationId xmlns:a16="http://schemas.microsoft.com/office/drawing/2014/main" id="{39E325F0-1EB2-696E-CC3C-1AEB3C78E5FD}"/>
            </a:ext>
          </a:extLst>
        </xdr:cNvPr>
        <xdr:cNvSpPr txBox="1"/>
      </xdr:nvSpPr>
      <xdr:spPr>
        <a:xfrm>
          <a:off x="7259864" y="3109842"/>
          <a:ext cx="2580928" cy="54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300" b="0" i="0" u="none" strike="noStrike" cap="none" spc="50">
              <a:ln w="9525" cmpd="sng">
                <a:solidFill>
                  <a:schemeClr val="accent1"/>
                </a:solidFill>
                <a:prstDash val="solid"/>
              </a:ln>
              <a:solidFill>
                <a:srgbClr val="000000"/>
              </a:solidFill>
              <a:effectLst>
                <a:glow rad="38100">
                  <a:schemeClr val="accent1">
                    <a:alpha val="40000"/>
                  </a:schemeClr>
                </a:glow>
              </a:effectLst>
              <a:latin typeface="Aptos Narrow"/>
              <a:ea typeface="Calibri" panose="020F0502020204030204" pitchFamily="34" charset="0"/>
              <a:cs typeface="Calibri" panose="020F0502020204030204" pitchFamily="34" charset="0"/>
            </a:rPr>
            <a:t>Top 5 Job roles  with high attritions in the last 5years</a:t>
          </a:r>
        </a:p>
        <a:p>
          <a:pPr marL="0" indent="0"/>
          <a:endParaRPr lang="en-US" sz="1300" b="0" i="0" u="none" strike="noStrike" cap="none" spc="50">
            <a:ln w="9525" cmpd="sng">
              <a:solidFill>
                <a:schemeClr val="accent1"/>
              </a:solidFill>
              <a:prstDash val="solid"/>
            </a:ln>
            <a:solidFill>
              <a:srgbClr val="000000"/>
            </a:solidFill>
            <a:effectLst>
              <a:glow rad="38100">
                <a:schemeClr val="accent1">
                  <a:alpha val="40000"/>
                </a:schemeClr>
              </a:glow>
            </a:effectLst>
            <a:latin typeface="Aptos Narrow"/>
            <a:ea typeface="Calibri" panose="020F0502020204030204" pitchFamily="34" charset="0"/>
            <a:cs typeface="Calibri" panose="020F050202020403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Nnennaya Ihekwoaba" id="{AAAF5B9D-F2FA-44D6-8DE7-43AB2328FADF}" userId="09c9427f7bc7d59c"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nennaya Ihekwoaba" refreshedDate="46199.806844560182" createdVersion="8" refreshedVersion="8" minRefreshableVersion="3" recordCount="1470" xr:uid="{5E425305-49E8-46F6-B24D-9EBD85D8C7D4}">
  <cacheSource type="worksheet">
    <worksheetSource name="HR_table"/>
  </cacheSource>
  <cacheFields count="28">
    <cacheField name="Age" numFmtId="1">
      <sharedItems containsSemiMixedTypes="0" containsString="0" containsNumber="1" containsInteger="1" minValue="18" maxValue="60"/>
    </cacheField>
    <cacheField name="Age Groups" numFmtId="1">
      <sharedItems count="5">
        <s v="(41-50)yrs"/>
        <s v="(31-40)yrs"/>
        <s v="(21-30)yrs"/>
        <s v="(51-60)yrs"/>
        <s v="Under 20yrs"/>
      </sharedItems>
    </cacheField>
    <cacheField name="Attrition" numFmtId="0">
      <sharedItems count="2">
        <s v="Yes"/>
        <s v="No"/>
      </sharedItems>
    </cacheField>
    <cacheField name="BusinessTravel" numFmtId="0">
      <sharedItems/>
    </cacheField>
    <cacheField name="Department" numFmtId="0">
      <sharedItems count="3">
        <s v="Sales"/>
        <s v="Research &amp; Development"/>
        <s v="Human Resources"/>
      </sharedItems>
    </cacheField>
    <cacheField name="EducationField" numFmtId="0">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EmployeeNumber" numFmtId="0">
      <sharedItems containsSemiMixedTypes="0" containsString="0" containsNumber="1" containsInteger="1" minValue="1" maxValue="2068"/>
    </cacheField>
    <cacheField name="DistanceFromHome" numFmtId="1">
      <sharedItems containsSemiMixedTypes="0" containsString="0" containsNumber="1" containsInteger="1" minValue="1" maxValue="29"/>
    </cacheField>
    <cacheField name="EnvironmentSatisfaction" numFmtId="1">
      <sharedItems containsSemiMixedTypes="0" containsString="0" containsNumber="1" containsInteger="1" minValue="1" maxValue="4" count="4">
        <n v="2"/>
        <n v="3"/>
        <n v="4"/>
        <n v="1"/>
      </sharedItems>
    </cacheField>
    <cacheField name="Gender" numFmtId="0">
      <sharedItems/>
    </cacheField>
    <cacheField name="JobLevel" numFmtId="1">
      <sharedItems containsSemiMixedTypes="0" containsString="0" containsNumber="1" containsInteger="1" minValue="1" maxValue="5"/>
    </cacheField>
    <cacheField name="JobSatisfaction" numFmtId="1">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1">
      <sharedItems containsSemiMixedTypes="0" containsString="0" containsNumber="1" containsInteger="1" minValue="1009" maxValue="19999"/>
    </cacheField>
    <cacheField name="MonthlyRate" numFmtId="1">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Time" numFmtId="0">
      <sharedItems count="2">
        <s v="Yes"/>
        <s v="No"/>
      </sharedItems>
    </cacheField>
    <cacheField name="PerformanceRating" numFmtId="1">
      <sharedItems containsSemiMixedTypes="0" containsString="0" containsNumber="1" containsInteger="1" minValue="3" maxValue="4"/>
    </cacheField>
    <cacheField name="RelationshipSatisfaction" numFmtId="1">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TotalWorkingYears" numFmtId="1">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ount="19">
        <n v="4"/>
        <n v="7"/>
        <n v="0"/>
        <n v="2"/>
        <n v="5"/>
        <n v="9"/>
        <n v="8"/>
        <n v="3"/>
        <n v="6"/>
        <n v="13"/>
        <n v="1"/>
        <n v="15"/>
        <n v="14"/>
        <n v="16"/>
        <n v="11"/>
        <n v="10"/>
        <n v="12"/>
        <n v="18"/>
        <n v="17"/>
      </sharedItems>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61468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Travel_Rarely"/>
    <x v="0"/>
    <s v="Life Sciences"/>
    <x v="0"/>
    <n v="1"/>
    <n v="1"/>
    <x v="0"/>
    <s v="Female"/>
    <n v="2"/>
    <x v="0"/>
    <x v="0"/>
    <n v="5993"/>
    <n v="19479"/>
    <n v="8"/>
    <x v="0"/>
    <n v="3"/>
    <n v="1"/>
    <n v="80"/>
    <n v="8"/>
    <x v="0"/>
    <x v="0"/>
    <n v="6"/>
    <x v="0"/>
    <n v="0"/>
    <n v="5"/>
  </r>
  <r>
    <n v="49"/>
    <x v="0"/>
    <x v="1"/>
    <s v="Travel_Frequently"/>
    <x v="1"/>
    <s v="Life Sciences"/>
    <x v="1"/>
    <n v="2"/>
    <n v="8"/>
    <x v="1"/>
    <s v="Male"/>
    <n v="2"/>
    <x v="1"/>
    <x v="1"/>
    <n v="5130"/>
    <n v="24907"/>
    <n v="1"/>
    <x v="1"/>
    <n v="4"/>
    <n v="4"/>
    <n v="80"/>
    <n v="10"/>
    <x v="1"/>
    <x v="1"/>
    <n v="10"/>
    <x v="1"/>
    <n v="1"/>
    <n v="7"/>
  </r>
  <r>
    <n v="37"/>
    <x v="1"/>
    <x v="0"/>
    <s v="Travel_Rarely"/>
    <x v="1"/>
    <s v="Other"/>
    <x v="2"/>
    <n v="4"/>
    <n v="2"/>
    <x v="2"/>
    <s v="Male"/>
    <n v="1"/>
    <x v="2"/>
    <x v="0"/>
    <n v="2090"/>
    <n v="2396"/>
    <n v="6"/>
    <x v="0"/>
    <n v="3"/>
    <n v="2"/>
    <n v="80"/>
    <n v="7"/>
    <x v="1"/>
    <x v="1"/>
    <n v="0"/>
    <x v="2"/>
    <n v="0"/>
    <n v="0"/>
  </r>
  <r>
    <n v="33"/>
    <x v="1"/>
    <x v="1"/>
    <s v="Travel_Frequently"/>
    <x v="1"/>
    <s v="Life Sciences"/>
    <x v="1"/>
    <n v="5"/>
    <n v="3"/>
    <x v="2"/>
    <s v="Female"/>
    <n v="1"/>
    <x v="2"/>
    <x v="1"/>
    <n v="2909"/>
    <n v="23159"/>
    <n v="1"/>
    <x v="0"/>
    <n v="3"/>
    <n v="3"/>
    <n v="80"/>
    <n v="8"/>
    <x v="1"/>
    <x v="1"/>
    <n v="8"/>
    <x v="1"/>
    <n v="3"/>
    <n v="0"/>
  </r>
  <r>
    <n v="27"/>
    <x v="2"/>
    <x v="1"/>
    <s v="Travel_Rarely"/>
    <x v="1"/>
    <s v="Medical"/>
    <x v="2"/>
    <n v="7"/>
    <n v="2"/>
    <x v="3"/>
    <s v="Male"/>
    <n v="1"/>
    <x v="1"/>
    <x v="1"/>
    <n v="3468"/>
    <n v="16632"/>
    <n v="9"/>
    <x v="1"/>
    <n v="3"/>
    <n v="4"/>
    <n v="80"/>
    <n v="6"/>
    <x v="1"/>
    <x v="1"/>
    <n v="2"/>
    <x v="3"/>
    <n v="2"/>
    <n v="2"/>
  </r>
  <r>
    <n v="32"/>
    <x v="1"/>
    <x v="1"/>
    <s v="Travel_Frequently"/>
    <x v="1"/>
    <s v="Life Sciences"/>
    <x v="2"/>
    <n v="8"/>
    <n v="2"/>
    <x v="2"/>
    <s v="Male"/>
    <n v="1"/>
    <x v="0"/>
    <x v="0"/>
    <n v="3068"/>
    <n v="11864"/>
    <n v="0"/>
    <x v="1"/>
    <n v="3"/>
    <n v="3"/>
    <n v="80"/>
    <n v="8"/>
    <x v="2"/>
    <x v="2"/>
    <n v="7"/>
    <x v="1"/>
    <n v="3"/>
    <n v="6"/>
  </r>
  <r>
    <n v="59"/>
    <x v="3"/>
    <x v="1"/>
    <s v="Travel_Rarely"/>
    <x v="1"/>
    <s v="Medical"/>
    <x v="2"/>
    <n v="10"/>
    <n v="3"/>
    <x v="1"/>
    <s v="Female"/>
    <n v="1"/>
    <x v="3"/>
    <x v="1"/>
    <n v="2670"/>
    <n v="9964"/>
    <n v="4"/>
    <x v="0"/>
    <n v="4"/>
    <n v="1"/>
    <n v="80"/>
    <n v="12"/>
    <x v="1"/>
    <x v="2"/>
    <n v="1"/>
    <x v="2"/>
    <n v="0"/>
    <n v="0"/>
  </r>
  <r>
    <n v="30"/>
    <x v="2"/>
    <x v="1"/>
    <s v="Travel_Rarely"/>
    <x v="1"/>
    <s v="Life Sciences"/>
    <x v="2"/>
    <n v="11"/>
    <n v="24"/>
    <x v="2"/>
    <s v="Male"/>
    <n v="1"/>
    <x v="2"/>
    <x v="2"/>
    <n v="2693"/>
    <n v="13335"/>
    <n v="1"/>
    <x v="1"/>
    <n v="4"/>
    <n v="2"/>
    <n v="80"/>
    <n v="1"/>
    <x v="2"/>
    <x v="1"/>
    <n v="1"/>
    <x v="2"/>
    <n v="0"/>
    <n v="0"/>
  </r>
  <r>
    <n v="38"/>
    <x v="1"/>
    <x v="1"/>
    <s v="Travel_Frequently"/>
    <x v="1"/>
    <s v="Life Sciences"/>
    <x v="3"/>
    <n v="12"/>
    <n v="23"/>
    <x v="2"/>
    <s v="Male"/>
    <n v="3"/>
    <x v="2"/>
    <x v="0"/>
    <n v="9526"/>
    <n v="8787"/>
    <n v="0"/>
    <x v="1"/>
    <n v="4"/>
    <n v="2"/>
    <n v="80"/>
    <n v="10"/>
    <x v="2"/>
    <x v="1"/>
    <n v="9"/>
    <x v="1"/>
    <n v="1"/>
    <n v="8"/>
  </r>
  <r>
    <n v="36"/>
    <x v="1"/>
    <x v="1"/>
    <s v="Travel_Rarely"/>
    <x v="1"/>
    <s v="Medical"/>
    <x v="4"/>
    <n v="13"/>
    <n v="27"/>
    <x v="1"/>
    <s v="Male"/>
    <n v="2"/>
    <x v="2"/>
    <x v="1"/>
    <n v="5237"/>
    <n v="16577"/>
    <n v="6"/>
    <x v="1"/>
    <n v="3"/>
    <n v="2"/>
    <n v="80"/>
    <n v="17"/>
    <x v="1"/>
    <x v="2"/>
    <n v="7"/>
    <x v="1"/>
    <n v="7"/>
    <n v="7"/>
  </r>
  <r>
    <n v="35"/>
    <x v="1"/>
    <x v="1"/>
    <s v="Travel_Rarely"/>
    <x v="1"/>
    <s v="Medical"/>
    <x v="2"/>
    <n v="14"/>
    <n v="16"/>
    <x v="3"/>
    <s v="Male"/>
    <n v="1"/>
    <x v="1"/>
    <x v="1"/>
    <n v="2426"/>
    <n v="16479"/>
    <n v="0"/>
    <x v="1"/>
    <n v="3"/>
    <n v="3"/>
    <n v="80"/>
    <n v="6"/>
    <x v="3"/>
    <x v="1"/>
    <n v="5"/>
    <x v="0"/>
    <n v="0"/>
    <n v="3"/>
  </r>
  <r>
    <n v="29"/>
    <x v="2"/>
    <x v="1"/>
    <s v="Travel_Rarely"/>
    <x v="1"/>
    <s v="Life Sciences"/>
    <x v="2"/>
    <n v="15"/>
    <n v="15"/>
    <x v="2"/>
    <s v="Female"/>
    <n v="2"/>
    <x v="2"/>
    <x v="0"/>
    <n v="4193"/>
    <n v="12682"/>
    <n v="0"/>
    <x v="0"/>
    <n v="3"/>
    <n v="4"/>
    <n v="80"/>
    <n v="10"/>
    <x v="1"/>
    <x v="1"/>
    <n v="9"/>
    <x v="4"/>
    <n v="0"/>
    <n v="8"/>
  </r>
  <r>
    <n v="31"/>
    <x v="1"/>
    <x v="1"/>
    <s v="Travel_Rarely"/>
    <x v="1"/>
    <s v="Life Sciences"/>
    <x v="1"/>
    <n v="16"/>
    <n v="26"/>
    <x v="3"/>
    <s v="Male"/>
    <n v="1"/>
    <x v="2"/>
    <x v="2"/>
    <n v="2911"/>
    <n v="15170"/>
    <n v="1"/>
    <x v="1"/>
    <n v="3"/>
    <n v="4"/>
    <n v="80"/>
    <n v="5"/>
    <x v="4"/>
    <x v="2"/>
    <n v="5"/>
    <x v="3"/>
    <n v="4"/>
    <n v="3"/>
  </r>
  <r>
    <n v="34"/>
    <x v="1"/>
    <x v="1"/>
    <s v="Travel_Rarely"/>
    <x v="1"/>
    <s v="Medical"/>
    <x v="2"/>
    <n v="18"/>
    <n v="19"/>
    <x v="0"/>
    <s v="Male"/>
    <n v="1"/>
    <x v="0"/>
    <x v="2"/>
    <n v="2661"/>
    <n v="8758"/>
    <n v="0"/>
    <x v="1"/>
    <n v="3"/>
    <n v="3"/>
    <n v="80"/>
    <n v="3"/>
    <x v="2"/>
    <x v="1"/>
    <n v="2"/>
    <x v="3"/>
    <n v="1"/>
    <n v="2"/>
  </r>
  <r>
    <n v="28"/>
    <x v="2"/>
    <x v="0"/>
    <s v="Travel_Rarely"/>
    <x v="1"/>
    <s v="Life Sciences"/>
    <x v="2"/>
    <n v="19"/>
    <n v="24"/>
    <x v="1"/>
    <s v="Male"/>
    <n v="1"/>
    <x v="2"/>
    <x v="0"/>
    <n v="2028"/>
    <n v="12947"/>
    <n v="5"/>
    <x v="0"/>
    <n v="3"/>
    <n v="2"/>
    <n v="80"/>
    <n v="6"/>
    <x v="5"/>
    <x v="1"/>
    <n v="4"/>
    <x v="3"/>
    <n v="0"/>
    <n v="3"/>
  </r>
  <r>
    <n v="29"/>
    <x v="2"/>
    <x v="1"/>
    <s v="Travel_Rarely"/>
    <x v="1"/>
    <s v="Life Sciences"/>
    <x v="3"/>
    <n v="20"/>
    <n v="21"/>
    <x v="0"/>
    <s v="Female"/>
    <n v="3"/>
    <x v="3"/>
    <x v="2"/>
    <n v="9980"/>
    <n v="10195"/>
    <n v="1"/>
    <x v="1"/>
    <n v="3"/>
    <n v="3"/>
    <n v="80"/>
    <n v="10"/>
    <x v="4"/>
    <x v="1"/>
    <n v="10"/>
    <x v="5"/>
    <n v="8"/>
    <n v="8"/>
  </r>
  <r>
    <n v="32"/>
    <x v="1"/>
    <x v="1"/>
    <s v="Travel_Rarely"/>
    <x v="1"/>
    <s v="Life Sciences"/>
    <x v="1"/>
    <n v="21"/>
    <n v="5"/>
    <x v="3"/>
    <s v="Male"/>
    <n v="1"/>
    <x v="1"/>
    <x v="2"/>
    <n v="3298"/>
    <n v="15053"/>
    <n v="0"/>
    <x v="0"/>
    <n v="3"/>
    <n v="4"/>
    <n v="80"/>
    <n v="7"/>
    <x v="3"/>
    <x v="2"/>
    <n v="6"/>
    <x v="3"/>
    <n v="0"/>
    <n v="5"/>
  </r>
  <r>
    <n v="22"/>
    <x v="2"/>
    <x v="1"/>
    <s v="Non-Travel"/>
    <x v="1"/>
    <s v="Medical"/>
    <x v="2"/>
    <n v="22"/>
    <n v="16"/>
    <x v="2"/>
    <s v="Male"/>
    <n v="1"/>
    <x v="0"/>
    <x v="2"/>
    <n v="2935"/>
    <n v="7324"/>
    <n v="1"/>
    <x v="0"/>
    <n v="3"/>
    <n v="2"/>
    <n v="80"/>
    <n v="1"/>
    <x v="2"/>
    <x v="2"/>
    <n v="1"/>
    <x v="2"/>
    <n v="0"/>
    <n v="0"/>
  </r>
  <r>
    <n v="53"/>
    <x v="3"/>
    <x v="1"/>
    <s v="Travel_Rarely"/>
    <x v="0"/>
    <s v="Life Sciences"/>
    <x v="5"/>
    <n v="23"/>
    <n v="2"/>
    <x v="3"/>
    <s v="Female"/>
    <n v="4"/>
    <x v="0"/>
    <x v="1"/>
    <n v="15427"/>
    <n v="22021"/>
    <n v="2"/>
    <x v="1"/>
    <n v="3"/>
    <n v="3"/>
    <n v="80"/>
    <n v="31"/>
    <x v="1"/>
    <x v="1"/>
    <n v="25"/>
    <x v="6"/>
    <n v="3"/>
    <n v="7"/>
  </r>
  <r>
    <n v="38"/>
    <x v="1"/>
    <x v="1"/>
    <s v="Travel_Rarely"/>
    <x v="1"/>
    <s v="Life Sciences"/>
    <x v="1"/>
    <n v="24"/>
    <n v="2"/>
    <x v="2"/>
    <s v="Male"/>
    <n v="1"/>
    <x v="0"/>
    <x v="0"/>
    <n v="3944"/>
    <n v="4306"/>
    <n v="5"/>
    <x v="0"/>
    <n v="3"/>
    <n v="3"/>
    <n v="80"/>
    <n v="6"/>
    <x v="1"/>
    <x v="1"/>
    <n v="3"/>
    <x v="3"/>
    <n v="1"/>
    <n v="2"/>
  </r>
  <r>
    <n v="24"/>
    <x v="2"/>
    <x v="1"/>
    <s v="Non-Travel"/>
    <x v="1"/>
    <s v="Other"/>
    <x v="3"/>
    <n v="26"/>
    <n v="11"/>
    <x v="3"/>
    <s v="Female"/>
    <n v="2"/>
    <x v="2"/>
    <x v="2"/>
    <n v="4011"/>
    <n v="8232"/>
    <n v="0"/>
    <x v="1"/>
    <n v="3"/>
    <n v="4"/>
    <n v="80"/>
    <n v="5"/>
    <x v="3"/>
    <x v="2"/>
    <n v="4"/>
    <x v="3"/>
    <n v="1"/>
    <n v="3"/>
  </r>
  <r>
    <n v="36"/>
    <x v="1"/>
    <x v="0"/>
    <s v="Travel_Rarely"/>
    <x v="0"/>
    <s v="Life Sciences"/>
    <x v="6"/>
    <n v="27"/>
    <n v="9"/>
    <x v="1"/>
    <s v="Male"/>
    <n v="1"/>
    <x v="3"/>
    <x v="0"/>
    <n v="3407"/>
    <n v="6986"/>
    <n v="7"/>
    <x v="1"/>
    <n v="4"/>
    <n v="2"/>
    <n v="80"/>
    <n v="10"/>
    <x v="5"/>
    <x v="1"/>
    <n v="5"/>
    <x v="7"/>
    <n v="0"/>
    <n v="3"/>
  </r>
  <r>
    <n v="34"/>
    <x v="1"/>
    <x v="1"/>
    <s v="Travel_Rarely"/>
    <x v="1"/>
    <s v="Life Sciences"/>
    <x v="7"/>
    <n v="28"/>
    <n v="7"/>
    <x v="3"/>
    <s v="Female"/>
    <n v="3"/>
    <x v="1"/>
    <x v="0"/>
    <n v="11994"/>
    <n v="21293"/>
    <n v="0"/>
    <x v="1"/>
    <n v="3"/>
    <n v="3"/>
    <n v="80"/>
    <n v="13"/>
    <x v="5"/>
    <x v="1"/>
    <n v="12"/>
    <x v="8"/>
    <n v="2"/>
    <n v="11"/>
  </r>
  <r>
    <n v="21"/>
    <x v="2"/>
    <x v="1"/>
    <s v="Travel_Rarely"/>
    <x v="1"/>
    <s v="Life Sciences"/>
    <x v="1"/>
    <n v="30"/>
    <n v="15"/>
    <x v="1"/>
    <s v="Male"/>
    <n v="1"/>
    <x v="0"/>
    <x v="0"/>
    <n v="1232"/>
    <n v="19281"/>
    <n v="1"/>
    <x v="1"/>
    <n v="3"/>
    <n v="4"/>
    <n v="80"/>
    <n v="0"/>
    <x v="6"/>
    <x v="1"/>
    <n v="0"/>
    <x v="2"/>
    <n v="0"/>
    <n v="0"/>
  </r>
  <r>
    <n v="34"/>
    <x v="1"/>
    <x v="0"/>
    <s v="Travel_Rarely"/>
    <x v="1"/>
    <s v="Medical"/>
    <x v="1"/>
    <n v="31"/>
    <n v="6"/>
    <x v="0"/>
    <s v="Male"/>
    <n v="1"/>
    <x v="3"/>
    <x v="0"/>
    <n v="2960"/>
    <n v="17102"/>
    <n v="2"/>
    <x v="1"/>
    <n v="3"/>
    <n v="3"/>
    <n v="80"/>
    <n v="8"/>
    <x v="2"/>
    <x v="1"/>
    <n v="4"/>
    <x v="3"/>
    <n v="1"/>
    <n v="3"/>
  </r>
  <r>
    <n v="53"/>
    <x v="3"/>
    <x v="1"/>
    <s v="Travel_Rarely"/>
    <x v="1"/>
    <s v="Other"/>
    <x v="5"/>
    <n v="32"/>
    <n v="5"/>
    <x v="1"/>
    <s v="Female"/>
    <n v="5"/>
    <x v="2"/>
    <x v="2"/>
    <n v="19094"/>
    <n v="10735"/>
    <n v="4"/>
    <x v="1"/>
    <n v="3"/>
    <n v="4"/>
    <n v="80"/>
    <n v="26"/>
    <x v="1"/>
    <x v="2"/>
    <n v="14"/>
    <x v="9"/>
    <n v="4"/>
    <n v="8"/>
  </r>
  <r>
    <n v="32"/>
    <x v="1"/>
    <x v="0"/>
    <s v="Travel_Frequently"/>
    <x v="1"/>
    <s v="Life Sciences"/>
    <x v="1"/>
    <n v="33"/>
    <n v="16"/>
    <x v="0"/>
    <s v="Female"/>
    <n v="1"/>
    <x v="3"/>
    <x v="0"/>
    <n v="3919"/>
    <n v="4681"/>
    <n v="1"/>
    <x v="0"/>
    <n v="4"/>
    <n v="2"/>
    <n v="80"/>
    <n v="10"/>
    <x v="3"/>
    <x v="1"/>
    <n v="10"/>
    <x v="3"/>
    <n v="6"/>
    <n v="7"/>
  </r>
  <r>
    <n v="42"/>
    <x v="0"/>
    <x v="1"/>
    <s v="Travel_Rarely"/>
    <x v="0"/>
    <s v="Marketing"/>
    <x v="0"/>
    <n v="35"/>
    <n v="8"/>
    <x v="1"/>
    <s v="Male"/>
    <n v="2"/>
    <x v="1"/>
    <x v="1"/>
    <n v="6825"/>
    <n v="21173"/>
    <n v="0"/>
    <x v="1"/>
    <n v="3"/>
    <n v="4"/>
    <n v="80"/>
    <n v="10"/>
    <x v="2"/>
    <x v="1"/>
    <n v="9"/>
    <x v="1"/>
    <n v="4"/>
    <n v="2"/>
  </r>
  <r>
    <n v="44"/>
    <x v="0"/>
    <x v="1"/>
    <s v="Travel_Rarely"/>
    <x v="1"/>
    <s v="Medical"/>
    <x v="4"/>
    <n v="36"/>
    <n v="7"/>
    <x v="3"/>
    <s v="Female"/>
    <n v="3"/>
    <x v="0"/>
    <x v="1"/>
    <n v="10248"/>
    <n v="2094"/>
    <n v="3"/>
    <x v="1"/>
    <n v="3"/>
    <n v="4"/>
    <n v="80"/>
    <n v="24"/>
    <x v="5"/>
    <x v="1"/>
    <n v="22"/>
    <x v="8"/>
    <n v="5"/>
    <n v="17"/>
  </r>
  <r>
    <n v="46"/>
    <x v="0"/>
    <x v="1"/>
    <s v="Travel_Rarely"/>
    <x v="0"/>
    <s v="Marketing"/>
    <x v="5"/>
    <n v="38"/>
    <n v="2"/>
    <x v="0"/>
    <s v="Female"/>
    <n v="5"/>
    <x v="3"/>
    <x v="0"/>
    <n v="18947"/>
    <n v="22822"/>
    <n v="3"/>
    <x v="1"/>
    <n v="3"/>
    <n v="4"/>
    <n v="80"/>
    <n v="22"/>
    <x v="2"/>
    <x v="2"/>
    <n v="2"/>
    <x v="3"/>
    <n v="2"/>
    <n v="1"/>
  </r>
  <r>
    <n v="33"/>
    <x v="1"/>
    <x v="1"/>
    <s v="Travel_Rarely"/>
    <x v="1"/>
    <s v="Medical"/>
    <x v="2"/>
    <n v="39"/>
    <n v="2"/>
    <x v="1"/>
    <s v="Male"/>
    <n v="1"/>
    <x v="0"/>
    <x v="0"/>
    <n v="2496"/>
    <n v="6670"/>
    <n v="4"/>
    <x v="1"/>
    <n v="3"/>
    <n v="4"/>
    <n v="80"/>
    <n v="7"/>
    <x v="1"/>
    <x v="1"/>
    <n v="1"/>
    <x v="10"/>
    <n v="0"/>
    <n v="0"/>
  </r>
  <r>
    <n v="44"/>
    <x v="0"/>
    <x v="1"/>
    <s v="Travel_Rarely"/>
    <x v="1"/>
    <s v="Other"/>
    <x v="4"/>
    <n v="40"/>
    <n v="10"/>
    <x v="2"/>
    <s v="Male"/>
    <n v="2"/>
    <x v="0"/>
    <x v="1"/>
    <n v="6465"/>
    <n v="19121"/>
    <n v="2"/>
    <x v="0"/>
    <n v="3"/>
    <n v="4"/>
    <n v="80"/>
    <n v="9"/>
    <x v="3"/>
    <x v="3"/>
    <n v="4"/>
    <x v="3"/>
    <n v="1"/>
    <n v="3"/>
  </r>
  <r>
    <n v="30"/>
    <x v="2"/>
    <x v="1"/>
    <s v="Travel_Rarely"/>
    <x v="1"/>
    <s v="Medical"/>
    <x v="2"/>
    <n v="41"/>
    <n v="9"/>
    <x v="2"/>
    <s v="Male"/>
    <n v="1"/>
    <x v="2"/>
    <x v="0"/>
    <n v="2206"/>
    <n v="16117"/>
    <n v="1"/>
    <x v="1"/>
    <n v="3"/>
    <n v="1"/>
    <n v="80"/>
    <n v="10"/>
    <x v="3"/>
    <x v="1"/>
    <n v="10"/>
    <x v="2"/>
    <n v="1"/>
    <n v="8"/>
  </r>
  <r>
    <n v="39"/>
    <x v="1"/>
    <x v="0"/>
    <s v="Travel_Rarely"/>
    <x v="0"/>
    <s v="Technical Degree"/>
    <x v="6"/>
    <n v="42"/>
    <n v="5"/>
    <x v="2"/>
    <s v="Male"/>
    <n v="2"/>
    <x v="0"/>
    <x v="1"/>
    <n v="2086"/>
    <n v="3335"/>
    <n v="3"/>
    <x v="1"/>
    <n v="3"/>
    <n v="3"/>
    <n v="80"/>
    <n v="19"/>
    <x v="6"/>
    <x v="3"/>
    <n v="1"/>
    <x v="2"/>
    <n v="0"/>
    <n v="0"/>
  </r>
  <r>
    <n v="24"/>
    <x v="2"/>
    <x v="0"/>
    <s v="Travel_Rarely"/>
    <x v="1"/>
    <s v="Medical"/>
    <x v="1"/>
    <n v="45"/>
    <n v="1"/>
    <x v="0"/>
    <s v="Male"/>
    <n v="1"/>
    <x v="0"/>
    <x v="1"/>
    <n v="2293"/>
    <n v="3020"/>
    <n v="2"/>
    <x v="0"/>
    <n v="3"/>
    <n v="1"/>
    <n v="80"/>
    <n v="6"/>
    <x v="2"/>
    <x v="2"/>
    <n v="2"/>
    <x v="2"/>
    <n v="2"/>
    <n v="0"/>
  </r>
  <r>
    <n v="43"/>
    <x v="0"/>
    <x v="1"/>
    <s v="Travel_Rarely"/>
    <x v="1"/>
    <s v="Medical"/>
    <x v="1"/>
    <n v="46"/>
    <n v="2"/>
    <x v="2"/>
    <s v="Female"/>
    <n v="1"/>
    <x v="2"/>
    <x v="2"/>
    <n v="2645"/>
    <n v="21923"/>
    <n v="1"/>
    <x v="1"/>
    <n v="3"/>
    <n v="4"/>
    <n v="80"/>
    <n v="6"/>
    <x v="1"/>
    <x v="2"/>
    <n v="5"/>
    <x v="7"/>
    <n v="1"/>
    <n v="4"/>
  </r>
  <r>
    <n v="50"/>
    <x v="0"/>
    <x v="0"/>
    <s v="Travel_Rarely"/>
    <x v="0"/>
    <s v="Marketing"/>
    <x v="6"/>
    <n v="47"/>
    <n v="3"/>
    <x v="3"/>
    <s v="Male"/>
    <n v="1"/>
    <x v="2"/>
    <x v="1"/>
    <n v="2683"/>
    <n v="3810"/>
    <n v="1"/>
    <x v="0"/>
    <n v="3"/>
    <n v="3"/>
    <n v="80"/>
    <n v="3"/>
    <x v="2"/>
    <x v="1"/>
    <n v="3"/>
    <x v="3"/>
    <n v="0"/>
    <n v="2"/>
  </r>
  <r>
    <n v="35"/>
    <x v="1"/>
    <x v="1"/>
    <s v="Travel_Rarely"/>
    <x v="0"/>
    <s v="Marketing"/>
    <x v="6"/>
    <n v="49"/>
    <n v="2"/>
    <x v="2"/>
    <s v="Female"/>
    <n v="1"/>
    <x v="0"/>
    <x v="1"/>
    <n v="2014"/>
    <n v="9687"/>
    <n v="1"/>
    <x v="1"/>
    <n v="3"/>
    <n v="1"/>
    <n v="80"/>
    <n v="2"/>
    <x v="1"/>
    <x v="1"/>
    <n v="2"/>
    <x v="3"/>
    <n v="2"/>
    <n v="2"/>
  </r>
  <r>
    <n v="36"/>
    <x v="1"/>
    <x v="1"/>
    <s v="Travel_Rarely"/>
    <x v="1"/>
    <s v="Life Sciences"/>
    <x v="1"/>
    <n v="51"/>
    <n v="5"/>
    <x v="0"/>
    <s v="Female"/>
    <n v="1"/>
    <x v="3"/>
    <x v="1"/>
    <n v="3419"/>
    <n v="13072"/>
    <n v="9"/>
    <x v="0"/>
    <n v="3"/>
    <n v="4"/>
    <n v="80"/>
    <n v="6"/>
    <x v="1"/>
    <x v="3"/>
    <n v="1"/>
    <x v="10"/>
    <n v="0"/>
    <n v="0"/>
  </r>
  <r>
    <n v="33"/>
    <x v="1"/>
    <x v="1"/>
    <s v="Travel_Frequently"/>
    <x v="0"/>
    <s v="Life Sciences"/>
    <x v="0"/>
    <n v="52"/>
    <n v="1"/>
    <x v="1"/>
    <s v="Female"/>
    <n v="2"/>
    <x v="3"/>
    <x v="1"/>
    <n v="5376"/>
    <n v="3193"/>
    <n v="2"/>
    <x v="1"/>
    <n v="3"/>
    <n v="1"/>
    <n v="80"/>
    <n v="10"/>
    <x v="1"/>
    <x v="1"/>
    <n v="5"/>
    <x v="7"/>
    <n v="1"/>
    <n v="3"/>
  </r>
  <r>
    <n v="35"/>
    <x v="1"/>
    <x v="1"/>
    <s v="Travel_Rarely"/>
    <x v="1"/>
    <s v="Other"/>
    <x v="2"/>
    <n v="53"/>
    <n v="4"/>
    <x v="1"/>
    <s v="Male"/>
    <n v="1"/>
    <x v="0"/>
    <x v="2"/>
    <n v="1951"/>
    <n v="10910"/>
    <n v="1"/>
    <x v="1"/>
    <n v="3"/>
    <n v="3"/>
    <n v="80"/>
    <n v="1"/>
    <x v="1"/>
    <x v="1"/>
    <n v="1"/>
    <x v="2"/>
    <n v="0"/>
    <n v="0"/>
  </r>
  <r>
    <n v="27"/>
    <x v="2"/>
    <x v="1"/>
    <s v="Travel_Rarely"/>
    <x v="1"/>
    <s v="Life Sciences"/>
    <x v="2"/>
    <n v="54"/>
    <n v="2"/>
    <x v="2"/>
    <s v="Female"/>
    <n v="1"/>
    <x v="3"/>
    <x v="2"/>
    <n v="2341"/>
    <n v="19715"/>
    <n v="1"/>
    <x v="1"/>
    <n v="3"/>
    <n v="4"/>
    <n v="80"/>
    <n v="1"/>
    <x v="6"/>
    <x v="1"/>
    <n v="1"/>
    <x v="2"/>
    <n v="0"/>
    <n v="0"/>
  </r>
  <r>
    <n v="26"/>
    <x v="2"/>
    <x v="0"/>
    <s v="Travel_Rarely"/>
    <x v="1"/>
    <s v="Life Sciences"/>
    <x v="2"/>
    <n v="55"/>
    <n v="25"/>
    <x v="3"/>
    <s v="Male"/>
    <n v="1"/>
    <x v="2"/>
    <x v="0"/>
    <n v="2293"/>
    <n v="10558"/>
    <n v="1"/>
    <x v="1"/>
    <n v="3"/>
    <n v="3"/>
    <n v="80"/>
    <n v="1"/>
    <x v="2"/>
    <x v="2"/>
    <n v="1"/>
    <x v="2"/>
    <n v="0"/>
    <n v="1"/>
  </r>
  <r>
    <n v="27"/>
    <x v="2"/>
    <x v="1"/>
    <s v="Travel_Frequently"/>
    <x v="0"/>
    <s v="Life Sciences"/>
    <x v="0"/>
    <n v="56"/>
    <n v="8"/>
    <x v="2"/>
    <s v="Male"/>
    <n v="3"/>
    <x v="2"/>
    <x v="0"/>
    <n v="8726"/>
    <n v="2975"/>
    <n v="1"/>
    <x v="1"/>
    <n v="3"/>
    <n v="4"/>
    <n v="80"/>
    <n v="9"/>
    <x v="0"/>
    <x v="1"/>
    <n v="9"/>
    <x v="6"/>
    <n v="1"/>
    <n v="7"/>
  </r>
  <r>
    <n v="30"/>
    <x v="2"/>
    <x v="1"/>
    <s v="Travel_Frequently"/>
    <x v="1"/>
    <s v="Medical"/>
    <x v="2"/>
    <n v="57"/>
    <n v="1"/>
    <x v="1"/>
    <s v="Female"/>
    <n v="2"/>
    <x v="0"/>
    <x v="0"/>
    <n v="4011"/>
    <n v="10781"/>
    <n v="1"/>
    <x v="1"/>
    <n v="4"/>
    <n v="4"/>
    <n v="80"/>
    <n v="12"/>
    <x v="2"/>
    <x v="1"/>
    <n v="12"/>
    <x v="6"/>
    <n v="3"/>
    <n v="7"/>
  </r>
  <r>
    <n v="41"/>
    <x v="0"/>
    <x v="0"/>
    <s v="Travel_Rarely"/>
    <x v="1"/>
    <s v="Technical Degree"/>
    <x v="7"/>
    <n v="58"/>
    <n v="12"/>
    <x v="0"/>
    <s v="Female"/>
    <n v="5"/>
    <x v="2"/>
    <x v="1"/>
    <n v="19545"/>
    <n v="16280"/>
    <n v="1"/>
    <x v="1"/>
    <n v="3"/>
    <n v="4"/>
    <n v="80"/>
    <n v="23"/>
    <x v="0"/>
    <x v="1"/>
    <n v="22"/>
    <x v="11"/>
    <n v="15"/>
    <n v="8"/>
  </r>
  <r>
    <n v="34"/>
    <x v="1"/>
    <x v="1"/>
    <s v="Non-Travel"/>
    <x v="0"/>
    <s v="Marketing"/>
    <x v="0"/>
    <n v="60"/>
    <n v="23"/>
    <x v="0"/>
    <s v="Male"/>
    <n v="2"/>
    <x v="2"/>
    <x v="0"/>
    <n v="4568"/>
    <n v="10034"/>
    <n v="0"/>
    <x v="1"/>
    <n v="4"/>
    <n v="3"/>
    <n v="80"/>
    <n v="10"/>
    <x v="2"/>
    <x v="1"/>
    <n v="9"/>
    <x v="4"/>
    <n v="8"/>
    <n v="7"/>
  </r>
  <r>
    <n v="37"/>
    <x v="1"/>
    <x v="1"/>
    <s v="Travel_Rarely"/>
    <x v="1"/>
    <s v="Life Sciences"/>
    <x v="1"/>
    <n v="61"/>
    <n v="19"/>
    <x v="0"/>
    <s v="Male"/>
    <n v="1"/>
    <x v="1"/>
    <x v="1"/>
    <n v="3022"/>
    <n v="10227"/>
    <n v="4"/>
    <x v="1"/>
    <n v="4"/>
    <n v="1"/>
    <n v="80"/>
    <n v="8"/>
    <x v="4"/>
    <x v="1"/>
    <n v="1"/>
    <x v="2"/>
    <n v="0"/>
    <n v="0"/>
  </r>
  <r>
    <n v="46"/>
    <x v="0"/>
    <x v="1"/>
    <s v="Travel_Frequently"/>
    <x v="0"/>
    <s v="Marketing"/>
    <x v="0"/>
    <n v="62"/>
    <n v="5"/>
    <x v="3"/>
    <s v="Male"/>
    <n v="2"/>
    <x v="0"/>
    <x v="0"/>
    <n v="5772"/>
    <n v="20445"/>
    <n v="4"/>
    <x v="0"/>
    <n v="4"/>
    <n v="3"/>
    <n v="80"/>
    <n v="14"/>
    <x v="5"/>
    <x v="1"/>
    <n v="9"/>
    <x v="8"/>
    <n v="0"/>
    <n v="8"/>
  </r>
  <r>
    <n v="35"/>
    <x v="1"/>
    <x v="1"/>
    <s v="Travel_Rarely"/>
    <x v="1"/>
    <s v="Life Sciences"/>
    <x v="2"/>
    <n v="63"/>
    <n v="8"/>
    <x v="2"/>
    <s v="Male"/>
    <n v="1"/>
    <x v="0"/>
    <x v="1"/>
    <n v="2269"/>
    <n v="4892"/>
    <n v="1"/>
    <x v="1"/>
    <n v="3"/>
    <n v="4"/>
    <n v="80"/>
    <n v="1"/>
    <x v="2"/>
    <x v="1"/>
    <n v="1"/>
    <x v="2"/>
    <n v="0"/>
    <n v="1"/>
  </r>
  <r>
    <n v="48"/>
    <x v="0"/>
    <x v="0"/>
    <s v="Travel_Rarely"/>
    <x v="1"/>
    <s v="Life Sciences"/>
    <x v="2"/>
    <n v="64"/>
    <n v="1"/>
    <x v="3"/>
    <s v="Male"/>
    <n v="3"/>
    <x v="2"/>
    <x v="0"/>
    <n v="5381"/>
    <n v="19294"/>
    <n v="9"/>
    <x v="0"/>
    <n v="3"/>
    <n v="4"/>
    <n v="80"/>
    <n v="23"/>
    <x v="2"/>
    <x v="1"/>
    <n v="1"/>
    <x v="2"/>
    <n v="0"/>
    <n v="0"/>
  </r>
  <r>
    <n v="28"/>
    <x v="2"/>
    <x v="0"/>
    <s v="Travel_Rarely"/>
    <x v="1"/>
    <s v="Technical Degree"/>
    <x v="2"/>
    <n v="65"/>
    <n v="5"/>
    <x v="1"/>
    <s v="Male"/>
    <n v="1"/>
    <x v="2"/>
    <x v="0"/>
    <n v="3441"/>
    <n v="11179"/>
    <n v="1"/>
    <x v="0"/>
    <n v="3"/>
    <n v="3"/>
    <n v="80"/>
    <n v="2"/>
    <x v="1"/>
    <x v="2"/>
    <n v="2"/>
    <x v="3"/>
    <n v="2"/>
    <n v="2"/>
  </r>
  <r>
    <n v="44"/>
    <x v="0"/>
    <x v="1"/>
    <s v="Travel_Rarely"/>
    <x v="0"/>
    <s v="Marketing"/>
    <x v="0"/>
    <n v="68"/>
    <n v="1"/>
    <x v="0"/>
    <s v="Female"/>
    <n v="2"/>
    <x v="3"/>
    <x v="2"/>
    <n v="5454"/>
    <n v="4009"/>
    <n v="5"/>
    <x v="0"/>
    <n v="4"/>
    <n v="3"/>
    <n v="80"/>
    <n v="9"/>
    <x v="2"/>
    <x v="2"/>
    <n v="4"/>
    <x v="7"/>
    <n v="1"/>
    <n v="3"/>
  </r>
  <r>
    <n v="35"/>
    <x v="1"/>
    <x v="1"/>
    <s v="Non-Travel"/>
    <x v="1"/>
    <s v="Medical"/>
    <x v="4"/>
    <n v="70"/>
    <n v="11"/>
    <x v="1"/>
    <s v="Male"/>
    <n v="3"/>
    <x v="3"/>
    <x v="1"/>
    <n v="9884"/>
    <n v="8302"/>
    <n v="2"/>
    <x v="0"/>
    <n v="3"/>
    <n v="3"/>
    <n v="80"/>
    <n v="10"/>
    <x v="1"/>
    <x v="1"/>
    <n v="4"/>
    <x v="2"/>
    <n v="2"/>
    <n v="3"/>
  </r>
  <r>
    <n v="26"/>
    <x v="2"/>
    <x v="1"/>
    <s v="Travel_Rarely"/>
    <x v="0"/>
    <s v="Marketing"/>
    <x v="0"/>
    <n v="72"/>
    <n v="23"/>
    <x v="1"/>
    <s v="Female"/>
    <n v="2"/>
    <x v="0"/>
    <x v="1"/>
    <n v="4157"/>
    <n v="21436"/>
    <n v="7"/>
    <x v="0"/>
    <n v="3"/>
    <n v="3"/>
    <n v="80"/>
    <n v="5"/>
    <x v="2"/>
    <x v="2"/>
    <n v="2"/>
    <x v="3"/>
    <n v="0"/>
    <n v="0"/>
  </r>
  <r>
    <n v="33"/>
    <x v="1"/>
    <x v="1"/>
    <s v="Travel_Frequently"/>
    <x v="1"/>
    <s v="Life Sciences"/>
    <x v="7"/>
    <n v="73"/>
    <n v="1"/>
    <x v="3"/>
    <s v="Female"/>
    <n v="3"/>
    <x v="0"/>
    <x v="0"/>
    <n v="13458"/>
    <n v="15146"/>
    <n v="1"/>
    <x v="0"/>
    <n v="3"/>
    <n v="3"/>
    <n v="80"/>
    <n v="15"/>
    <x v="4"/>
    <x v="1"/>
    <n v="15"/>
    <x v="12"/>
    <n v="8"/>
    <n v="12"/>
  </r>
  <r>
    <n v="35"/>
    <x v="1"/>
    <x v="1"/>
    <s v="Travel_Frequently"/>
    <x v="0"/>
    <s v="Life Sciences"/>
    <x v="0"/>
    <n v="74"/>
    <n v="18"/>
    <x v="0"/>
    <s v="Male"/>
    <n v="3"/>
    <x v="3"/>
    <x v="1"/>
    <n v="9069"/>
    <n v="11031"/>
    <n v="1"/>
    <x v="1"/>
    <n v="4"/>
    <n v="4"/>
    <n v="80"/>
    <n v="9"/>
    <x v="1"/>
    <x v="2"/>
    <n v="9"/>
    <x v="6"/>
    <n v="1"/>
    <n v="8"/>
  </r>
  <r>
    <n v="35"/>
    <x v="1"/>
    <x v="1"/>
    <s v="Travel_Rarely"/>
    <x v="1"/>
    <s v="Medical"/>
    <x v="2"/>
    <n v="75"/>
    <n v="23"/>
    <x v="1"/>
    <s v="Female"/>
    <n v="1"/>
    <x v="3"/>
    <x v="1"/>
    <n v="4014"/>
    <n v="16002"/>
    <n v="3"/>
    <x v="0"/>
    <n v="3"/>
    <n v="3"/>
    <n v="80"/>
    <n v="4"/>
    <x v="1"/>
    <x v="1"/>
    <n v="2"/>
    <x v="3"/>
    <n v="2"/>
    <n v="2"/>
  </r>
  <r>
    <n v="31"/>
    <x v="1"/>
    <x v="1"/>
    <s v="Travel_Rarely"/>
    <x v="1"/>
    <s v="Life Sciences"/>
    <x v="2"/>
    <n v="76"/>
    <n v="7"/>
    <x v="2"/>
    <s v="Male"/>
    <n v="2"/>
    <x v="0"/>
    <x v="2"/>
    <n v="5915"/>
    <n v="9528"/>
    <n v="3"/>
    <x v="1"/>
    <n v="4"/>
    <n v="4"/>
    <n v="80"/>
    <n v="10"/>
    <x v="1"/>
    <x v="2"/>
    <n v="7"/>
    <x v="1"/>
    <n v="1"/>
    <n v="7"/>
  </r>
  <r>
    <n v="37"/>
    <x v="1"/>
    <x v="1"/>
    <s v="Travel_Rarely"/>
    <x v="1"/>
    <s v="Life Sciences"/>
    <x v="3"/>
    <n v="77"/>
    <n v="1"/>
    <x v="3"/>
    <s v="Male"/>
    <n v="2"/>
    <x v="2"/>
    <x v="2"/>
    <n v="5993"/>
    <n v="2689"/>
    <n v="1"/>
    <x v="1"/>
    <n v="3"/>
    <n v="3"/>
    <n v="80"/>
    <n v="7"/>
    <x v="2"/>
    <x v="3"/>
    <n v="7"/>
    <x v="4"/>
    <n v="0"/>
    <n v="7"/>
  </r>
  <r>
    <n v="32"/>
    <x v="1"/>
    <x v="1"/>
    <s v="Travel_Rarely"/>
    <x v="1"/>
    <s v="Medical"/>
    <x v="3"/>
    <n v="78"/>
    <n v="1"/>
    <x v="3"/>
    <s v="Male"/>
    <n v="2"/>
    <x v="0"/>
    <x v="1"/>
    <n v="6162"/>
    <n v="10877"/>
    <n v="1"/>
    <x v="0"/>
    <n v="4"/>
    <n v="2"/>
    <n v="80"/>
    <n v="9"/>
    <x v="1"/>
    <x v="1"/>
    <n v="9"/>
    <x v="6"/>
    <n v="7"/>
    <n v="8"/>
  </r>
  <r>
    <n v="38"/>
    <x v="1"/>
    <x v="1"/>
    <s v="Travel_Frequently"/>
    <x v="1"/>
    <s v="Life Sciences"/>
    <x v="2"/>
    <n v="79"/>
    <n v="29"/>
    <x v="2"/>
    <s v="Female"/>
    <n v="2"/>
    <x v="0"/>
    <x v="0"/>
    <n v="2406"/>
    <n v="5456"/>
    <n v="1"/>
    <x v="1"/>
    <n v="3"/>
    <n v="4"/>
    <n v="80"/>
    <n v="10"/>
    <x v="2"/>
    <x v="1"/>
    <n v="10"/>
    <x v="7"/>
    <n v="9"/>
    <n v="9"/>
  </r>
  <r>
    <n v="50"/>
    <x v="0"/>
    <x v="1"/>
    <s v="Travel_Rarely"/>
    <x v="1"/>
    <s v="Medical"/>
    <x v="7"/>
    <n v="80"/>
    <n v="7"/>
    <x v="0"/>
    <s v="Female"/>
    <n v="5"/>
    <x v="2"/>
    <x v="2"/>
    <n v="18740"/>
    <n v="16701"/>
    <n v="5"/>
    <x v="0"/>
    <n v="3"/>
    <n v="4"/>
    <n v="80"/>
    <n v="29"/>
    <x v="2"/>
    <x v="2"/>
    <n v="27"/>
    <x v="7"/>
    <n v="13"/>
    <n v="8"/>
  </r>
  <r>
    <n v="59"/>
    <x v="3"/>
    <x v="1"/>
    <s v="Travel_Rarely"/>
    <x v="0"/>
    <s v="Life Sciences"/>
    <x v="0"/>
    <n v="81"/>
    <n v="25"/>
    <x v="3"/>
    <s v="Female"/>
    <n v="3"/>
    <x v="3"/>
    <x v="0"/>
    <n v="7637"/>
    <n v="2354"/>
    <n v="7"/>
    <x v="1"/>
    <n v="3"/>
    <n v="4"/>
    <n v="80"/>
    <n v="28"/>
    <x v="1"/>
    <x v="2"/>
    <n v="21"/>
    <x v="13"/>
    <n v="7"/>
    <n v="9"/>
  </r>
  <r>
    <n v="36"/>
    <x v="1"/>
    <x v="1"/>
    <s v="Travel_Rarely"/>
    <x v="1"/>
    <s v="Technical Degree"/>
    <x v="4"/>
    <n v="83"/>
    <n v="8"/>
    <x v="1"/>
    <s v="Female"/>
    <n v="3"/>
    <x v="2"/>
    <x v="2"/>
    <n v="10096"/>
    <n v="8202"/>
    <n v="1"/>
    <x v="1"/>
    <n v="3"/>
    <n v="2"/>
    <n v="80"/>
    <n v="17"/>
    <x v="2"/>
    <x v="1"/>
    <n v="17"/>
    <x v="12"/>
    <n v="12"/>
    <n v="8"/>
  </r>
  <r>
    <n v="55"/>
    <x v="3"/>
    <x v="1"/>
    <s v="Travel_Rarely"/>
    <x v="1"/>
    <s v="Medical"/>
    <x v="5"/>
    <n v="84"/>
    <n v="8"/>
    <x v="2"/>
    <s v="Female"/>
    <n v="4"/>
    <x v="2"/>
    <x v="2"/>
    <n v="14756"/>
    <n v="19730"/>
    <n v="2"/>
    <x v="0"/>
    <n v="3"/>
    <n v="3"/>
    <n v="80"/>
    <n v="21"/>
    <x v="2"/>
    <x v="1"/>
    <n v="5"/>
    <x v="2"/>
    <n v="0"/>
    <n v="2"/>
  </r>
  <r>
    <n v="36"/>
    <x v="1"/>
    <x v="1"/>
    <s v="Travel_Frequently"/>
    <x v="1"/>
    <s v="Life Sciences"/>
    <x v="3"/>
    <n v="85"/>
    <n v="11"/>
    <x v="0"/>
    <s v="Male"/>
    <n v="2"/>
    <x v="1"/>
    <x v="0"/>
    <n v="6499"/>
    <n v="22656"/>
    <n v="1"/>
    <x v="1"/>
    <n v="3"/>
    <n v="3"/>
    <n v="80"/>
    <n v="6"/>
    <x v="1"/>
    <x v="1"/>
    <n v="6"/>
    <x v="4"/>
    <n v="0"/>
    <n v="3"/>
  </r>
  <r>
    <n v="45"/>
    <x v="0"/>
    <x v="1"/>
    <s v="Travel_Rarely"/>
    <x v="1"/>
    <s v="Life Sciences"/>
    <x v="1"/>
    <n v="86"/>
    <n v="7"/>
    <x v="0"/>
    <s v="Male"/>
    <n v="3"/>
    <x v="3"/>
    <x v="2"/>
    <n v="9724"/>
    <n v="18787"/>
    <n v="2"/>
    <x v="1"/>
    <n v="3"/>
    <n v="3"/>
    <n v="80"/>
    <n v="25"/>
    <x v="2"/>
    <x v="1"/>
    <n v="1"/>
    <x v="2"/>
    <n v="0"/>
    <n v="0"/>
  </r>
  <r>
    <n v="35"/>
    <x v="1"/>
    <x v="1"/>
    <s v="Travel_Frequently"/>
    <x v="1"/>
    <s v="Medical"/>
    <x v="1"/>
    <n v="88"/>
    <n v="1"/>
    <x v="0"/>
    <s v="Male"/>
    <n v="1"/>
    <x v="3"/>
    <x v="1"/>
    <n v="2194"/>
    <n v="5868"/>
    <n v="4"/>
    <x v="1"/>
    <n v="3"/>
    <n v="4"/>
    <n v="80"/>
    <n v="5"/>
    <x v="2"/>
    <x v="2"/>
    <n v="3"/>
    <x v="3"/>
    <n v="1"/>
    <n v="2"/>
  </r>
  <r>
    <n v="36"/>
    <x v="1"/>
    <x v="0"/>
    <s v="Travel_Rarely"/>
    <x v="1"/>
    <s v="Medical"/>
    <x v="1"/>
    <n v="90"/>
    <n v="9"/>
    <x v="2"/>
    <s v="Male"/>
    <n v="1"/>
    <x v="2"/>
    <x v="1"/>
    <n v="3388"/>
    <n v="21777"/>
    <n v="0"/>
    <x v="0"/>
    <n v="3"/>
    <n v="1"/>
    <n v="80"/>
    <n v="2"/>
    <x v="0"/>
    <x v="2"/>
    <n v="1"/>
    <x v="2"/>
    <n v="0"/>
    <n v="0"/>
  </r>
  <r>
    <n v="59"/>
    <x v="3"/>
    <x v="1"/>
    <s v="Travel_Frequently"/>
    <x v="0"/>
    <s v="Life Sciences"/>
    <x v="0"/>
    <n v="91"/>
    <n v="1"/>
    <x v="3"/>
    <s v="Female"/>
    <n v="2"/>
    <x v="2"/>
    <x v="0"/>
    <n v="5473"/>
    <n v="24668"/>
    <n v="7"/>
    <x v="1"/>
    <n v="3"/>
    <n v="4"/>
    <n v="80"/>
    <n v="20"/>
    <x v="2"/>
    <x v="2"/>
    <n v="4"/>
    <x v="7"/>
    <n v="1"/>
    <n v="3"/>
  </r>
  <r>
    <n v="29"/>
    <x v="2"/>
    <x v="1"/>
    <s v="Travel_Rarely"/>
    <x v="1"/>
    <s v="Life Sciences"/>
    <x v="1"/>
    <n v="94"/>
    <n v="2"/>
    <x v="1"/>
    <s v="Male"/>
    <n v="1"/>
    <x v="1"/>
    <x v="1"/>
    <n v="2703"/>
    <n v="4956"/>
    <n v="0"/>
    <x v="1"/>
    <n v="4"/>
    <n v="4"/>
    <n v="80"/>
    <n v="6"/>
    <x v="1"/>
    <x v="1"/>
    <n v="5"/>
    <x v="0"/>
    <n v="0"/>
    <n v="4"/>
  </r>
  <r>
    <n v="31"/>
    <x v="1"/>
    <x v="1"/>
    <s v="Travel_Rarely"/>
    <x v="1"/>
    <s v="Medical"/>
    <x v="1"/>
    <n v="95"/>
    <n v="1"/>
    <x v="1"/>
    <s v="Male"/>
    <n v="1"/>
    <x v="1"/>
    <x v="0"/>
    <n v="2501"/>
    <n v="18775"/>
    <n v="1"/>
    <x v="1"/>
    <n v="3"/>
    <n v="2"/>
    <n v="80"/>
    <n v="1"/>
    <x v="5"/>
    <x v="1"/>
    <n v="1"/>
    <x v="10"/>
    <n v="1"/>
    <n v="0"/>
  </r>
  <r>
    <n v="32"/>
    <x v="1"/>
    <x v="1"/>
    <s v="Travel_Rarely"/>
    <x v="1"/>
    <s v="Life Sciences"/>
    <x v="1"/>
    <n v="96"/>
    <n v="1"/>
    <x v="0"/>
    <s v="Male"/>
    <n v="2"/>
    <x v="1"/>
    <x v="1"/>
    <n v="6220"/>
    <n v="7346"/>
    <n v="1"/>
    <x v="1"/>
    <n v="3"/>
    <n v="2"/>
    <n v="80"/>
    <n v="10"/>
    <x v="1"/>
    <x v="1"/>
    <n v="10"/>
    <x v="0"/>
    <n v="0"/>
    <n v="9"/>
  </r>
  <r>
    <n v="36"/>
    <x v="1"/>
    <x v="1"/>
    <s v="Travel_Rarely"/>
    <x v="1"/>
    <s v="Life Sciences"/>
    <x v="2"/>
    <n v="97"/>
    <n v="6"/>
    <x v="0"/>
    <s v="Female"/>
    <n v="1"/>
    <x v="0"/>
    <x v="1"/>
    <n v="3038"/>
    <n v="22002"/>
    <n v="3"/>
    <x v="1"/>
    <n v="3"/>
    <n v="2"/>
    <n v="80"/>
    <n v="5"/>
    <x v="1"/>
    <x v="1"/>
    <n v="1"/>
    <x v="2"/>
    <n v="0"/>
    <n v="0"/>
  </r>
  <r>
    <n v="31"/>
    <x v="1"/>
    <x v="1"/>
    <s v="Travel_Rarely"/>
    <x v="1"/>
    <s v="Life Sciences"/>
    <x v="3"/>
    <n v="98"/>
    <n v="8"/>
    <x v="1"/>
    <s v="Female"/>
    <n v="2"/>
    <x v="0"/>
    <x v="0"/>
    <n v="4424"/>
    <n v="20682"/>
    <n v="1"/>
    <x v="1"/>
    <n v="4"/>
    <n v="4"/>
    <n v="80"/>
    <n v="11"/>
    <x v="2"/>
    <x v="1"/>
    <n v="11"/>
    <x v="1"/>
    <n v="1"/>
    <n v="8"/>
  </r>
  <r>
    <n v="35"/>
    <x v="1"/>
    <x v="1"/>
    <s v="Travel_Rarely"/>
    <x v="0"/>
    <s v="Marketing"/>
    <x v="0"/>
    <n v="100"/>
    <n v="1"/>
    <x v="1"/>
    <s v="Male"/>
    <n v="2"/>
    <x v="3"/>
    <x v="0"/>
    <n v="4312"/>
    <n v="23016"/>
    <n v="0"/>
    <x v="1"/>
    <n v="3"/>
    <n v="2"/>
    <n v="80"/>
    <n v="16"/>
    <x v="2"/>
    <x v="1"/>
    <n v="15"/>
    <x v="9"/>
    <n v="2"/>
    <n v="8"/>
  </r>
  <r>
    <n v="45"/>
    <x v="0"/>
    <x v="1"/>
    <s v="Travel_Rarely"/>
    <x v="1"/>
    <s v="Other"/>
    <x v="7"/>
    <n v="101"/>
    <n v="6"/>
    <x v="2"/>
    <s v="Male"/>
    <n v="3"/>
    <x v="3"/>
    <x v="1"/>
    <n v="13245"/>
    <n v="15067"/>
    <n v="4"/>
    <x v="0"/>
    <n v="3"/>
    <n v="2"/>
    <n v="80"/>
    <n v="17"/>
    <x v="1"/>
    <x v="3"/>
    <n v="0"/>
    <x v="2"/>
    <n v="0"/>
    <n v="0"/>
  </r>
  <r>
    <n v="37"/>
    <x v="1"/>
    <x v="1"/>
    <s v="Travel_Rarely"/>
    <x v="1"/>
    <s v="Medical"/>
    <x v="7"/>
    <n v="102"/>
    <n v="7"/>
    <x v="3"/>
    <s v="Male"/>
    <n v="3"/>
    <x v="2"/>
    <x v="0"/>
    <n v="13664"/>
    <n v="25258"/>
    <n v="4"/>
    <x v="1"/>
    <n v="3"/>
    <n v="1"/>
    <n v="80"/>
    <n v="16"/>
    <x v="1"/>
    <x v="3"/>
    <n v="5"/>
    <x v="3"/>
    <n v="0"/>
    <n v="2"/>
  </r>
  <r>
    <n v="46"/>
    <x v="0"/>
    <x v="1"/>
    <s v="Travel_Rarely"/>
    <x v="2"/>
    <s v="Medical"/>
    <x v="8"/>
    <n v="103"/>
    <n v="5"/>
    <x v="0"/>
    <s v="Male"/>
    <n v="2"/>
    <x v="1"/>
    <x v="2"/>
    <n v="5021"/>
    <n v="10425"/>
    <n v="8"/>
    <x v="0"/>
    <n v="4"/>
    <n v="4"/>
    <n v="80"/>
    <n v="16"/>
    <x v="2"/>
    <x v="1"/>
    <n v="4"/>
    <x v="3"/>
    <n v="0"/>
    <n v="2"/>
  </r>
  <r>
    <n v="30"/>
    <x v="2"/>
    <x v="1"/>
    <s v="Travel_Rarely"/>
    <x v="1"/>
    <s v="Life Sciences"/>
    <x v="2"/>
    <n v="104"/>
    <n v="1"/>
    <x v="2"/>
    <s v="Male"/>
    <n v="2"/>
    <x v="0"/>
    <x v="1"/>
    <n v="5126"/>
    <n v="15998"/>
    <n v="1"/>
    <x v="0"/>
    <n v="3"/>
    <n v="3"/>
    <n v="80"/>
    <n v="10"/>
    <x v="4"/>
    <x v="2"/>
    <n v="10"/>
    <x v="6"/>
    <n v="3"/>
    <n v="0"/>
  </r>
  <r>
    <n v="35"/>
    <x v="1"/>
    <x v="1"/>
    <s v="Travel_Rarely"/>
    <x v="1"/>
    <s v="Medical"/>
    <x v="1"/>
    <n v="105"/>
    <n v="1"/>
    <x v="0"/>
    <s v="Male"/>
    <n v="1"/>
    <x v="2"/>
    <x v="0"/>
    <n v="2859"/>
    <n v="26278"/>
    <n v="1"/>
    <x v="1"/>
    <n v="3"/>
    <n v="1"/>
    <n v="80"/>
    <n v="6"/>
    <x v="1"/>
    <x v="1"/>
    <n v="6"/>
    <x v="0"/>
    <n v="0"/>
    <n v="4"/>
  </r>
  <r>
    <n v="55"/>
    <x v="3"/>
    <x v="1"/>
    <s v="Travel_Rarely"/>
    <x v="0"/>
    <s v="Life Sciences"/>
    <x v="0"/>
    <n v="106"/>
    <n v="1"/>
    <x v="3"/>
    <s v="Male"/>
    <n v="3"/>
    <x v="0"/>
    <x v="1"/>
    <n v="10239"/>
    <n v="18092"/>
    <n v="3"/>
    <x v="1"/>
    <n v="3"/>
    <n v="4"/>
    <n v="80"/>
    <n v="24"/>
    <x v="5"/>
    <x v="1"/>
    <n v="1"/>
    <x v="2"/>
    <n v="1"/>
    <n v="0"/>
  </r>
  <r>
    <n v="38"/>
    <x v="1"/>
    <x v="1"/>
    <s v="Non-Travel"/>
    <x v="1"/>
    <s v="Medical"/>
    <x v="1"/>
    <n v="107"/>
    <n v="6"/>
    <x v="0"/>
    <s v="Female"/>
    <n v="2"/>
    <x v="0"/>
    <x v="2"/>
    <n v="5329"/>
    <n v="15717"/>
    <n v="7"/>
    <x v="0"/>
    <n v="3"/>
    <n v="4"/>
    <n v="80"/>
    <n v="17"/>
    <x v="1"/>
    <x v="1"/>
    <n v="13"/>
    <x v="14"/>
    <n v="1"/>
    <n v="9"/>
  </r>
  <r>
    <n v="34"/>
    <x v="1"/>
    <x v="1"/>
    <s v="Travel_Rarely"/>
    <x v="1"/>
    <s v="Medical"/>
    <x v="3"/>
    <n v="110"/>
    <n v="1"/>
    <x v="3"/>
    <s v="Male"/>
    <n v="2"/>
    <x v="1"/>
    <x v="1"/>
    <n v="4325"/>
    <n v="17736"/>
    <n v="1"/>
    <x v="1"/>
    <n v="3"/>
    <n v="3"/>
    <n v="80"/>
    <n v="5"/>
    <x v="2"/>
    <x v="1"/>
    <n v="5"/>
    <x v="3"/>
    <n v="1"/>
    <n v="3"/>
  </r>
  <r>
    <n v="56"/>
    <x v="3"/>
    <x v="1"/>
    <s v="Travel_Rarely"/>
    <x v="1"/>
    <s v="Life Sciences"/>
    <x v="3"/>
    <n v="112"/>
    <n v="7"/>
    <x v="2"/>
    <s v="Male"/>
    <n v="3"/>
    <x v="0"/>
    <x v="0"/>
    <n v="7260"/>
    <n v="21698"/>
    <n v="4"/>
    <x v="1"/>
    <n v="3"/>
    <n v="1"/>
    <n v="80"/>
    <n v="37"/>
    <x v="1"/>
    <x v="2"/>
    <n v="6"/>
    <x v="0"/>
    <n v="0"/>
    <n v="2"/>
  </r>
  <r>
    <n v="23"/>
    <x v="2"/>
    <x v="1"/>
    <s v="Travel_Rarely"/>
    <x v="0"/>
    <s v="Technical Degree"/>
    <x v="6"/>
    <n v="113"/>
    <n v="2"/>
    <x v="1"/>
    <s v="Male"/>
    <n v="1"/>
    <x v="3"/>
    <x v="2"/>
    <n v="2322"/>
    <n v="9518"/>
    <n v="3"/>
    <x v="1"/>
    <n v="3"/>
    <n v="3"/>
    <n v="80"/>
    <n v="3"/>
    <x v="1"/>
    <x v="1"/>
    <n v="0"/>
    <x v="2"/>
    <n v="0"/>
    <n v="0"/>
  </r>
  <r>
    <n v="51"/>
    <x v="3"/>
    <x v="1"/>
    <s v="Travel_Rarely"/>
    <x v="1"/>
    <s v="Life Sciences"/>
    <x v="2"/>
    <n v="116"/>
    <n v="9"/>
    <x v="2"/>
    <s v="Male"/>
    <n v="1"/>
    <x v="0"/>
    <x v="1"/>
    <n v="2075"/>
    <n v="18725"/>
    <n v="3"/>
    <x v="1"/>
    <n v="4"/>
    <n v="2"/>
    <n v="80"/>
    <n v="10"/>
    <x v="5"/>
    <x v="1"/>
    <n v="4"/>
    <x v="3"/>
    <n v="0"/>
    <n v="3"/>
  </r>
  <r>
    <n v="30"/>
    <x v="2"/>
    <x v="1"/>
    <s v="Travel_Rarely"/>
    <x v="1"/>
    <s v="Life Sciences"/>
    <x v="4"/>
    <n v="117"/>
    <n v="2"/>
    <x v="1"/>
    <s v="Male"/>
    <n v="2"/>
    <x v="0"/>
    <x v="1"/>
    <n v="4152"/>
    <n v="15830"/>
    <n v="1"/>
    <x v="1"/>
    <n v="3"/>
    <n v="1"/>
    <n v="80"/>
    <n v="11"/>
    <x v="1"/>
    <x v="1"/>
    <n v="11"/>
    <x v="15"/>
    <n v="10"/>
    <n v="8"/>
  </r>
  <r>
    <n v="46"/>
    <x v="0"/>
    <x v="0"/>
    <s v="Travel_Rarely"/>
    <x v="0"/>
    <s v="Medical"/>
    <x v="0"/>
    <n v="118"/>
    <n v="9"/>
    <x v="1"/>
    <s v="Male"/>
    <n v="3"/>
    <x v="0"/>
    <x v="0"/>
    <n v="9619"/>
    <n v="13596"/>
    <n v="1"/>
    <x v="1"/>
    <n v="3"/>
    <n v="4"/>
    <n v="80"/>
    <n v="9"/>
    <x v="1"/>
    <x v="1"/>
    <n v="9"/>
    <x v="6"/>
    <n v="4"/>
    <n v="7"/>
  </r>
  <r>
    <n v="40"/>
    <x v="1"/>
    <x v="1"/>
    <s v="Travel_Frequently"/>
    <x v="1"/>
    <s v="Life Sciences"/>
    <x v="4"/>
    <n v="119"/>
    <n v="1"/>
    <x v="1"/>
    <s v="Male"/>
    <n v="4"/>
    <x v="1"/>
    <x v="1"/>
    <n v="13503"/>
    <n v="14115"/>
    <n v="1"/>
    <x v="1"/>
    <n v="4"/>
    <n v="4"/>
    <n v="80"/>
    <n v="22"/>
    <x v="1"/>
    <x v="2"/>
    <n v="22"/>
    <x v="7"/>
    <n v="11"/>
    <n v="11"/>
  </r>
  <r>
    <n v="51"/>
    <x v="3"/>
    <x v="1"/>
    <s v="Travel_Rarely"/>
    <x v="0"/>
    <s v="Marketing"/>
    <x v="0"/>
    <n v="120"/>
    <n v="21"/>
    <x v="1"/>
    <s v="Male"/>
    <n v="2"/>
    <x v="0"/>
    <x v="0"/>
    <n v="5441"/>
    <n v="8423"/>
    <n v="0"/>
    <x v="0"/>
    <n v="4"/>
    <n v="4"/>
    <n v="80"/>
    <n v="11"/>
    <x v="2"/>
    <x v="0"/>
    <n v="10"/>
    <x v="1"/>
    <n v="1"/>
    <n v="0"/>
  </r>
  <r>
    <n v="30"/>
    <x v="2"/>
    <x v="1"/>
    <s v="Travel_Rarely"/>
    <x v="0"/>
    <s v="Medical"/>
    <x v="0"/>
    <n v="121"/>
    <n v="4"/>
    <x v="1"/>
    <s v="Female"/>
    <n v="2"/>
    <x v="1"/>
    <x v="2"/>
    <n v="5209"/>
    <n v="19760"/>
    <n v="1"/>
    <x v="0"/>
    <n v="3"/>
    <n v="2"/>
    <n v="80"/>
    <n v="11"/>
    <x v="5"/>
    <x v="2"/>
    <n v="11"/>
    <x v="6"/>
    <n v="2"/>
    <n v="7"/>
  </r>
  <r>
    <n v="46"/>
    <x v="0"/>
    <x v="1"/>
    <s v="Travel_Frequently"/>
    <x v="1"/>
    <s v="Medical"/>
    <x v="4"/>
    <n v="124"/>
    <n v="1"/>
    <x v="1"/>
    <s v="Male"/>
    <n v="3"/>
    <x v="3"/>
    <x v="1"/>
    <n v="10673"/>
    <n v="3142"/>
    <n v="2"/>
    <x v="0"/>
    <n v="3"/>
    <n v="3"/>
    <n v="80"/>
    <n v="21"/>
    <x v="3"/>
    <x v="2"/>
    <n v="10"/>
    <x v="5"/>
    <n v="9"/>
    <n v="5"/>
  </r>
  <r>
    <n v="32"/>
    <x v="1"/>
    <x v="1"/>
    <s v="Travel_Rarely"/>
    <x v="0"/>
    <s v="Medical"/>
    <x v="0"/>
    <n v="125"/>
    <n v="6"/>
    <x v="0"/>
    <s v="Male"/>
    <n v="2"/>
    <x v="2"/>
    <x v="0"/>
    <n v="5010"/>
    <n v="24301"/>
    <n v="1"/>
    <x v="1"/>
    <n v="3"/>
    <n v="1"/>
    <n v="80"/>
    <n v="12"/>
    <x v="0"/>
    <x v="1"/>
    <n v="11"/>
    <x v="6"/>
    <n v="5"/>
    <n v="7"/>
  </r>
  <r>
    <n v="54"/>
    <x v="3"/>
    <x v="1"/>
    <s v="Travel_Rarely"/>
    <x v="1"/>
    <s v="Technical Degree"/>
    <x v="7"/>
    <n v="126"/>
    <n v="2"/>
    <x v="3"/>
    <s v="Female"/>
    <n v="3"/>
    <x v="2"/>
    <x v="1"/>
    <n v="13549"/>
    <n v="24001"/>
    <n v="9"/>
    <x v="1"/>
    <n v="3"/>
    <n v="1"/>
    <n v="80"/>
    <n v="16"/>
    <x v="3"/>
    <x v="0"/>
    <n v="4"/>
    <x v="7"/>
    <n v="0"/>
    <n v="3"/>
  </r>
  <r>
    <n v="24"/>
    <x v="2"/>
    <x v="1"/>
    <s v="Travel_Rarely"/>
    <x v="0"/>
    <s v="Other"/>
    <x v="0"/>
    <n v="128"/>
    <n v="3"/>
    <x v="3"/>
    <s v="Female"/>
    <n v="2"/>
    <x v="2"/>
    <x v="1"/>
    <n v="4999"/>
    <n v="17519"/>
    <n v="0"/>
    <x v="1"/>
    <n v="4"/>
    <n v="1"/>
    <n v="80"/>
    <n v="4"/>
    <x v="2"/>
    <x v="2"/>
    <n v="3"/>
    <x v="3"/>
    <n v="0"/>
    <n v="2"/>
  </r>
  <r>
    <n v="28"/>
    <x v="2"/>
    <x v="1"/>
    <s v="Non-Travel"/>
    <x v="0"/>
    <s v="Medical"/>
    <x v="0"/>
    <n v="129"/>
    <n v="4"/>
    <x v="0"/>
    <s v="Male"/>
    <n v="2"/>
    <x v="2"/>
    <x v="1"/>
    <n v="4221"/>
    <n v="8863"/>
    <n v="1"/>
    <x v="1"/>
    <n v="3"/>
    <n v="2"/>
    <n v="80"/>
    <n v="5"/>
    <x v="1"/>
    <x v="3"/>
    <n v="5"/>
    <x v="0"/>
    <n v="0"/>
    <n v="4"/>
  </r>
  <r>
    <n v="58"/>
    <x v="3"/>
    <x v="1"/>
    <s v="Travel_Rarely"/>
    <x v="0"/>
    <s v="Medical"/>
    <x v="0"/>
    <n v="131"/>
    <n v="10"/>
    <x v="2"/>
    <s v="Male"/>
    <n v="4"/>
    <x v="2"/>
    <x v="0"/>
    <n v="13872"/>
    <n v="24409"/>
    <n v="0"/>
    <x v="1"/>
    <n v="3"/>
    <n v="3"/>
    <n v="80"/>
    <n v="38"/>
    <x v="4"/>
    <x v="2"/>
    <n v="37"/>
    <x v="15"/>
    <n v="1"/>
    <n v="8"/>
  </r>
  <r>
    <n v="44"/>
    <x v="0"/>
    <x v="1"/>
    <s v="Non-Travel"/>
    <x v="1"/>
    <s v="Medical"/>
    <x v="2"/>
    <n v="132"/>
    <n v="23"/>
    <x v="0"/>
    <s v="Male"/>
    <n v="2"/>
    <x v="1"/>
    <x v="1"/>
    <n v="2042"/>
    <n v="25043"/>
    <n v="4"/>
    <x v="1"/>
    <n v="3"/>
    <n v="3"/>
    <n v="80"/>
    <n v="17"/>
    <x v="1"/>
    <x v="3"/>
    <n v="3"/>
    <x v="3"/>
    <n v="1"/>
    <n v="2"/>
  </r>
  <r>
    <n v="37"/>
    <x v="1"/>
    <x v="0"/>
    <s v="Travel_Rarely"/>
    <x v="2"/>
    <s v="Human Resources"/>
    <x v="8"/>
    <n v="133"/>
    <n v="6"/>
    <x v="1"/>
    <s v="Male"/>
    <n v="1"/>
    <x v="3"/>
    <x v="2"/>
    <n v="2073"/>
    <n v="23648"/>
    <n v="4"/>
    <x v="0"/>
    <n v="4"/>
    <n v="4"/>
    <n v="80"/>
    <n v="7"/>
    <x v="1"/>
    <x v="1"/>
    <n v="3"/>
    <x v="3"/>
    <n v="0"/>
    <n v="2"/>
  </r>
  <r>
    <n v="32"/>
    <x v="1"/>
    <x v="1"/>
    <s v="Travel_Rarely"/>
    <x v="1"/>
    <s v="Life Sciences"/>
    <x v="1"/>
    <n v="134"/>
    <n v="1"/>
    <x v="2"/>
    <s v="Male"/>
    <n v="1"/>
    <x v="3"/>
    <x v="0"/>
    <n v="2956"/>
    <n v="15178"/>
    <n v="1"/>
    <x v="1"/>
    <n v="3"/>
    <n v="4"/>
    <n v="80"/>
    <n v="1"/>
    <x v="2"/>
    <x v="1"/>
    <n v="1"/>
    <x v="2"/>
    <n v="0"/>
    <n v="0"/>
  </r>
  <r>
    <n v="20"/>
    <x v="4"/>
    <x v="0"/>
    <s v="Travel_Frequently"/>
    <x v="1"/>
    <s v="Life Sciences"/>
    <x v="2"/>
    <n v="137"/>
    <n v="6"/>
    <x v="2"/>
    <s v="Female"/>
    <n v="1"/>
    <x v="0"/>
    <x v="0"/>
    <n v="2926"/>
    <n v="19783"/>
    <n v="1"/>
    <x v="0"/>
    <n v="3"/>
    <n v="2"/>
    <n v="80"/>
    <n v="1"/>
    <x v="3"/>
    <x v="1"/>
    <n v="1"/>
    <x v="2"/>
    <n v="1"/>
    <n v="0"/>
  </r>
  <r>
    <n v="34"/>
    <x v="1"/>
    <x v="1"/>
    <s v="Travel_Rarely"/>
    <x v="1"/>
    <s v="Other"/>
    <x v="1"/>
    <n v="138"/>
    <n v="6"/>
    <x v="3"/>
    <s v="Female"/>
    <n v="2"/>
    <x v="2"/>
    <x v="0"/>
    <n v="4809"/>
    <n v="12482"/>
    <n v="1"/>
    <x v="1"/>
    <n v="3"/>
    <n v="3"/>
    <n v="80"/>
    <n v="16"/>
    <x v="1"/>
    <x v="1"/>
    <n v="16"/>
    <x v="9"/>
    <n v="2"/>
    <n v="10"/>
  </r>
  <r>
    <n v="37"/>
    <x v="1"/>
    <x v="1"/>
    <s v="Non-Travel"/>
    <x v="1"/>
    <s v="Life Sciences"/>
    <x v="4"/>
    <n v="139"/>
    <n v="2"/>
    <x v="1"/>
    <s v="Male"/>
    <n v="2"/>
    <x v="0"/>
    <x v="2"/>
    <n v="5163"/>
    <n v="15850"/>
    <n v="5"/>
    <x v="1"/>
    <n v="3"/>
    <n v="4"/>
    <n v="80"/>
    <n v="17"/>
    <x v="2"/>
    <x v="3"/>
    <n v="1"/>
    <x v="2"/>
    <n v="0"/>
    <n v="0"/>
  </r>
  <r>
    <n v="59"/>
    <x v="3"/>
    <x v="1"/>
    <s v="Non-Travel"/>
    <x v="2"/>
    <s v="Human Resources"/>
    <x v="5"/>
    <n v="140"/>
    <n v="2"/>
    <x v="1"/>
    <s v="Female"/>
    <n v="5"/>
    <x v="0"/>
    <x v="1"/>
    <n v="18844"/>
    <n v="21922"/>
    <n v="9"/>
    <x v="1"/>
    <n v="4"/>
    <n v="4"/>
    <n v="80"/>
    <n v="30"/>
    <x v="1"/>
    <x v="1"/>
    <n v="3"/>
    <x v="3"/>
    <n v="2"/>
    <n v="2"/>
  </r>
  <r>
    <n v="50"/>
    <x v="0"/>
    <x v="1"/>
    <s v="Travel_Frequently"/>
    <x v="1"/>
    <s v="Life Sciences"/>
    <x v="7"/>
    <n v="141"/>
    <n v="1"/>
    <x v="3"/>
    <s v="Female"/>
    <n v="5"/>
    <x v="1"/>
    <x v="1"/>
    <n v="18172"/>
    <n v="9755"/>
    <n v="3"/>
    <x v="0"/>
    <n v="3"/>
    <n v="1"/>
    <n v="80"/>
    <n v="28"/>
    <x v="4"/>
    <x v="2"/>
    <n v="8"/>
    <x v="7"/>
    <n v="0"/>
    <n v="7"/>
  </r>
  <r>
    <n v="25"/>
    <x v="2"/>
    <x v="0"/>
    <s v="Travel_Rarely"/>
    <x v="0"/>
    <s v="Marketing"/>
    <x v="0"/>
    <n v="142"/>
    <n v="5"/>
    <x v="1"/>
    <s v="Male"/>
    <n v="2"/>
    <x v="2"/>
    <x v="0"/>
    <n v="5744"/>
    <n v="26959"/>
    <n v="1"/>
    <x v="0"/>
    <n v="3"/>
    <n v="4"/>
    <n v="80"/>
    <n v="6"/>
    <x v="4"/>
    <x v="1"/>
    <n v="6"/>
    <x v="0"/>
    <n v="0"/>
    <n v="3"/>
  </r>
  <r>
    <n v="25"/>
    <x v="2"/>
    <x v="1"/>
    <s v="Travel_Rarely"/>
    <x v="1"/>
    <s v="Medical"/>
    <x v="1"/>
    <n v="143"/>
    <n v="7"/>
    <x v="2"/>
    <s v="Male"/>
    <n v="1"/>
    <x v="0"/>
    <x v="1"/>
    <n v="2889"/>
    <n v="26897"/>
    <n v="1"/>
    <x v="1"/>
    <n v="3"/>
    <n v="3"/>
    <n v="80"/>
    <n v="2"/>
    <x v="2"/>
    <x v="1"/>
    <n v="2"/>
    <x v="3"/>
    <n v="2"/>
    <n v="1"/>
  </r>
  <r>
    <n v="22"/>
    <x v="2"/>
    <x v="1"/>
    <s v="Travel_Rarely"/>
    <x v="1"/>
    <s v="Medical"/>
    <x v="2"/>
    <n v="144"/>
    <n v="15"/>
    <x v="0"/>
    <s v="Female"/>
    <n v="1"/>
    <x v="0"/>
    <x v="0"/>
    <n v="2871"/>
    <n v="23785"/>
    <n v="1"/>
    <x v="1"/>
    <n v="3"/>
    <n v="3"/>
    <n v="80"/>
    <n v="1"/>
    <x v="3"/>
    <x v="1"/>
    <n v="0"/>
    <x v="2"/>
    <n v="0"/>
    <n v="0"/>
  </r>
  <r>
    <n v="51"/>
    <x v="3"/>
    <x v="1"/>
    <s v="Travel_Frequently"/>
    <x v="1"/>
    <s v="Medical"/>
    <x v="4"/>
    <n v="145"/>
    <n v="1"/>
    <x v="3"/>
    <s v="Female"/>
    <n v="3"/>
    <x v="3"/>
    <x v="0"/>
    <n v="7484"/>
    <n v="25796"/>
    <n v="3"/>
    <x v="1"/>
    <n v="4"/>
    <n v="3"/>
    <n v="80"/>
    <n v="23"/>
    <x v="4"/>
    <x v="2"/>
    <n v="13"/>
    <x v="16"/>
    <n v="12"/>
    <n v="8"/>
  </r>
  <r>
    <n v="34"/>
    <x v="1"/>
    <x v="0"/>
    <s v="Travel_Frequently"/>
    <x v="1"/>
    <s v="Life Sciences"/>
    <x v="2"/>
    <n v="147"/>
    <n v="7"/>
    <x v="3"/>
    <s v="Male"/>
    <n v="2"/>
    <x v="2"/>
    <x v="0"/>
    <n v="6074"/>
    <n v="22887"/>
    <n v="1"/>
    <x v="0"/>
    <n v="4"/>
    <n v="4"/>
    <n v="80"/>
    <n v="9"/>
    <x v="1"/>
    <x v="1"/>
    <n v="9"/>
    <x v="1"/>
    <n v="0"/>
    <n v="6"/>
  </r>
  <r>
    <n v="54"/>
    <x v="3"/>
    <x v="1"/>
    <s v="Non-Travel"/>
    <x v="2"/>
    <s v="Human Resources"/>
    <x v="5"/>
    <n v="148"/>
    <n v="26"/>
    <x v="2"/>
    <s v="Female"/>
    <n v="4"/>
    <x v="0"/>
    <x v="0"/>
    <n v="17328"/>
    <n v="13871"/>
    <n v="2"/>
    <x v="0"/>
    <n v="3"/>
    <n v="3"/>
    <n v="80"/>
    <n v="23"/>
    <x v="1"/>
    <x v="1"/>
    <n v="5"/>
    <x v="7"/>
    <n v="4"/>
    <n v="4"/>
  </r>
  <r>
    <n v="24"/>
    <x v="2"/>
    <x v="1"/>
    <s v="Travel_Rarely"/>
    <x v="1"/>
    <s v="Life Sciences"/>
    <x v="2"/>
    <n v="150"/>
    <n v="18"/>
    <x v="0"/>
    <s v="Male"/>
    <n v="1"/>
    <x v="2"/>
    <x v="1"/>
    <n v="2774"/>
    <n v="13257"/>
    <n v="0"/>
    <x v="1"/>
    <n v="3"/>
    <n v="3"/>
    <n v="80"/>
    <n v="6"/>
    <x v="2"/>
    <x v="1"/>
    <n v="5"/>
    <x v="7"/>
    <n v="1"/>
    <n v="2"/>
  </r>
  <r>
    <n v="34"/>
    <x v="1"/>
    <x v="1"/>
    <s v="Travel_Rarely"/>
    <x v="1"/>
    <s v="Life Sciences"/>
    <x v="1"/>
    <n v="151"/>
    <n v="6"/>
    <x v="1"/>
    <s v="Female"/>
    <n v="2"/>
    <x v="1"/>
    <x v="2"/>
    <n v="4505"/>
    <n v="15000"/>
    <n v="6"/>
    <x v="1"/>
    <n v="3"/>
    <n v="3"/>
    <n v="80"/>
    <n v="12"/>
    <x v="1"/>
    <x v="1"/>
    <n v="1"/>
    <x v="2"/>
    <n v="0"/>
    <n v="0"/>
  </r>
  <r>
    <n v="37"/>
    <x v="1"/>
    <x v="1"/>
    <s v="Travel_Rarely"/>
    <x v="0"/>
    <s v="Life Sciences"/>
    <x v="0"/>
    <n v="152"/>
    <n v="3"/>
    <x v="1"/>
    <s v="Male"/>
    <n v="3"/>
    <x v="0"/>
    <x v="0"/>
    <n v="7428"/>
    <n v="14506"/>
    <n v="2"/>
    <x v="1"/>
    <n v="3"/>
    <n v="1"/>
    <n v="80"/>
    <n v="12"/>
    <x v="1"/>
    <x v="1"/>
    <n v="5"/>
    <x v="7"/>
    <n v="1"/>
    <n v="3"/>
  </r>
  <r>
    <n v="34"/>
    <x v="1"/>
    <x v="1"/>
    <s v="Travel_Rarely"/>
    <x v="1"/>
    <s v="Medical"/>
    <x v="5"/>
    <n v="153"/>
    <n v="5"/>
    <x v="1"/>
    <s v="Female"/>
    <n v="3"/>
    <x v="3"/>
    <x v="0"/>
    <n v="11631"/>
    <n v="5615"/>
    <n v="2"/>
    <x v="1"/>
    <n v="3"/>
    <n v="4"/>
    <n v="80"/>
    <n v="14"/>
    <x v="6"/>
    <x v="1"/>
    <n v="11"/>
    <x v="15"/>
    <n v="5"/>
    <n v="8"/>
  </r>
  <r>
    <n v="36"/>
    <x v="1"/>
    <x v="1"/>
    <s v="Travel_Frequently"/>
    <x v="0"/>
    <s v="Technical Degree"/>
    <x v="0"/>
    <n v="154"/>
    <n v="11"/>
    <x v="0"/>
    <s v="Female"/>
    <n v="3"/>
    <x v="0"/>
    <x v="1"/>
    <n v="9738"/>
    <n v="22952"/>
    <n v="0"/>
    <x v="1"/>
    <n v="3"/>
    <n v="3"/>
    <n v="80"/>
    <n v="10"/>
    <x v="6"/>
    <x v="1"/>
    <n v="9"/>
    <x v="1"/>
    <n v="2"/>
    <n v="8"/>
  </r>
  <r>
    <n v="36"/>
    <x v="1"/>
    <x v="1"/>
    <s v="Travel_Rarely"/>
    <x v="1"/>
    <s v="Life Sciences"/>
    <x v="2"/>
    <n v="155"/>
    <n v="3"/>
    <x v="3"/>
    <s v="Female"/>
    <n v="1"/>
    <x v="0"/>
    <x v="2"/>
    <n v="2835"/>
    <n v="2561"/>
    <n v="5"/>
    <x v="1"/>
    <n v="4"/>
    <n v="1"/>
    <n v="80"/>
    <n v="7"/>
    <x v="2"/>
    <x v="1"/>
    <n v="1"/>
    <x v="2"/>
    <n v="0"/>
    <n v="0"/>
  </r>
  <r>
    <n v="43"/>
    <x v="0"/>
    <x v="1"/>
    <s v="Travel_Frequently"/>
    <x v="0"/>
    <s v="Life Sciences"/>
    <x v="5"/>
    <n v="158"/>
    <n v="26"/>
    <x v="1"/>
    <s v="Male"/>
    <n v="4"/>
    <x v="0"/>
    <x v="1"/>
    <n v="16959"/>
    <n v="19494"/>
    <n v="1"/>
    <x v="0"/>
    <n v="3"/>
    <n v="4"/>
    <n v="80"/>
    <n v="25"/>
    <x v="1"/>
    <x v="3"/>
    <n v="25"/>
    <x v="16"/>
    <n v="4"/>
    <n v="12"/>
  </r>
  <r>
    <n v="30"/>
    <x v="2"/>
    <x v="1"/>
    <s v="Travel_Frequently"/>
    <x v="1"/>
    <s v="Life Sciences"/>
    <x v="1"/>
    <n v="159"/>
    <n v="23"/>
    <x v="3"/>
    <s v="Male"/>
    <n v="1"/>
    <x v="2"/>
    <x v="2"/>
    <n v="2613"/>
    <n v="22310"/>
    <n v="1"/>
    <x v="1"/>
    <n v="4"/>
    <n v="3"/>
    <n v="80"/>
    <n v="10"/>
    <x v="2"/>
    <x v="2"/>
    <n v="10"/>
    <x v="1"/>
    <n v="0"/>
    <n v="9"/>
  </r>
  <r>
    <n v="33"/>
    <x v="1"/>
    <x v="1"/>
    <s v="Non-Travel"/>
    <x v="0"/>
    <s v="Marketing"/>
    <x v="0"/>
    <n v="160"/>
    <n v="22"/>
    <x v="1"/>
    <s v="Male"/>
    <n v="2"/>
    <x v="1"/>
    <x v="1"/>
    <n v="6146"/>
    <n v="15480"/>
    <n v="0"/>
    <x v="1"/>
    <n v="3"/>
    <n v="1"/>
    <n v="80"/>
    <n v="8"/>
    <x v="2"/>
    <x v="3"/>
    <n v="7"/>
    <x v="1"/>
    <n v="0"/>
    <n v="7"/>
  </r>
  <r>
    <n v="56"/>
    <x v="3"/>
    <x v="0"/>
    <s v="Travel_Rarely"/>
    <x v="1"/>
    <s v="Life Sciences"/>
    <x v="1"/>
    <n v="161"/>
    <n v="14"/>
    <x v="0"/>
    <s v="Female"/>
    <n v="1"/>
    <x v="1"/>
    <x v="1"/>
    <n v="4963"/>
    <n v="4510"/>
    <n v="9"/>
    <x v="0"/>
    <n v="3"/>
    <n v="1"/>
    <n v="80"/>
    <n v="7"/>
    <x v="2"/>
    <x v="1"/>
    <n v="5"/>
    <x v="0"/>
    <n v="4"/>
    <n v="3"/>
  </r>
  <r>
    <n v="51"/>
    <x v="3"/>
    <x v="1"/>
    <s v="Travel_Rarely"/>
    <x v="1"/>
    <s v="Life Sciences"/>
    <x v="7"/>
    <n v="162"/>
    <n v="6"/>
    <x v="3"/>
    <s v="Male"/>
    <n v="5"/>
    <x v="2"/>
    <x v="0"/>
    <n v="19537"/>
    <n v="6462"/>
    <n v="7"/>
    <x v="1"/>
    <n v="3"/>
    <n v="3"/>
    <n v="80"/>
    <n v="23"/>
    <x v="3"/>
    <x v="1"/>
    <n v="20"/>
    <x v="17"/>
    <n v="15"/>
    <n v="15"/>
  </r>
  <r>
    <n v="31"/>
    <x v="1"/>
    <x v="0"/>
    <s v="Travel_Rarely"/>
    <x v="0"/>
    <s v="Life Sciences"/>
    <x v="0"/>
    <n v="163"/>
    <n v="6"/>
    <x v="0"/>
    <s v="Male"/>
    <n v="2"/>
    <x v="2"/>
    <x v="1"/>
    <n v="6172"/>
    <n v="20739"/>
    <n v="4"/>
    <x v="0"/>
    <n v="3"/>
    <n v="2"/>
    <n v="80"/>
    <n v="12"/>
    <x v="1"/>
    <x v="2"/>
    <n v="7"/>
    <x v="1"/>
    <n v="7"/>
    <n v="7"/>
  </r>
  <r>
    <n v="26"/>
    <x v="2"/>
    <x v="1"/>
    <s v="Travel_Rarely"/>
    <x v="1"/>
    <s v="Other"/>
    <x v="1"/>
    <n v="164"/>
    <n v="6"/>
    <x v="1"/>
    <s v="Female"/>
    <n v="1"/>
    <x v="1"/>
    <x v="1"/>
    <n v="2368"/>
    <n v="23300"/>
    <n v="1"/>
    <x v="1"/>
    <n v="3"/>
    <n v="3"/>
    <n v="80"/>
    <n v="5"/>
    <x v="1"/>
    <x v="2"/>
    <n v="5"/>
    <x v="0"/>
    <n v="4"/>
    <n v="3"/>
  </r>
  <r>
    <n v="58"/>
    <x v="3"/>
    <x v="0"/>
    <s v="Travel_Rarely"/>
    <x v="1"/>
    <s v="Medical"/>
    <x v="4"/>
    <n v="165"/>
    <n v="23"/>
    <x v="2"/>
    <s v="Female"/>
    <n v="3"/>
    <x v="0"/>
    <x v="1"/>
    <n v="10312"/>
    <n v="3465"/>
    <n v="1"/>
    <x v="1"/>
    <n v="3"/>
    <n v="4"/>
    <n v="80"/>
    <n v="40"/>
    <x v="1"/>
    <x v="2"/>
    <n v="40"/>
    <x v="15"/>
    <n v="15"/>
    <n v="6"/>
  </r>
  <r>
    <n v="19"/>
    <x v="4"/>
    <x v="0"/>
    <s v="Travel_Rarely"/>
    <x v="0"/>
    <s v="Marketing"/>
    <x v="6"/>
    <n v="167"/>
    <n v="22"/>
    <x v="2"/>
    <s v="Male"/>
    <n v="1"/>
    <x v="2"/>
    <x v="0"/>
    <n v="1675"/>
    <n v="26820"/>
    <n v="1"/>
    <x v="0"/>
    <n v="3"/>
    <n v="4"/>
    <n v="80"/>
    <n v="0"/>
    <x v="2"/>
    <x v="2"/>
    <n v="0"/>
    <x v="2"/>
    <n v="0"/>
    <n v="0"/>
  </r>
  <r>
    <n v="22"/>
    <x v="2"/>
    <x v="1"/>
    <s v="Travel_Rarely"/>
    <x v="1"/>
    <s v="Technical Degree"/>
    <x v="2"/>
    <n v="169"/>
    <n v="2"/>
    <x v="1"/>
    <s v="Male"/>
    <n v="1"/>
    <x v="0"/>
    <x v="1"/>
    <n v="2523"/>
    <n v="19299"/>
    <n v="0"/>
    <x v="1"/>
    <n v="3"/>
    <n v="3"/>
    <n v="80"/>
    <n v="3"/>
    <x v="2"/>
    <x v="1"/>
    <n v="2"/>
    <x v="10"/>
    <n v="2"/>
    <n v="1"/>
  </r>
  <r>
    <n v="49"/>
    <x v="0"/>
    <x v="1"/>
    <s v="Travel_Rarely"/>
    <x v="1"/>
    <s v="Medical"/>
    <x v="3"/>
    <n v="170"/>
    <n v="20"/>
    <x v="1"/>
    <s v="Female"/>
    <n v="2"/>
    <x v="3"/>
    <x v="1"/>
    <n v="6567"/>
    <n v="5549"/>
    <n v="1"/>
    <x v="1"/>
    <n v="3"/>
    <n v="3"/>
    <n v="80"/>
    <n v="16"/>
    <x v="2"/>
    <x v="2"/>
    <n v="15"/>
    <x v="14"/>
    <n v="5"/>
    <n v="11"/>
  </r>
  <r>
    <n v="43"/>
    <x v="0"/>
    <x v="1"/>
    <s v="Travel_Frequently"/>
    <x v="1"/>
    <s v="Medical"/>
    <x v="1"/>
    <n v="171"/>
    <n v="28"/>
    <x v="0"/>
    <s v="Female"/>
    <n v="1"/>
    <x v="2"/>
    <x v="0"/>
    <n v="4739"/>
    <n v="16090"/>
    <n v="4"/>
    <x v="1"/>
    <n v="3"/>
    <n v="4"/>
    <n v="80"/>
    <n v="18"/>
    <x v="2"/>
    <x v="1"/>
    <n v="3"/>
    <x v="3"/>
    <n v="1"/>
    <n v="2"/>
  </r>
  <r>
    <n v="50"/>
    <x v="0"/>
    <x v="1"/>
    <s v="Travel_Frequently"/>
    <x v="0"/>
    <s v="Marketing"/>
    <x v="0"/>
    <n v="174"/>
    <n v="12"/>
    <x v="1"/>
    <s v="Female"/>
    <n v="3"/>
    <x v="0"/>
    <x v="0"/>
    <n v="9208"/>
    <n v="6645"/>
    <n v="4"/>
    <x v="1"/>
    <n v="3"/>
    <n v="4"/>
    <n v="80"/>
    <n v="16"/>
    <x v="1"/>
    <x v="1"/>
    <n v="2"/>
    <x v="3"/>
    <n v="2"/>
    <n v="1"/>
  </r>
  <r>
    <n v="31"/>
    <x v="1"/>
    <x v="0"/>
    <s v="Travel_Rarely"/>
    <x v="0"/>
    <s v="Life Sciences"/>
    <x v="0"/>
    <n v="175"/>
    <n v="20"/>
    <x v="0"/>
    <s v="Female"/>
    <n v="2"/>
    <x v="2"/>
    <x v="1"/>
    <n v="4559"/>
    <n v="24788"/>
    <n v="3"/>
    <x v="0"/>
    <n v="3"/>
    <n v="3"/>
    <n v="80"/>
    <n v="4"/>
    <x v="2"/>
    <x v="1"/>
    <n v="2"/>
    <x v="3"/>
    <n v="2"/>
    <n v="2"/>
  </r>
  <r>
    <n v="41"/>
    <x v="0"/>
    <x v="1"/>
    <s v="Travel_Rarely"/>
    <x v="0"/>
    <s v="Life Sciences"/>
    <x v="0"/>
    <n v="176"/>
    <n v="9"/>
    <x v="1"/>
    <s v="Male"/>
    <n v="3"/>
    <x v="2"/>
    <x v="2"/>
    <n v="8189"/>
    <n v="21196"/>
    <n v="3"/>
    <x v="0"/>
    <n v="3"/>
    <n v="3"/>
    <n v="80"/>
    <n v="12"/>
    <x v="2"/>
    <x v="1"/>
    <n v="9"/>
    <x v="1"/>
    <n v="0"/>
    <n v="7"/>
  </r>
  <r>
    <n v="26"/>
    <x v="2"/>
    <x v="1"/>
    <s v="Travel_Rarely"/>
    <x v="2"/>
    <s v="Life Sciences"/>
    <x v="8"/>
    <n v="177"/>
    <n v="25"/>
    <x v="1"/>
    <s v="Female"/>
    <n v="1"/>
    <x v="2"/>
    <x v="1"/>
    <n v="2942"/>
    <n v="8916"/>
    <n v="1"/>
    <x v="1"/>
    <n v="4"/>
    <n v="4"/>
    <n v="80"/>
    <n v="8"/>
    <x v="1"/>
    <x v="1"/>
    <n v="8"/>
    <x v="1"/>
    <n v="5"/>
    <n v="7"/>
  </r>
  <r>
    <n v="36"/>
    <x v="1"/>
    <x v="1"/>
    <s v="Travel_Rarely"/>
    <x v="1"/>
    <s v="Medical"/>
    <x v="3"/>
    <n v="178"/>
    <n v="6"/>
    <x v="0"/>
    <s v="Male"/>
    <n v="2"/>
    <x v="1"/>
    <x v="2"/>
    <n v="4941"/>
    <n v="2819"/>
    <n v="6"/>
    <x v="1"/>
    <n v="4"/>
    <n v="4"/>
    <n v="80"/>
    <n v="7"/>
    <x v="0"/>
    <x v="1"/>
    <n v="3"/>
    <x v="3"/>
    <n v="0"/>
    <n v="1"/>
  </r>
  <r>
    <n v="51"/>
    <x v="3"/>
    <x v="0"/>
    <s v="Travel_Frequently"/>
    <x v="1"/>
    <s v="Life Sciences"/>
    <x v="3"/>
    <n v="179"/>
    <n v="8"/>
    <x v="3"/>
    <s v="Male"/>
    <n v="3"/>
    <x v="0"/>
    <x v="0"/>
    <n v="10650"/>
    <n v="25150"/>
    <n v="2"/>
    <x v="1"/>
    <n v="3"/>
    <n v="4"/>
    <n v="80"/>
    <n v="18"/>
    <x v="2"/>
    <x v="1"/>
    <n v="4"/>
    <x v="3"/>
    <n v="0"/>
    <n v="3"/>
  </r>
  <r>
    <n v="39"/>
    <x v="1"/>
    <x v="1"/>
    <s v="Travel_Rarely"/>
    <x v="0"/>
    <s v="Life Sciences"/>
    <x v="0"/>
    <n v="182"/>
    <n v="4"/>
    <x v="2"/>
    <s v="Female"/>
    <n v="2"/>
    <x v="2"/>
    <x v="1"/>
    <n v="5902"/>
    <n v="14590"/>
    <n v="4"/>
    <x v="1"/>
    <n v="3"/>
    <n v="3"/>
    <n v="80"/>
    <n v="17"/>
    <x v="4"/>
    <x v="3"/>
    <n v="15"/>
    <x v="14"/>
    <n v="5"/>
    <n v="9"/>
  </r>
  <r>
    <n v="25"/>
    <x v="2"/>
    <x v="1"/>
    <s v="Travel_Rarely"/>
    <x v="0"/>
    <s v="Life Sciences"/>
    <x v="0"/>
    <n v="183"/>
    <n v="28"/>
    <x v="3"/>
    <s v="Male"/>
    <n v="2"/>
    <x v="2"/>
    <x v="1"/>
    <n v="8639"/>
    <n v="24835"/>
    <n v="2"/>
    <x v="1"/>
    <n v="3"/>
    <n v="4"/>
    <n v="80"/>
    <n v="6"/>
    <x v="1"/>
    <x v="1"/>
    <n v="2"/>
    <x v="3"/>
    <n v="2"/>
    <n v="2"/>
  </r>
  <r>
    <n v="30"/>
    <x v="2"/>
    <x v="1"/>
    <s v="Travel_Rarely"/>
    <x v="2"/>
    <s v="Human Resources"/>
    <x v="8"/>
    <n v="184"/>
    <n v="9"/>
    <x v="1"/>
    <s v="Male"/>
    <n v="2"/>
    <x v="0"/>
    <x v="1"/>
    <n v="6347"/>
    <n v="13982"/>
    <n v="0"/>
    <x v="0"/>
    <n v="3"/>
    <n v="4"/>
    <n v="80"/>
    <n v="12"/>
    <x v="2"/>
    <x v="0"/>
    <n v="11"/>
    <x v="5"/>
    <n v="4"/>
    <n v="7"/>
  </r>
  <r>
    <n v="32"/>
    <x v="1"/>
    <x v="0"/>
    <s v="Travel_Rarely"/>
    <x v="1"/>
    <s v="Medical"/>
    <x v="2"/>
    <n v="190"/>
    <n v="9"/>
    <x v="3"/>
    <s v="Female"/>
    <n v="1"/>
    <x v="3"/>
    <x v="0"/>
    <n v="4200"/>
    <n v="10224"/>
    <n v="7"/>
    <x v="1"/>
    <n v="4"/>
    <n v="1"/>
    <n v="80"/>
    <n v="10"/>
    <x v="2"/>
    <x v="3"/>
    <n v="5"/>
    <x v="0"/>
    <n v="0"/>
    <n v="4"/>
  </r>
  <r>
    <n v="45"/>
    <x v="0"/>
    <x v="1"/>
    <s v="Travel_Rarely"/>
    <x v="1"/>
    <s v="Medical"/>
    <x v="1"/>
    <n v="192"/>
    <n v="29"/>
    <x v="1"/>
    <s v="Male"/>
    <n v="1"/>
    <x v="0"/>
    <x v="0"/>
    <n v="3452"/>
    <n v="9752"/>
    <n v="5"/>
    <x v="1"/>
    <n v="3"/>
    <n v="2"/>
    <n v="80"/>
    <n v="9"/>
    <x v="2"/>
    <x v="2"/>
    <n v="6"/>
    <x v="4"/>
    <n v="0"/>
    <n v="3"/>
  </r>
  <r>
    <n v="38"/>
    <x v="1"/>
    <x v="1"/>
    <s v="Travel_Rarely"/>
    <x v="1"/>
    <s v="Technical Degree"/>
    <x v="1"/>
    <n v="193"/>
    <n v="3"/>
    <x v="2"/>
    <s v="Female"/>
    <n v="2"/>
    <x v="2"/>
    <x v="0"/>
    <n v="4317"/>
    <n v="2302"/>
    <n v="3"/>
    <x v="0"/>
    <n v="4"/>
    <n v="2"/>
    <n v="80"/>
    <n v="19"/>
    <x v="2"/>
    <x v="1"/>
    <n v="3"/>
    <x v="3"/>
    <n v="2"/>
    <n v="2"/>
  </r>
  <r>
    <n v="30"/>
    <x v="2"/>
    <x v="1"/>
    <s v="Travel_Rarely"/>
    <x v="1"/>
    <s v="Life Sciences"/>
    <x v="1"/>
    <n v="194"/>
    <n v="18"/>
    <x v="3"/>
    <s v="Female"/>
    <n v="1"/>
    <x v="2"/>
    <x v="0"/>
    <n v="2632"/>
    <n v="23910"/>
    <n v="1"/>
    <x v="1"/>
    <n v="3"/>
    <n v="3"/>
    <n v="80"/>
    <n v="5"/>
    <x v="5"/>
    <x v="2"/>
    <n v="5"/>
    <x v="0"/>
    <n v="0"/>
    <n v="4"/>
  </r>
  <r>
    <n v="32"/>
    <x v="1"/>
    <x v="1"/>
    <s v="Travel_Frequently"/>
    <x v="0"/>
    <s v="Medical"/>
    <x v="0"/>
    <n v="195"/>
    <n v="9"/>
    <x v="2"/>
    <s v="Male"/>
    <n v="2"/>
    <x v="0"/>
    <x v="2"/>
    <n v="4668"/>
    <n v="22812"/>
    <n v="0"/>
    <x v="1"/>
    <n v="3"/>
    <n v="4"/>
    <n v="80"/>
    <n v="9"/>
    <x v="2"/>
    <x v="3"/>
    <n v="8"/>
    <x v="1"/>
    <n v="0"/>
    <n v="7"/>
  </r>
  <r>
    <n v="30"/>
    <x v="2"/>
    <x v="1"/>
    <s v="Travel_Rarely"/>
    <x v="1"/>
    <s v="Technical Degree"/>
    <x v="1"/>
    <n v="197"/>
    <n v="5"/>
    <x v="2"/>
    <s v="Female"/>
    <n v="1"/>
    <x v="3"/>
    <x v="2"/>
    <n v="3204"/>
    <n v="10415"/>
    <n v="5"/>
    <x v="1"/>
    <n v="3"/>
    <n v="4"/>
    <n v="80"/>
    <n v="8"/>
    <x v="1"/>
    <x v="1"/>
    <n v="3"/>
    <x v="3"/>
    <n v="2"/>
    <n v="2"/>
  </r>
  <r>
    <n v="30"/>
    <x v="2"/>
    <x v="1"/>
    <s v="Travel_Rarely"/>
    <x v="1"/>
    <s v="Medical"/>
    <x v="2"/>
    <n v="198"/>
    <n v="2"/>
    <x v="0"/>
    <s v="Male"/>
    <n v="1"/>
    <x v="0"/>
    <x v="0"/>
    <n v="2720"/>
    <n v="11162"/>
    <n v="0"/>
    <x v="1"/>
    <n v="3"/>
    <n v="4"/>
    <n v="80"/>
    <n v="6"/>
    <x v="1"/>
    <x v="1"/>
    <n v="5"/>
    <x v="7"/>
    <n v="1"/>
    <n v="2"/>
  </r>
  <r>
    <n v="41"/>
    <x v="0"/>
    <x v="1"/>
    <s v="Travel_Frequently"/>
    <x v="1"/>
    <s v="Life Sciences"/>
    <x v="5"/>
    <n v="199"/>
    <n v="10"/>
    <x v="2"/>
    <s v="Male"/>
    <n v="4"/>
    <x v="3"/>
    <x v="2"/>
    <n v="17181"/>
    <n v="12888"/>
    <n v="4"/>
    <x v="1"/>
    <n v="3"/>
    <n v="2"/>
    <n v="80"/>
    <n v="21"/>
    <x v="2"/>
    <x v="2"/>
    <n v="7"/>
    <x v="8"/>
    <n v="7"/>
    <n v="7"/>
  </r>
  <r>
    <n v="41"/>
    <x v="0"/>
    <x v="1"/>
    <s v="Travel_Rarely"/>
    <x v="1"/>
    <s v="Life Sciences"/>
    <x v="2"/>
    <n v="200"/>
    <n v="9"/>
    <x v="1"/>
    <s v="Male"/>
    <n v="1"/>
    <x v="3"/>
    <x v="1"/>
    <n v="2238"/>
    <n v="6961"/>
    <n v="2"/>
    <x v="1"/>
    <n v="4"/>
    <n v="4"/>
    <n v="80"/>
    <n v="7"/>
    <x v="2"/>
    <x v="1"/>
    <n v="5"/>
    <x v="2"/>
    <n v="1"/>
    <n v="4"/>
  </r>
  <r>
    <n v="19"/>
    <x v="4"/>
    <x v="1"/>
    <s v="Travel_Rarely"/>
    <x v="1"/>
    <s v="Medical"/>
    <x v="2"/>
    <n v="201"/>
    <n v="3"/>
    <x v="0"/>
    <s v="Female"/>
    <n v="1"/>
    <x v="1"/>
    <x v="0"/>
    <n v="1483"/>
    <n v="16102"/>
    <n v="1"/>
    <x v="1"/>
    <n v="3"/>
    <n v="4"/>
    <n v="80"/>
    <n v="1"/>
    <x v="1"/>
    <x v="1"/>
    <n v="1"/>
    <x v="2"/>
    <n v="0"/>
    <n v="0"/>
  </r>
  <r>
    <n v="40"/>
    <x v="1"/>
    <x v="1"/>
    <s v="Travel_Frequently"/>
    <x v="1"/>
    <s v="Medical"/>
    <x v="1"/>
    <n v="202"/>
    <n v="26"/>
    <x v="0"/>
    <s v="Female"/>
    <n v="2"/>
    <x v="1"/>
    <x v="2"/>
    <n v="5605"/>
    <n v="8504"/>
    <n v="1"/>
    <x v="1"/>
    <n v="3"/>
    <n v="1"/>
    <n v="80"/>
    <n v="20"/>
    <x v="2"/>
    <x v="1"/>
    <n v="20"/>
    <x v="1"/>
    <n v="2"/>
    <n v="13"/>
  </r>
  <r>
    <n v="35"/>
    <x v="1"/>
    <x v="1"/>
    <s v="Travel_Rarely"/>
    <x v="0"/>
    <s v="Marketing"/>
    <x v="0"/>
    <n v="204"/>
    <n v="1"/>
    <x v="1"/>
    <s v="Male"/>
    <n v="3"/>
    <x v="1"/>
    <x v="1"/>
    <n v="7295"/>
    <n v="11439"/>
    <n v="1"/>
    <x v="1"/>
    <n v="3"/>
    <n v="1"/>
    <n v="80"/>
    <n v="10"/>
    <x v="1"/>
    <x v="1"/>
    <n v="10"/>
    <x v="6"/>
    <n v="0"/>
    <n v="6"/>
  </r>
  <r>
    <n v="53"/>
    <x v="3"/>
    <x v="1"/>
    <s v="Travel_Rarely"/>
    <x v="0"/>
    <s v="Marketing"/>
    <x v="6"/>
    <n v="205"/>
    <n v="6"/>
    <x v="0"/>
    <s v="Male"/>
    <n v="2"/>
    <x v="2"/>
    <x v="1"/>
    <n v="2306"/>
    <n v="16047"/>
    <n v="2"/>
    <x v="0"/>
    <n v="4"/>
    <n v="4"/>
    <n v="80"/>
    <n v="13"/>
    <x v="1"/>
    <x v="0"/>
    <n v="7"/>
    <x v="1"/>
    <n v="4"/>
    <n v="5"/>
  </r>
  <r>
    <n v="45"/>
    <x v="0"/>
    <x v="1"/>
    <s v="Travel_Rarely"/>
    <x v="1"/>
    <s v="Life Sciences"/>
    <x v="2"/>
    <n v="206"/>
    <n v="9"/>
    <x v="0"/>
    <s v="Male"/>
    <n v="2"/>
    <x v="1"/>
    <x v="2"/>
    <n v="2348"/>
    <n v="10901"/>
    <n v="8"/>
    <x v="1"/>
    <n v="3"/>
    <n v="3"/>
    <n v="80"/>
    <n v="20"/>
    <x v="2"/>
    <x v="0"/>
    <n v="17"/>
    <x v="5"/>
    <n v="0"/>
    <n v="15"/>
  </r>
  <r>
    <n v="32"/>
    <x v="1"/>
    <x v="1"/>
    <s v="Travel_Frequently"/>
    <x v="0"/>
    <s v="Marketing"/>
    <x v="0"/>
    <n v="207"/>
    <n v="8"/>
    <x v="0"/>
    <s v="Female"/>
    <n v="3"/>
    <x v="0"/>
    <x v="0"/>
    <n v="8998"/>
    <n v="15589"/>
    <n v="1"/>
    <x v="1"/>
    <n v="3"/>
    <n v="4"/>
    <n v="80"/>
    <n v="9"/>
    <x v="2"/>
    <x v="1"/>
    <n v="9"/>
    <x v="6"/>
    <n v="3"/>
    <n v="7"/>
  </r>
  <r>
    <n v="29"/>
    <x v="2"/>
    <x v="1"/>
    <s v="Non-Travel"/>
    <x v="1"/>
    <s v="Technical Degree"/>
    <x v="3"/>
    <n v="208"/>
    <n v="1"/>
    <x v="2"/>
    <s v="Male"/>
    <n v="2"/>
    <x v="2"/>
    <x v="1"/>
    <n v="4319"/>
    <n v="26283"/>
    <n v="1"/>
    <x v="1"/>
    <n v="3"/>
    <n v="1"/>
    <n v="80"/>
    <n v="10"/>
    <x v="4"/>
    <x v="1"/>
    <n v="10"/>
    <x v="1"/>
    <n v="0"/>
    <n v="9"/>
  </r>
  <r>
    <n v="51"/>
    <x v="3"/>
    <x v="1"/>
    <s v="Travel_Rarely"/>
    <x v="1"/>
    <s v="Medical"/>
    <x v="3"/>
    <n v="211"/>
    <n v="7"/>
    <x v="0"/>
    <s v="Male"/>
    <n v="2"/>
    <x v="2"/>
    <x v="1"/>
    <n v="6132"/>
    <n v="13983"/>
    <n v="2"/>
    <x v="1"/>
    <n v="3"/>
    <n v="3"/>
    <n v="80"/>
    <n v="10"/>
    <x v="2"/>
    <x v="1"/>
    <n v="1"/>
    <x v="2"/>
    <n v="0"/>
    <n v="0"/>
  </r>
  <r>
    <n v="58"/>
    <x v="3"/>
    <x v="1"/>
    <s v="Travel_Rarely"/>
    <x v="1"/>
    <s v="Medical"/>
    <x v="1"/>
    <n v="214"/>
    <n v="9"/>
    <x v="0"/>
    <s v="Female"/>
    <n v="1"/>
    <x v="1"/>
    <x v="1"/>
    <n v="3346"/>
    <n v="11873"/>
    <n v="4"/>
    <x v="0"/>
    <n v="4"/>
    <n v="2"/>
    <n v="80"/>
    <n v="9"/>
    <x v="1"/>
    <x v="2"/>
    <n v="1"/>
    <x v="2"/>
    <n v="0"/>
    <n v="0"/>
  </r>
  <r>
    <n v="40"/>
    <x v="1"/>
    <x v="1"/>
    <s v="Travel_Rarely"/>
    <x v="0"/>
    <s v="Marketing"/>
    <x v="0"/>
    <n v="215"/>
    <n v="4"/>
    <x v="1"/>
    <s v="Male"/>
    <n v="3"/>
    <x v="0"/>
    <x v="1"/>
    <n v="10855"/>
    <n v="8552"/>
    <n v="7"/>
    <x v="1"/>
    <n v="3"/>
    <n v="1"/>
    <n v="80"/>
    <n v="15"/>
    <x v="2"/>
    <x v="2"/>
    <n v="12"/>
    <x v="14"/>
    <n v="2"/>
    <n v="11"/>
  </r>
  <r>
    <n v="34"/>
    <x v="1"/>
    <x v="1"/>
    <s v="Travel_Frequently"/>
    <x v="0"/>
    <s v="Marketing"/>
    <x v="6"/>
    <n v="216"/>
    <n v="2"/>
    <x v="1"/>
    <s v="Female"/>
    <n v="1"/>
    <x v="2"/>
    <x v="1"/>
    <n v="2231"/>
    <n v="11314"/>
    <n v="6"/>
    <x v="1"/>
    <n v="3"/>
    <n v="4"/>
    <n v="80"/>
    <n v="6"/>
    <x v="1"/>
    <x v="1"/>
    <n v="4"/>
    <x v="7"/>
    <n v="1"/>
    <n v="2"/>
  </r>
  <r>
    <n v="22"/>
    <x v="2"/>
    <x v="1"/>
    <s v="Travel_Rarely"/>
    <x v="1"/>
    <s v="Medical"/>
    <x v="1"/>
    <n v="217"/>
    <n v="19"/>
    <x v="1"/>
    <s v="Male"/>
    <n v="1"/>
    <x v="0"/>
    <x v="1"/>
    <n v="2323"/>
    <n v="11992"/>
    <n v="1"/>
    <x v="1"/>
    <n v="4"/>
    <n v="1"/>
    <n v="80"/>
    <n v="2"/>
    <x v="6"/>
    <x v="1"/>
    <n v="2"/>
    <x v="3"/>
    <n v="2"/>
    <n v="2"/>
  </r>
  <r>
    <n v="27"/>
    <x v="2"/>
    <x v="1"/>
    <s v="Non-Travel"/>
    <x v="1"/>
    <s v="Medical"/>
    <x v="1"/>
    <n v="218"/>
    <n v="9"/>
    <x v="2"/>
    <s v="Male"/>
    <n v="1"/>
    <x v="1"/>
    <x v="2"/>
    <n v="2024"/>
    <n v="5970"/>
    <n v="6"/>
    <x v="1"/>
    <n v="3"/>
    <n v="4"/>
    <n v="80"/>
    <n v="6"/>
    <x v="4"/>
    <x v="0"/>
    <n v="2"/>
    <x v="3"/>
    <n v="2"/>
    <n v="2"/>
  </r>
  <r>
    <n v="28"/>
    <x v="2"/>
    <x v="1"/>
    <s v="Travel_Rarely"/>
    <x v="1"/>
    <s v="Medical"/>
    <x v="1"/>
    <n v="221"/>
    <n v="21"/>
    <x v="1"/>
    <s v="Male"/>
    <n v="1"/>
    <x v="0"/>
    <x v="1"/>
    <n v="2713"/>
    <n v="6672"/>
    <n v="1"/>
    <x v="1"/>
    <n v="3"/>
    <n v="3"/>
    <n v="80"/>
    <n v="5"/>
    <x v="2"/>
    <x v="0"/>
    <n v="5"/>
    <x v="3"/>
    <n v="0"/>
    <n v="2"/>
  </r>
  <r>
    <n v="57"/>
    <x v="3"/>
    <x v="1"/>
    <s v="Travel_Rarely"/>
    <x v="1"/>
    <s v="Life Sciences"/>
    <x v="4"/>
    <n v="223"/>
    <n v="24"/>
    <x v="1"/>
    <s v="Male"/>
    <n v="3"/>
    <x v="0"/>
    <x v="2"/>
    <n v="9439"/>
    <n v="23402"/>
    <n v="3"/>
    <x v="0"/>
    <n v="3"/>
    <n v="2"/>
    <n v="80"/>
    <n v="12"/>
    <x v="2"/>
    <x v="0"/>
    <n v="5"/>
    <x v="7"/>
    <n v="1"/>
    <n v="4"/>
  </r>
  <r>
    <n v="27"/>
    <x v="2"/>
    <x v="1"/>
    <s v="Non-Travel"/>
    <x v="1"/>
    <s v="Medical"/>
    <x v="1"/>
    <n v="224"/>
    <n v="3"/>
    <x v="1"/>
    <s v="Male"/>
    <n v="1"/>
    <x v="2"/>
    <x v="2"/>
    <n v="2566"/>
    <n v="25326"/>
    <n v="1"/>
    <x v="0"/>
    <n v="3"/>
    <n v="4"/>
    <n v="80"/>
    <n v="1"/>
    <x v="2"/>
    <x v="2"/>
    <n v="1"/>
    <x v="10"/>
    <n v="0"/>
    <n v="1"/>
  </r>
  <r>
    <n v="50"/>
    <x v="0"/>
    <x v="1"/>
    <s v="Travel_Rarely"/>
    <x v="1"/>
    <s v="Life Sciences"/>
    <x v="5"/>
    <n v="226"/>
    <n v="11"/>
    <x v="1"/>
    <s v="Female"/>
    <n v="5"/>
    <x v="1"/>
    <x v="0"/>
    <n v="19926"/>
    <n v="17053"/>
    <n v="3"/>
    <x v="1"/>
    <n v="3"/>
    <n v="2"/>
    <n v="80"/>
    <n v="21"/>
    <x v="3"/>
    <x v="1"/>
    <n v="5"/>
    <x v="0"/>
    <n v="4"/>
    <n v="4"/>
  </r>
  <r>
    <n v="41"/>
    <x v="0"/>
    <x v="1"/>
    <s v="Travel_Rarely"/>
    <x v="1"/>
    <s v="Life Sciences"/>
    <x v="1"/>
    <n v="227"/>
    <n v="14"/>
    <x v="3"/>
    <s v="Male"/>
    <n v="1"/>
    <x v="2"/>
    <x v="2"/>
    <n v="2451"/>
    <n v="4609"/>
    <n v="4"/>
    <x v="1"/>
    <n v="3"/>
    <n v="1"/>
    <n v="80"/>
    <n v="13"/>
    <x v="2"/>
    <x v="1"/>
    <n v="9"/>
    <x v="6"/>
    <n v="1"/>
    <n v="8"/>
  </r>
  <r>
    <n v="30"/>
    <x v="2"/>
    <x v="1"/>
    <s v="Travel_Rarely"/>
    <x v="0"/>
    <s v="Life Sciences"/>
    <x v="0"/>
    <n v="228"/>
    <n v="5"/>
    <x v="0"/>
    <s v="Female"/>
    <n v="3"/>
    <x v="0"/>
    <x v="1"/>
    <n v="9419"/>
    <n v="8053"/>
    <n v="2"/>
    <x v="1"/>
    <n v="3"/>
    <n v="3"/>
    <n v="80"/>
    <n v="12"/>
    <x v="2"/>
    <x v="1"/>
    <n v="10"/>
    <x v="5"/>
    <n v="7"/>
    <n v="4"/>
  </r>
  <r>
    <n v="38"/>
    <x v="1"/>
    <x v="1"/>
    <s v="Travel_Rarely"/>
    <x v="0"/>
    <s v="Life Sciences"/>
    <x v="0"/>
    <n v="230"/>
    <n v="1"/>
    <x v="3"/>
    <s v="Female"/>
    <n v="2"/>
    <x v="0"/>
    <x v="0"/>
    <n v="8686"/>
    <n v="12930"/>
    <n v="4"/>
    <x v="1"/>
    <n v="4"/>
    <n v="3"/>
    <n v="80"/>
    <n v="12"/>
    <x v="2"/>
    <x v="3"/>
    <n v="8"/>
    <x v="7"/>
    <n v="0"/>
    <n v="7"/>
  </r>
  <r>
    <n v="32"/>
    <x v="1"/>
    <x v="1"/>
    <s v="Travel_Rarely"/>
    <x v="1"/>
    <s v="Life Sciences"/>
    <x v="1"/>
    <n v="231"/>
    <n v="6"/>
    <x v="1"/>
    <s v="Male"/>
    <n v="1"/>
    <x v="2"/>
    <x v="0"/>
    <n v="3038"/>
    <n v="12430"/>
    <n v="3"/>
    <x v="1"/>
    <n v="4"/>
    <n v="1"/>
    <n v="80"/>
    <n v="8"/>
    <x v="2"/>
    <x v="1"/>
    <n v="5"/>
    <x v="0"/>
    <n v="1"/>
    <n v="4"/>
  </r>
  <r>
    <n v="27"/>
    <x v="2"/>
    <x v="1"/>
    <s v="Travel_Rarely"/>
    <x v="1"/>
    <s v="Technical Degree"/>
    <x v="1"/>
    <n v="233"/>
    <n v="17"/>
    <x v="1"/>
    <s v="Male"/>
    <n v="1"/>
    <x v="1"/>
    <x v="1"/>
    <n v="3058"/>
    <n v="13364"/>
    <n v="0"/>
    <x v="0"/>
    <n v="3"/>
    <n v="4"/>
    <n v="80"/>
    <n v="6"/>
    <x v="1"/>
    <x v="2"/>
    <n v="5"/>
    <x v="3"/>
    <n v="1"/>
    <n v="1"/>
  </r>
  <r>
    <n v="19"/>
    <x v="4"/>
    <x v="0"/>
    <s v="Travel_Frequently"/>
    <x v="0"/>
    <s v="Technical Degree"/>
    <x v="6"/>
    <n v="235"/>
    <n v="1"/>
    <x v="1"/>
    <s v="Female"/>
    <n v="1"/>
    <x v="3"/>
    <x v="0"/>
    <n v="2325"/>
    <n v="20989"/>
    <n v="0"/>
    <x v="1"/>
    <n v="4"/>
    <n v="1"/>
    <n v="80"/>
    <n v="1"/>
    <x v="3"/>
    <x v="3"/>
    <n v="0"/>
    <x v="2"/>
    <n v="0"/>
    <n v="0"/>
  </r>
  <r>
    <n v="36"/>
    <x v="1"/>
    <x v="1"/>
    <s v="Travel_Frequently"/>
    <x v="1"/>
    <s v="Medical"/>
    <x v="2"/>
    <n v="238"/>
    <n v="3"/>
    <x v="2"/>
    <s v="Male"/>
    <n v="1"/>
    <x v="1"/>
    <x v="0"/>
    <n v="2088"/>
    <n v="15062"/>
    <n v="4"/>
    <x v="1"/>
    <n v="3"/>
    <n v="3"/>
    <n v="80"/>
    <n v="13"/>
    <x v="1"/>
    <x v="2"/>
    <n v="8"/>
    <x v="1"/>
    <n v="7"/>
    <n v="2"/>
  </r>
  <r>
    <n v="30"/>
    <x v="2"/>
    <x v="1"/>
    <s v="Non-Travel"/>
    <x v="1"/>
    <s v="Medical"/>
    <x v="2"/>
    <n v="239"/>
    <n v="9"/>
    <x v="1"/>
    <s v="Male"/>
    <n v="2"/>
    <x v="3"/>
    <x v="2"/>
    <n v="3072"/>
    <n v="11012"/>
    <n v="1"/>
    <x v="1"/>
    <n v="3"/>
    <n v="3"/>
    <n v="80"/>
    <n v="12"/>
    <x v="5"/>
    <x v="1"/>
    <n v="12"/>
    <x v="5"/>
    <n v="6"/>
    <n v="10"/>
  </r>
  <r>
    <n v="45"/>
    <x v="0"/>
    <x v="1"/>
    <s v="Travel_Rarely"/>
    <x v="0"/>
    <s v="Life Sciences"/>
    <x v="0"/>
    <n v="240"/>
    <n v="4"/>
    <x v="1"/>
    <s v="Female"/>
    <n v="2"/>
    <x v="3"/>
    <x v="2"/>
    <n v="5006"/>
    <n v="6319"/>
    <n v="4"/>
    <x v="0"/>
    <n v="3"/>
    <n v="1"/>
    <n v="80"/>
    <n v="9"/>
    <x v="1"/>
    <x v="3"/>
    <n v="5"/>
    <x v="0"/>
    <n v="0"/>
    <n v="3"/>
  </r>
  <r>
    <n v="56"/>
    <x v="3"/>
    <x v="1"/>
    <s v="Travel_Rarely"/>
    <x v="1"/>
    <s v="Life Sciences"/>
    <x v="1"/>
    <n v="241"/>
    <n v="8"/>
    <x v="1"/>
    <s v="Female"/>
    <n v="1"/>
    <x v="3"/>
    <x v="2"/>
    <n v="4257"/>
    <n v="13939"/>
    <n v="4"/>
    <x v="0"/>
    <n v="3"/>
    <n v="3"/>
    <n v="80"/>
    <n v="19"/>
    <x v="1"/>
    <x v="1"/>
    <n v="2"/>
    <x v="3"/>
    <n v="2"/>
    <n v="2"/>
  </r>
  <r>
    <n v="33"/>
    <x v="1"/>
    <x v="1"/>
    <s v="Travel_Rarely"/>
    <x v="1"/>
    <s v="Life Sciences"/>
    <x v="1"/>
    <n v="242"/>
    <n v="2"/>
    <x v="1"/>
    <s v="Male"/>
    <n v="1"/>
    <x v="0"/>
    <x v="0"/>
    <n v="2500"/>
    <n v="10515"/>
    <n v="0"/>
    <x v="1"/>
    <n v="3"/>
    <n v="1"/>
    <n v="80"/>
    <n v="4"/>
    <x v="2"/>
    <x v="3"/>
    <n v="3"/>
    <x v="10"/>
    <n v="0"/>
    <n v="2"/>
  </r>
  <r>
    <n v="19"/>
    <x v="4"/>
    <x v="0"/>
    <s v="Travel_Rarely"/>
    <x v="1"/>
    <s v="Life Sciences"/>
    <x v="2"/>
    <n v="243"/>
    <n v="2"/>
    <x v="0"/>
    <s v="Male"/>
    <n v="1"/>
    <x v="0"/>
    <x v="0"/>
    <n v="1102"/>
    <n v="9241"/>
    <n v="1"/>
    <x v="1"/>
    <n v="4"/>
    <n v="3"/>
    <n v="80"/>
    <n v="1"/>
    <x v="1"/>
    <x v="2"/>
    <n v="1"/>
    <x v="2"/>
    <n v="1"/>
    <n v="0"/>
  </r>
  <r>
    <n v="46"/>
    <x v="0"/>
    <x v="1"/>
    <s v="Travel_Rarely"/>
    <x v="0"/>
    <s v="Marketing"/>
    <x v="0"/>
    <n v="244"/>
    <n v="1"/>
    <x v="0"/>
    <s v="Female"/>
    <n v="3"/>
    <x v="3"/>
    <x v="2"/>
    <n v="10453"/>
    <n v="2137"/>
    <n v="1"/>
    <x v="1"/>
    <n v="4"/>
    <n v="3"/>
    <n v="80"/>
    <n v="24"/>
    <x v="2"/>
    <x v="1"/>
    <n v="24"/>
    <x v="9"/>
    <n v="15"/>
    <n v="7"/>
  </r>
  <r>
    <n v="38"/>
    <x v="1"/>
    <x v="1"/>
    <s v="Travel_Rarely"/>
    <x v="1"/>
    <s v="Life Sciences"/>
    <x v="2"/>
    <n v="245"/>
    <n v="9"/>
    <x v="1"/>
    <s v="Female"/>
    <n v="1"/>
    <x v="0"/>
    <x v="0"/>
    <n v="2288"/>
    <n v="6319"/>
    <n v="1"/>
    <x v="1"/>
    <n v="3"/>
    <n v="3"/>
    <n v="80"/>
    <n v="2"/>
    <x v="1"/>
    <x v="1"/>
    <n v="2"/>
    <x v="3"/>
    <n v="2"/>
    <n v="1"/>
  </r>
  <r>
    <n v="31"/>
    <x v="1"/>
    <x v="1"/>
    <s v="Travel_Rarely"/>
    <x v="1"/>
    <s v="Medical"/>
    <x v="1"/>
    <n v="246"/>
    <n v="12"/>
    <x v="1"/>
    <s v="Female"/>
    <n v="1"/>
    <x v="0"/>
    <x v="1"/>
    <n v="3929"/>
    <n v="6984"/>
    <n v="8"/>
    <x v="0"/>
    <n v="4"/>
    <n v="3"/>
    <n v="80"/>
    <n v="7"/>
    <x v="0"/>
    <x v="1"/>
    <n v="4"/>
    <x v="3"/>
    <n v="0"/>
    <n v="2"/>
  </r>
  <r>
    <n v="34"/>
    <x v="1"/>
    <x v="1"/>
    <s v="Travel_Rarely"/>
    <x v="1"/>
    <s v="Medical"/>
    <x v="1"/>
    <n v="247"/>
    <n v="27"/>
    <x v="2"/>
    <s v="Female"/>
    <n v="1"/>
    <x v="1"/>
    <x v="0"/>
    <n v="2311"/>
    <n v="5711"/>
    <n v="2"/>
    <x v="1"/>
    <n v="3"/>
    <n v="4"/>
    <n v="80"/>
    <n v="9"/>
    <x v="1"/>
    <x v="1"/>
    <n v="3"/>
    <x v="3"/>
    <n v="1"/>
    <n v="2"/>
  </r>
  <r>
    <n v="41"/>
    <x v="0"/>
    <x v="0"/>
    <s v="Travel_Rarely"/>
    <x v="0"/>
    <s v="Marketing"/>
    <x v="6"/>
    <n v="248"/>
    <n v="20"/>
    <x v="0"/>
    <s v="Female"/>
    <n v="1"/>
    <x v="1"/>
    <x v="0"/>
    <n v="3140"/>
    <n v="21728"/>
    <n v="1"/>
    <x v="0"/>
    <n v="4"/>
    <n v="4"/>
    <n v="80"/>
    <n v="4"/>
    <x v="3"/>
    <x v="2"/>
    <n v="4"/>
    <x v="7"/>
    <n v="0"/>
    <n v="2"/>
  </r>
  <r>
    <n v="50"/>
    <x v="0"/>
    <x v="1"/>
    <s v="Travel_Rarely"/>
    <x v="1"/>
    <s v="Medical"/>
    <x v="2"/>
    <n v="249"/>
    <n v="1"/>
    <x v="1"/>
    <s v="Male"/>
    <n v="1"/>
    <x v="2"/>
    <x v="1"/>
    <n v="3690"/>
    <n v="3425"/>
    <n v="2"/>
    <x v="1"/>
    <n v="3"/>
    <n v="4"/>
    <n v="80"/>
    <n v="5"/>
    <x v="2"/>
    <x v="2"/>
    <n v="3"/>
    <x v="3"/>
    <n v="0"/>
    <n v="2"/>
  </r>
  <r>
    <n v="53"/>
    <x v="3"/>
    <x v="1"/>
    <s v="Travel_Rarely"/>
    <x v="1"/>
    <s v="Medical"/>
    <x v="3"/>
    <n v="250"/>
    <n v="13"/>
    <x v="2"/>
    <s v="Female"/>
    <n v="2"/>
    <x v="3"/>
    <x v="2"/>
    <n v="4450"/>
    <n v="26250"/>
    <n v="1"/>
    <x v="1"/>
    <n v="3"/>
    <n v="3"/>
    <n v="80"/>
    <n v="5"/>
    <x v="1"/>
    <x v="1"/>
    <n v="4"/>
    <x v="3"/>
    <n v="1"/>
    <n v="3"/>
  </r>
  <r>
    <n v="33"/>
    <x v="1"/>
    <x v="1"/>
    <s v="Travel_Rarely"/>
    <x v="1"/>
    <s v="Medical"/>
    <x v="1"/>
    <n v="252"/>
    <n v="14"/>
    <x v="2"/>
    <s v="Female"/>
    <n v="1"/>
    <x v="1"/>
    <x v="1"/>
    <n v="2756"/>
    <n v="4673"/>
    <n v="1"/>
    <x v="1"/>
    <n v="3"/>
    <n v="4"/>
    <n v="80"/>
    <n v="8"/>
    <x v="3"/>
    <x v="1"/>
    <n v="8"/>
    <x v="1"/>
    <n v="1"/>
    <n v="6"/>
  </r>
  <r>
    <n v="40"/>
    <x v="1"/>
    <x v="1"/>
    <s v="Travel_Rarely"/>
    <x v="1"/>
    <s v="Medical"/>
    <x v="5"/>
    <n v="253"/>
    <n v="4"/>
    <x v="2"/>
    <s v="Female"/>
    <n v="5"/>
    <x v="2"/>
    <x v="1"/>
    <n v="19033"/>
    <n v="6499"/>
    <n v="1"/>
    <x v="1"/>
    <n v="3"/>
    <n v="2"/>
    <n v="80"/>
    <n v="21"/>
    <x v="2"/>
    <x v="1"/>
    <n v="20"/>
    <x v="6"/>
    <n v="9"/>
    <n v="9"/>
  </r>
  <r>
    <n v="55"/>
    <x v="3"/>
    <x v="1"/>
    <s v="Travel_Rarely"/>
    <x v="1"/>
    <s v="Medical"/>
    <x v="7"/>
    <n v="254"/>
    <n v="14"/>
    <x v="1"/>
    <s v="Male"/>
    <n v="5"/>
    <x v="1"/>
    <x v="0"/>
    <n v="18722"/>
    <n v="13339"/>
    <n v="8"/>
    <x v="1"/>
    <n v="3"/>
    <n v="4"/>
    <n v="80"/>
    <n v="36"/>
    <x v="1"/>
    <x v="1"/>
    <n v="24"/>
    <x v="11"/>
    <n v="2"/>
    <n v="15"/>
  </r>
  <r>
    <n v="34"/>
    <x v="1"/>
    <x v="1"/>
    <s v="Travel_Frequently"/>
    <x v="1"/>
    <s v="Life Sciences"/>
    <x v="3"/>
    <n v="256"/>
    <n v="2"/>
    <x v="2"/>
    <s v="Male"/>
    <n v="2"/>
    <x v="2"/>
    <x v="1"/>
    <n v="9547"/>
    <n v="14074"/>
    <n v="1"/>
    <x v="1"/>
    <n v="3"/>
    <n v="3"/>
    <n v="80"/>
    <n v="10"/>
    <x v="2"/>
    <x v="2"/>
    <n v="10"/>
    <x v="5"/>
    <n v="1"/>
    <n v="9"/>
  </r>
  <r>
    <n v="51"/>
    <x v="3"/>
    <x v="1"/>
    <s v="Travel_Rarely"/>
    <x v="1"/>
    <s v="Medical"/>
    <x v="4"/>
    <n v="258"/>
    <n v="3"/>
    <x v="2"/>
    <s v="Female"/>
    <n v="4"/>
    <x v="1"/>
    <x v="0"/>
    <n v="13734"/>
    <n v="7192"/>
    <n v="3"/>
    <x v="1"/>
    <n v="3"/>
    <n v="3"/>
    <n v="80"/>
    <n v="21"/>
    <x v="6"/>
    <x v="1"/>
    <n v="7"/>
    <x v="1"/>
    <n v="1"/>
    <n v="0"/>
  </r>
  <r>
    <n v="52"/>
    <x v="3"/>
    <x v="1"/>
    <s v="Travel_Rarely"/>
    <x v="1"/>
    <s v="Life Sciences"/>
    <x v="5"/>
    <n v="259"/>
    <n v="1"/>
    <x v="1"/>
    <s v="Male"/>
    <n v="5"/>
    <x v="2"/>
    <x v="1"/>
    <n v="19999"/>
    <n v="5678"/>
    <n v="0"/>
    <x v="1"/>
    <n v="3"/>
    <n v="1"/>
    <n v="80"/>
    <n v="34"/>
    <x v="3"/>
    <x v="1"/>
    <n v="33"/>
    <x v="17"/>
    <n v="11"/>
    <n v="9"/>
  </r>
  <r>
    <n v="27"/>
    <x v="2"/>
    <x v="1"/>
    <s v="Travel_Rarely"/>
    <x v="1"/>
    <s v="Medical"/>
    <x v="1"/>
    <n v="260"/>
    <n v="9"/>
    <x v="2"/>
    <s v="Female"/>
    <n v="1"/>
    <x v="1"/>
    <x v="0"/>
    <n v="2279"/>
    <n v="11781"/>
    <n v="1"/>
    <x v="1"/>
    <n v="3"/>
    <n v="4"/>
    <n v="80"/>
    <n v="7"/>
    <x v="2"/>
    <x v="2"/>
    <n v="7"/>
    <x v="1"/>
    <n v="0"/>
    <n v="3"/>
  </r>
  <r>
    <n v="35"/>
    <x v="1"/>
    <x v="0"/>
    <s v="Travel_Rarely"/>
    <x v="1"/>
    <s v="Life Sciences"/>
    <x v="3"/>
    <n v="261"/>
    <n v="23"/>
    <x v="0"/>
    <s v="Male"/>
    <n v="2"/>
    <x v="2"/>
    <x v="1"/>
    <n v="5916"/>
    <n v="15497"/>
    <n v="3"/>
    <x v="0"/>
    <n v="3"/>
    <n v="1"/>
    <n v="80"/>
    <n v="8"/>
    <x v="4"/>
    <x v="1"/>
    <n v="1"/>
    <x v="2"/>
    <n v="0"/>
    <n v="1"/>
  </r>
  <r>
    <n v="43"/>
    <x v="0"/>
    <x v="1"/>
    <s v="Non-Travel"/>
    <x v="1"/>
    <s v="Medical"/>
    <x v="1"/>
    <n v="262"/>
    <n v="7"/>
    <x v="2"/>
    <s v="Male"/>
    <n v="1"/>
    <x v="0"/>
    <x v="2"/>
    <n v="2089"/>
    <n v="5228"/>
    <n v="4"/>
    <x v="1"/>
    <n v="3"/>
    <n v="4"/>
    <n v="80"/>
    <n v="7"/>
    <x v="1"/>
    <x v="3"/>
    <n v="5"/>
    <x v="0"/>
    <n v="2"/>
    <n v="2"/>
  </r>
  <r>
    <n v="45"/>
    <x v="0"/>
    <x v="1"/>
    <s v="Non-Travel"/>
    <x v="1"/>
    <s v="Medical"/>
    <x v="5"/>
    <n v="264"/>
    <n v="2"/>
    <x v="3"/>
    <s v="Male"/>
    <n v="4"/>
    <x v="0"/>
    <x v="1"/>
    <n v="16792"/>
    <n v="20462"/>
    <n v="9"/>
    <x v="1"/>
    <n v="4"/>
    <n v="4"/>
    <n v="80"/>
    <n v="22"/>
    <x v="4"/>
    <x v="1"/>
    <n v="20"/>
    <x v="6"/>
    <n v="11"/>
    <n v="8"/>
  </r>
  <r>
    <n v="37"/>
    <x v="1"/>
    <x v="1"/>
    <s v="Travel_Rarely"/>
    <x v="1"/>
    <s v="Life Sciences"/>
    <x v="1"/>
    <n v="267"/>
    <n v="21"/>
    <x v="0"/>
    <s v="Male"/>
    <n v="1"/>
    <x v="3"/>
    <x v="1"/>
    <n v="3564"/>
    <n v="22977"/>
    <n v="1"/>
    <x v="0"/>
    <n v="3"/>
    <n v="1"/>
    <n v="80"/>
    <n v="8"/>
    <x v="1"/>
    <x v="2"/>
    <n v="8"/>
    <x v="1"/>
    <n v="1"/>
    <n v="7"/>
  </r>
  <r>
    <n v="35"/>
    <x v="1"/>
    <x v="1"/>
    <s v="Travel_Frequently"/>
    <x v="1"/>
    <s v="Medical"/>
    <x v="2"/>
    <n v="269"/>
    <n v="2"/>
    <x v="0"/>
    <s v="Female"/>
    <n v="2"/>
    <x v="1"/>
    <x v="0"/>
    <n v="4425"/>
    <n v="15986"/>
    <n v="5"/>
    <x v="1"/>
    <n v="3"/>
    <n v="4"/>
    <n v="80"/>
    <n v="10"/>
    <x v="3"/>
    <x v="1"/>
    <n v="6"/>
    <x v="3"/>
    <n v="1"/>
    <n v="2"/>
  </r>
  <r>
    <n v="42"/>
    <x v="0"/>
    <x v="1"/>
    <s v="Non-Travel"/>
    <x v="1"/>
    <s v="Medical"/>
    <x v="3"/>
    <n v="270"/>
    <n v="21"/>
    <x v="1"/>
    <s v="Female"/>
    <n v="2"/>
    <x v="2"/>
    <x v="2"/>
    <n v="5265"/>
    <n v="16439"/>
    <n v="2"/>
    <x v="1"/>
    <n v="3"/>
    <n v="2"/>
    <n v="80"/>
    <n v="11"/>
    <x v="3"/>
    <x v="1"/>
    <n v="5"/>
    <x v="7"/>
    <n v="0"/>
    <n v="2"/>
  </r>
  <r>
    <n v="38"/>
    <x v="1"/>
    <x v="1"/>
    <s v="Travel_Rarely"/>
    <x v="1"/>
    <s v="Life Sciences"/>
    <x v="3"/>
    <n v="271"/>
    <n v="2"/>
    <x v="2"/>
    <s v="Male"/>
    <n v="2"/>
    <x v="2"/>
    <x v="1"/>
    <n v="6553"/>
    <n v="7259"/>
    <n v="9"/>
    <x v="1"/>
    <n v="3"/>
    <n v="2"/>
    <n v="80"/>
    <n v="14"/>
    <x v="1"/>
    <x v="1"/>
    <n v="1"/>
    <x v="2"/>
    <n v="0"/>
    <n v="0"/>
  </r>
  <r>
    <n v="38"/>
    <x v="1"/>
    <x v="1"/>
    <s v="Travel_Rarely"/>
    <x v="1"/>
    <s v="Technical Degree"/>
    <x v="3"/>
    <n v="273"/>
    <n v="29"/>
    <x v="2"/>
    <s v="Male"/>
    <n v="2"/>
    <x v="0"/>
    <x v="1"/>
    <n v="6261"/>
    <n v="4185"/>
    <n v="3"/>
    <x v="1"/>
    <n v="3"/>
    <n v="1"/>
    <n v="80"/>
    <n v="9"/>
    <x v="1"/>
    <x v="0"/>
    <n v="7"/>
    <x v="1"/>
    <n v="1"/>
    <n v="7"/>
  </r>
  <r>
    <n v="27"/>
    <x v="2"/>
    <x v="1"/>
    <s v="Travel_Frequently"/>
    <x v="1"/>
    <s v="Technical Degree"/>
    <x v="3"/>
    <n v="274"/>
    <n v="1"/>
    <x v="1"/>
    <s v="Male"/>
    <n v="2"/>
    <x v="3"/>
    <x v="1"/>
    <n v="4298"/>
    <n v="9679"/>
    <n v="5"/>
    <x v="1"/>
    <n v="3"/>
    <n v="3"/>
    <n v="80"/>
    <n v="6"/>
    <x v="4"/>
    <x v="1"/>
    <n v="2"/>
    <x v="3"/>
    <n v="2"/>
    <n v="0"/>
  </r>
  <r>
    <n v="49"/>
    <x v="0"/>
    <x v="1"/>
    <s v="Non-Travel"/>
    <x v="1"/>
    <s v="Life Sciences"/>
    <x v="3"/>
    <n v="275"/>
    <n v="18"/>
    <x v="2"/>
    <s v="Male"/>
    <n v="2"/>
    <x v="0"/>
    <x v="2"/>
    <n v="6804"/>
    <n v="23793"/>
    <n v="1"/>
    <x v="0"/>
    <n v="3"/>
    <n v="1"/>
    <n v="80"/>
    <n v="7"/>
    <x v="0"/>
    <x v="1"/>
    <n v="7"/>
    <x v="1"/>
    <n v="1"/>
    <n v="7"/>
  </r>
  <r>
    <n v="34"/>
    <x v="1"/>
    <x v="1"/>
    <s v="Travel_Frequently"/>
    <x v="1"/>
    <s v="Medical"/>
    <x v="1"/>
    <n v="277"/>
    <n v="10"/>
    <x v="2"/>
    <s v="Male"/>
    <n v="1"/>
    <x v="2"/>
    <x v="2"/>
    <n v="3815"/>
    <n v="5972"/>
    <n v="1"/>
    <x v="0"/>
    <n v="3"/>
    <n v="4"/>
    <n v="80"/>
    <n v="5"/>
    <x v="5"/>
    <x v="3"/>
    <n v="5"/>
    <x v="7"/>
    <n v="2"/>
    <n v="0"/>
  </r>
  <r>
    <n v="40"/>
    <x v="1"/>
    <x v="1"/>
    <s v="Travel_Rarely"/>
    <x v="1"/>
    <s v="Medical"/>
    <x v="2"/>
    <n v="281"/>
    <n v="19"/>
    <x v="1"/>
    <s v="Male"/>
    <n v="2"/>
    <x v="0"/>
    <x v="1"/>
    <n v="2741"/>
    <n v="16523"/>
    <n v="8"/>
    <x v="0"/>
    <n v="3"/>
    <n v="3"/>
    <n v="80"/>
    <n v="15"/>
    <x v="2"/>
    <x v="3"/>
    <n v="7"/>
    <x v="3"/>
    <n v="3"/>
    <n v="7"/>
  </r>
  <r>
    <n v="38"/>
    <x v="1"/>
    <x v="0"/>
    <s v="Travel_Rarely"/>
    <x v="1"/>
    <s v="Medical"/>
    <x v="4"/>
    <n v="282"/>
    <n v="29"/>
    <x v="0"/>
    <s v="Male"/>
    <n v="2"/>
    <x v="3"/>
    <x v="1"/>
    <n v="6673"/>
    <n v="11354"/>
    <n v="7"/>
    <x v="0"/>
    <n v="3"/>
    <n v="2"/>
    <n v="80"/>
    <n v="17"/>
    <x v="2"/>
    <x v="1"/>
    <n v="1"/>
    <x v="2"/>
    <n v="0"/>
    <n v="0"/>
  </r>
  <r>
    <n v="29"/>
    <x v="2"/>
    <x v="0"/>
    <s v="Travel_Rarely"/>
    <x v="0"/>
    <s v="Marketing"/>
    <x v="0"/>
    <n v="283"/>
    <n v="27"/>
    <x v="0"/>
    <s v="Female"/>
    <n v="3"/>
    <x v="0"/>
    <x v="1"/>
    <n v="7639"/>
    <n v="24525"/>
    <n v="1"/>
    <x v="1"/>
    <n v="4"/>
    <n v="4"/>
    <n v="80"/>
    <n v="10"/>
    <x v="1"/>
    <x v="2"/>
    <n v="10"/>
    <x v="0"/>
    <n v="1"/>
    <n v="9"/>
  </r>
  <r>
    <n v="22"/>
    <x v="2"/>
    <x v="1"/>
    <s v="Travel_Rarely"/>
    <x v="1"/>
    <s v="Life Sciences"/>
    <x v="1"/>
    <n v="284"/>
    <n v="5"/>
    <x v="2"/>
    <s v="Male"/>
    <n v="1"/>
    <x v="1"/>
    <x v="2"/>
    <n v="2328"/>
    <n v="12392"/>
    <n v="1"/>
    <x v="0"/>
    <n v="3"/>
    <n v="1"/>
    <n v="80"/>
    <n v="4"/>
    <x v="2"/>
    <x v="2"/>
    <n v="4"/>
    <x v="3"/>
    <n v="2"/>
    <n v="2"/>
  </r>
  <r>
    <n v="36"/>
    <x v="1"/>
    <x v="1"/>
    <s v="Travel_Frequently"/>
    <x v="1"/>
    <s v="Medical"/>
    <x v="2"/>
    <n v="286"/>
    <n v="18"/>
    <x v="0"/>
    <s v="Female"/>
    <n v="1"/>
    <x v="0"/>
    <x v="0"/>
    <n v="2153"/>
    <n v="7703"/>
    <n v="1"/>
    <x v="1"/>
    <n v="3"/>
    <n v="1"/>
    <n v="80"/>
    <n v="8"/>
    <x v="2"/>
    <x v="1"/>
    <n v="8"/>
    <x v="10"/>
    <n v="1"/>
    <n v="7"/>
  </r>
  <r>
    <n v="40"/>
    <x v="1"/>
    <x v="1"/>
    <s v="Non-Travel"/>
    <x v="1"/>
    <s v="Life Sciences"/>
    <x v="4"/>
    <n v="287"/>
    <n v="9"/>
    <x v="2"/>
    <s v="Male"/>
    <n v="2"/>
    <x v="0"/>
    <x v="1"/>
    <n v="4876"/>
    <n v="14242"/>
    <n v="9"/>
    <x v="1"/>
    <n v="3"/>
    <n v="4"/>
    <n v="80"/>
    <n v="5"/>
    <x v="3"/>
    <x v="0"/>
    <n v="3"/>
    <x v="3"/>
    <n v="0"/>
    <n v="2"/>
  </r>
  <r>
    <n v="46"/>
    <x v="0"/>
    <x v="1"/>
    <s v="Travel_Rarely"/>
    <x v="1"/>
    <s v="Medical"/>
    <x v="4"/>
    <n v="288"/>
    <n v="1"/>
    <x v="2"/>
    <s v="Male"/>
    <n v="3"/>
    <x v="3"/>
    <x v="2"/>
    <n v="9396"/>
    <n v="12368"/>
    <n v="7"/>
    <x v="1"/>
    <n v="3"/>
    <n v="3"/>
    <n v="80"/>
    <n v="17"/>
    <x v="1"/>
    <x v="1"/>
    <n v="4"/>
    <x v="3"/>
    <n v="0"/>
    <n v="3"/>
  </r>
  <r>
    <n v="32"/>
    <x v="1"/>
    <x v="0"/>
    <s v="Travel_Rarely"/>
    <x v="0"/>
    <s v="Medical"/>
    <x v="0"/>
    <n v="291"/>
    <n v="4"/>
    <x v="2"/>
    <s v="Male"/>
    <n v="3"/>
    <x v="0"/>
    <x v="1"/>
    <n v="10400"/>
    <n v="25812"/>
    <n v="1"/>
    <x v="1"/>
    <n v="3"/>
    <n v="3"/>
    <n v="80"/>
    <n v="14"/>
    <x v="2"/>
    <x v="2"/>
    <n v="14"/>
    <x v="6"/>
    <n v="9"/>
    <n v="8"/>
  </r>
  <r>
    <n v="30"/>
    <x v="2"/>
    <x v="1"/>
    <s v="Non-Travel"/>
    <x v="1"/>
    <s v="Life Sciences"/>
    <x v="3"/>
    <n v="292"/>
    <n v="1"/>
    <x v="1"/>
    <s v="Male"/>
    <n v="3"/>
    <x v="2"/>
    <x v="0"/>
    <n v="8474"/>
    <n v="20925"/>
    <n v="1"/>
    <x v="1"/>
    <n v="4"/>
    <n v="3"/>
    <n v="80"/>
    <n v="12"/>
    <x v="2"/>
    <x v="1"/>
    <n v="11"/>
    <x v="6"/>
    <n v="5"/>
    <n v="8"/>
  </r>
  <r>
    <n v="27"/>
    <x v="2"/>
    <x v="1"/>
    <s v="Travel_Frequently"/>
    <x v="0"/>
    <s v="Life Sciences"/>
    <x v="0"/>
    <n v="293"/>
    <n v="20"/>
    <x v="2"/>
    <s v="Female"/>
    <n v="2"/>
    <x v="2"/>
    <x v="0"/>
    <n v="9981"/>
    <n v="12916"/>
    <n v="1"/>
    <x v="1"/>
    <n v="3"/>
    <n v="4"/>
    <n v="80"/>
    <n v="7"/>
    <x v="2"/>
    <x v="1"/>
    <n v="7"/>
    <x v="1"/>
    <n v="0"/>
    <n v="7"/>
  </r>
  <r>
    <n v="51"/>
    <x v="3"/>
    <x v="1"/>
    <s v="Travel_Rarely"/>
    <x v="1"/>
    <s v="Life Sciences"/>
    <x v="7"/>
    <n v="296"/>
    <n v="8"/>
    <x v="0"/>
    <s v="Male"/>
    <n v="3"/>
    <x v="1"/>
    <x v="1"/>
    <n v="12490"/>
    <n v="15736"/>
    <n v="5"/>
    <x v="1"/>
    <n v="3"/>
    <n v="4"/>
    <n v="80"/>
    <n v="16"/>
    <x v="3"/>
    <x v="0"/>
    <n v="10"/>
    <x v="5"/>
    <n v="4"/>
    <n v="7"/>
  </r>
  <r>
    <n v="30"/>
    <x v="2"/>
    <x v="0"/>
    <s v="Travel_Rarely"/>
    <x v="1"/>
    <s v="Technical Degree"/>
    <x v="1"/>
    <n v="297"/>
    <n v="3"/>
    <x v="2"/>
    <s v="Female"/>
    <n v="1"/>
    <x v="3"/>
    <x v="0"/>
    <n v="2657"/>
    <n v="8556"/>
    <n v="5"/>
    <x v="0"/>
    <n v="3"/>
    <n v="3"/>
    <n v="80"/>
    <n v="8"/>
    <x v="3"/>
    <x v="1"/>
    <n v="5"/>
    <x v="3"/>
    <n v="0"/>
    <n v="4"/>
  </r>
  <r>
    <n v="41"/>
    <x v="0"/>
    <x v="1"/>
    <s v="Travel_Rarely"/>
    <x v="0"/>
    <s v="Life Sciences"/>
    <x v="5"/>
    <n v="298"/>
    <n v="6"/>
    <x v="2"/>
    <s v="Female"/>
    <n v="3"/>
    <x v="0"/>
    <x v="0"/>
    <n v="13591"/>
    <n v="14674"/>
    <n v="3"/>
    <x v="0"/>
    <n v="3"/>
    <n v="3"/>
    <n v="80"/>
    <n v="16"/>
    <x v="1"/>
    <x v="1"/>
    <n v="1"/>
    <x v="2"/>
    <n v="0"/>
    <n v="0"/>
  </r>
  <r>
    <n v="30"/>
    <x v="2"/>
    <x v="0"/>
    <s v="Travel_Frequently"/>
    <x v="0"/>
    <s v="Marketing"/>
    <x v="0"/>
    <n v="299"/>
    <n v="26"/>
    <x v="1"/>
    <s v="Female"/>
    <n v="2"/>
    <x v="3"/>
    <x v="0"/>
    <n v="6696"/>
    <n v="22967"/>
    <n v="5"/>
    <x v="1"/>
    <n v="3"/>
    <n v="3"/>
    <n v="80"/>
    <n v="9"/>
    <x v="3"/>
    <x v="2"/>
    <n v="6"/>
    <x v="7"/>
    <n v="0"/>
    <n v="1"/>
  </r>
  <r>
    <n v="29"/>
    <x v="2"/>
    <x v="0"/>
    <s v="Travel_Rarely"/>
    <x v="1"/>
    <s v="Technical Degree"/>
    <x v="1"/>
    <n v="300"/>
    <n v="1"/>
    <x v="1"/>
    <s v="Male"/>
    <n v="1"/>
    <x v="2"/>
    <x v="0"/>
    <n v="2058"/>
    <n v="19757"/>
    <n v="0"/>
    <x v="1"/>
    <n v="3"/>
    <n v="4"/>
    <n v="80"/>
    <n v="7"/>
    <x v="4"/>
    <x v="2"/>
    <n v="6"/>
    <x v="3"/>
    <n v="1"/>
    <n v="5"/>
  </r>
  <r>
    <n v="45"/>
    <x v="0"/>
    <x v="1"/>
    <s v="Non-Travel"/>
    <x v="0"/>
    <s v="Medical"/>
    <x v="0"/>
    <n v="302"/>
    <n v="6"/>
    <x v="2"/>
    <s v="Female"/>
    <n v="3"/>
    <x v="0"/>
    <x v="0"/>
    <n v="8865"/>
    <n v="16840"/>
    <n v="6"/>
    <x v="1"/>
    <n v="3"/>
    <n v="4"/>
    <n v="80"/>
    <n v="23"/>
    <x v="2"/>
    <x v="1"/>
    <n v="19"/>
    <x v="1"/>
    <n v="12"/>
    <n v="8"/>
  </r>
  <r>
    <n v="54"/>
    <x v="3"/>
    <x v="1"/>
    <s v="Travel_Rarely"/>
    <x v="0"/>
    <s v="Marketing"/>
    <x v="0"/>
    <n v="303"/>
    <n v="3"/>
    <x v="2"/>
    <s v="Female"/>
    <n v="2"/>
    <x v="3"/>
    <x v="1"/>
    <n v="5940"/>
    <n v="17011"/>
    <n v="2"/>
    <x v="1"/>
    <n v="3"/>
    <n v="4"/>
    <n v="80"/>
    <n v="16"/>
    <x v="5"/>
    <x v="1"/>
    <n v="6"/>
    <x v="3"/>
    <n v="0"/>
    <n v="5"/>
  </r>
  <r>
    <n v="36"/>
    <x v="1"/>
    <x v="1"/>
    <s v="Travel_Rarely"/>
    <x v="1"/>
    <s v="Life Sciences"/>
    <x v="2"/>
    <n v="304"/>
    <n v="5"/>
    <x v="2"/>
    <s v="Male"/>
    <n v="2"/>
    <x v="1"/>
    <x v="0"/>
    <n v="5914"/>
    <n v="9945"/>
    <n v="8"/>
    <x v="1"/>
    <n v="3"/>
    <n v="4"/>
    <n v="80"/>
    <n v="16"/>
    <x v="1"/>
    <x v="3"/>
    <n v="13"/>
    <x v="14"/>
    <n v="3"/>
    <n v="7"/>
  </r>
  <r>
    <n v="33"/>
    <x v="1"/>
    <x v="1"/>
    <s v="Travel_Rarely"/>
    <x v="1"/>
    <s v="Medical"/>
    <x v="1"/>
    <n v="305"/>
    <n v="4"/>
    <x v="1"/>
    <s v="Female"/>
    <n v="1"/>
    <x v="1"/>
    <x v="1"/>
    <n v="2622"/>
    <n v="13248"/>
    <n v="6"/>
    <x v="1"/>
    <n v="4"/>
    <n v="4"/>
    <n v="80"/>
    <n v="7"/>
    <x v="1"/>
    <x v="1"/>
    <n v="3"/>
    <x v="3"/>
    <n v="1"/>
    <n v="1"/>
  </r>
  <r>
    <n v="37"/>
    <x v="1"/>
    <x v="1"/>
    <s v="Travel_Frequently"/>
    <x v="1"/>
    <s v="Other"/>
    <x v="7"/>
    <n v="306"/>
    <n v="11"/>
    <x v="0"/>
    <s v="Male"/>
    <n v="3"/>
    <x v="0"/>
    <x v="2"/>
    <n v="12185"/>
    <n v="10056"/>
    <n v="1"/>
    <x v="0"/>
    <n v="3"/>
    <n v="3"/>
    <n v="80"/>
    <n v="10"/>
    <x v="4"/>
    <x v="1"/>
    <n v="10"/>
    <x v="6"/>
    <n v="0"/>
    <n v="7"/>
  </r>
  <r>
    <n v="38"/>
    <x v="1"/>
    <x v="1"/>
    <s v="Travel_Rarely"/>
    <x v="0"/>
    <s v="Life Sciences"/>
    <x v="0"/>
    <n v="307"/>
    <n v="3"/>
    <x v="3"/>
    <s v="Male"/>
    <n v="3"/>
    <x v="2"/>
    <x v="2"/>
    <n v="10609"/>
    <n v="9647"/>
    <n v="0"/>
    <x v="1"/>
    <n v="3"/>
    <n v="3"/>
    <n v="80"/>
    <n v="17"/>
    <x v="6"/>
    <x v="2"/>
    <n v="16"/>
    <x v="15"/>
    <n v="5"/>
    <n v="13"/>
  </r>
  <r>
    <n v="31"/>
    <x v="1"/>
    <x v="1"/>
    <s v="Non-Travel"/>
    <x v="1"/>
    <s v="Medical"/>
    <x v="3"/>
    <n v="308"/>
    <n v="1"/>
    <x v="1"/>
    <s v="Male"/>
    <n v="2"/>
    <x v="2"/>
    <x v="1"/>
    <n v="4345"/>
    <n v="4381"/>
    <n v="0"/>
    <x v="1"/>
    <n v="3"/>
    <n v="4"/>
    <n v="80"/>
    <n v="6"/>
    <x v="2"/>
    <x v="1"/>
    <n v="5"/>
    <x v="0"/>
    <n v="1"/>
    <n v="4"/>
  </r>
  <r>
    <n v="59"/>
    <x v="3"/>
    <x v="1"/>
    <s v="Travel_Rarely"/>
    <x v="1"/>
    <s v="Life Sciences"/>
    <x v="1"/>
    <n v="309"/>
    <n v="3"/>
    <x v="1"/>
    <s v="Male"/>
    <n v="1"/>
    <x v="0"/>
    <x v="1"/>
    <n v="2177"/>
    <n v="8456"/>
    <n v="3"/>
    <x v="1"/>
    <n v="3"/>
    <n v="1"/>
    <n v="80"/>
    <n v="7"/>
    <x v="6"/>
    <x v="1"/>
    <n v="1"/>
    <x v="2"/>
    <n v="0"/>
    <n v="0"/>
  </r>
  <r>
    <n v="37"/>
    <x v="1"/>
    <x v="1"/>
    <s v="Travel_Frequently"/>
    <x v="0"/>
    <s v="Marketing"/>
    <x v="6"/>
    <n v="311"/>
    <n v="4"/>
    <x v="3"/>
    <s v="Male"/>
    <n v="1"/>
    <x v="0"/>
    <x v="2"/>
    <n v="2793"/>
    <n v="2539"/>
    <n v="4"/>
    <x v="1"/>
    <n v="3"/>
    <n v="3"/>
    <n v="80"/>
    <n v="13"/>
    <x v="2"/>
    <x v="1"/>
    <n v="9"/>
    <x v="6"/>
    <n v="5"/>
    <n v="8"/>
  </r>
  <r>
    <n v="29"/>
    <x v="2"/>
    <x v="1"/>
    <s v="Travel_Frequently"/>
    <x v="0"/>
    <s v="Medical"/>
    <x v="0"/>
    <n v="312"/>
    <n v="1"/>
    <x v="0"/>
    <s v="Female"/>
    <n v="3"/>
    <x v="0"/>
    <x v="1"/>
    <n v="7918"/>
    <n v="6599"/>
    <n v="1"/>
    <x v="1"/>
    <n v="3"/>
    <n v="4"/>
    <n v="80"/>
    <n v="11"/>
    <x v="3"/>
    <x v="1"/>
    <n v="11"/>
    <x v="15"/>
    <n v="4"/>
    <n v="1"/>
  </r>
  <r>
    <n v="35"/>
    <x v="1"/>
    <x v="1"/>
    <s v="Travel_Frequently"/>
    <x v="0"/>
    <s v="Marketing"/>
    <x v="0"/>
    <n v="314"/>
    <n v="1"/>
    <x v="1"/>
    <s v="Female"/>
    <n v="3"/>
    <x v="2"/>
    <x v="0"/>
    <n v="8789"/>
    <n v="9096"/>
    <n v="1"/>
    <x v="1"/>
    <n v="3"/>
    <n v="1"/>
    <n v="80"/>
    <n v="10"/>
    <x v="1"/>
    <x v="3"/>
    <n v="10"/>
    <x v="1"/>
    <n v="0"/>
    <n v="8"/>
  </r>
  <r>
    <n v="29"/>
    <x v="2"/>
    <x v="0"/>
    <s v="Travel_Rarely"/>
    <x v="1"/>
    <s v="Medical"/>
    <x v="1"/>
    <n v="315"/>
    <n v="18"/>
    <x v="1"/>
    <s v="Male"/>
    <n v="1"/>
    <x v="0"/>
    <x v="0"/>
    <n v="2389"/>
    <n v="14961"/>
    <n v="1"/>
    <x v="0"/>
    <n v="3"/>
    <n v="3"/>
    <n v="80"/>
    <n v="4"/>
    <x v="1"/>
    <x v="2"/>
    <n v="4"/>
    <x v="7"/>
    <n v="0"/>
    <n v="1"/>
  </r>
  <r>
    <n v="52"/>
    <x v="3"/>
    <x v="1"/>
    <s v="Travel_Rarely"/>
    <x v="1"/>
    <s v="Life Sciences"/>
    <x v="2"/>
    <n v="316"/>
    <n v="2"/>
    <x v="1"/>
    <s v="Female"/>
    <n v="1"/>
    <x v="0"/>
    <x v="0"/>
    <n v="3212"/>
    <n v="3300"/>
    <n v="7"/>
    <x v="1"/>
    <n v="3"/>
    <n v="2"/>
    <n v="80"/>
    <n v="6"/>
    <x v="1"/>
    <x v="2"/>
    <n v="2"/>
    <x v="3"/>
    <n v="2"/>
    <n v="2"/>
  </r>
  <r>
    <n v="42"/>
    <x v="0"/>
    <x v="1"/>
    <s v="Travel_Rarely"/>
    <x v="1"/>
    <s v="Technical Degree"/>
    <x v="5"/>
    <n v="319"/>
    <n v="4"/>
    <x v="1"/>
    <s v="Male"/>
    <n v="5"/>
    <x v="0"/>
    <x v="1"/>
    <n v="19232"/>
    <n v="4933"/>
    <n v="1"/>
    <x v="1"/>
    <n v="3"/>
    <n v="4"/>
    <n v="80"/>
    <n v="22"/>
    <x v="1"/>
    <x v="1"/>
    <n v="22"/>
    <x v="18"/>
    <n v="11"/>
    <n v="15"/>
  </r>
  <r>
    <n v="59"/>
    <x v="3"/>
    <x v="1"/>
    <s v="Travel_Rarely"/>
    <x v="2"/>
    <s v="Medical"/>
    <x v="8"/>
    <n v="321"/>
    <n v="6"/>
    <x v="0"/>
    <s v="Male"/>
    <n v="1"/>
    <x v="2"/>
    <x v="1"/>
    <n v="2267"/>
    <n v="25657"/>
    <n v="8"/>
    <x v="1"/>
    <n v="3"/>
    <n v="4"/>
    <n v="80"/>
    <n v="7"/>
    <x v="2"/>
    <x v="2"/>
    <n v="2"/>
    <x v="3"/>
    <n v="2"/>
    <n v="2"/>
  </r>
  <r>
    <n v="50"/>
    <x v="0"/>
    <x v="1"/>
    <s v="Travel_Rarely"/>
    <x v="0"/>
    <s v="Medical"/>
    <x v="5"/>
    <n v="323"/>
    <n v="1"/>
    <x v="2"/>
    <s v="Female"/>
    <n v="5"/>
    <x v="0"/>
    <x v="2"/>
    <n v="19517"/>
    <n v="24118"/>
    <n v="3"/>
    <x v="1"/>
    <n v="3"/>
    <n v="3"/>
    <n v="80"/>
    <n v="32"/>
    <x v="1"/>
    <x v="2"/>
    <n v="7"/>
    <x v="2"/>
    <n v="0"/>
    <n v="6"/>
  </r>
  <r>
    <n v="33"/>
    <x v="1"/>
    <x v="0"/>
    <s v="Travel_Rarely"/>
    <x v="1"/>
    <s v="Medical"/>
    <x v="2"/>
    <n v="325"/>
    <n v="14"/>
    <x v="1"/>
    <s v="Male"/>
    <n v="1"/>
    <x v="0"/>
    <x v="1"/>
    <n v="2436"/>
    <n v="22149"/>
    <n v="5"/>
    <x v="0"/>
    <n v="3"/>
    <n v="3"/>
    <n v="80"/>
    <n v="8"/>
    <x v="2"/>
    <x v="0"/>
    <n v="5"/>
    <x v="0"/>
    <n v="0"/>
    <n v="4"/>
  </r>
  <r>
    <n v="43"/>
    <x v="0"/>
    <x v="1"/>
    <s v="Travel_Rarely"/>
    <x v="0"/>
    <s v="Marketing"/>
    <x v="5"/>
    <n v="327"/>
    <n v="16"/>
    <x v="2"/>
    <s v="Female"/>
    <n v="4"/>
    <x v="0"/>
    <x v="1"/>
    <n v="16064"/>
    <n v="7744"/>
    <n v="5"/>
    <x v="0"/>
    <n v="4"/>
    <n v="3"/>
    <n v="80"/>
    <n v="22"/>
    <x v="1"/>
    <x v="1"/>
    <n v="17"/>
    <x v="9"/>
    <n v="1"/>
    <n v="9"/>
  </r>
  <r>
    <n v="33"/>
    <x v="1"/>
    <x v="0"/>
    <s v="Travel_Rarely"/>
    <x v="1"/>
    <s v="Life Sciences"/>
    <x v="2"/>
    <n v="328"/>
    <n v="2"/>
    <x v="3"/>
    <s v="Female"/>
    <n v="1"/>
    <x v="3"/>
    <x v="1"/>
    <n v="2707"/>
    <n v="21509"/>
    <n v="7"/>
    <x v="1"/>
    <n v="4"/>
    <n v="1"/>
    <n v="80"/>
    <n v="13"/>
    <x v="1"/>
    <x v="3"/>
    <n v="9"/>
    <x v="1"/>
    <n v="1"/>
    <n v="7"/>
  </r>
  <r>
    <n v="52"/>
    <x v="3"/>
    <x v="1"/>
    <s v="Non-Travel"/>
    <x v="0"/>
    <s v="Life Sciences"/>
    <x v="5"/>
    <n v="329"/>
    <n v="2"/>
    <x v="3"/>
    <s v="Male"/>
    <n v="5"/>
    <x v="2"/>
    <x v="0"/>
    <n v="19068"/>
    <n v="21030"/>
    <n v="1"/>
    <x v="0"/>
    <n v="3"/>
    <n v="4"/>
    <n v="80"/>
    <n v="33"/>
    <x v="2"/>
    <x v="3"/>
    <n v="33"/>
    <x v="1"/>
    <n v="15"/>
    <n v="12"/>
  </r>
  <r>
    <n v="32"/>
    <x v="1"/>
    <x v="1"/>
    <s v="Travel_Rarely"/>
    <x v="0"/>
    <s v="Life Sciences"/>
    <x v="6"/>
    <n v="330"/>
    <n v="4"/>
    <x v="1"/>
    <s v="Female"/>
    <n v="1"/>
    <x v="1"/>
    <x v="1"/>
    <n v="3931"/>
    <n v="20990"/>
    <n v="2"/>
    <x v="1"/>
    <n v="3"/>
    <n v="1"/>
    <n v="80"/>
    <n v="6"/>
    <x v="3"/>
    <x v="1"/>
    <n v="4"/>
    <x v="7"/>
    <n v="1"/>
    <n v="2"/>
  </r>
  <r>
    <n v="32"/>
    <x v="1"/>
    <x v="0"/>
    <s v="Travel_Rarely"/>
    <x v="1"/>
    <s v="Life Sciences"/>
    <x v="2"/>
    <n v="331"/>
    <n v="1"/>
    <x v="2"/>
    <s v="Male"/>
    <n v="1"/>
    <x v="2"/>
    <x v="0"/>
    <n v="3730"/>
    <n v="9571"/>
    <n v="0"/>
    <x v="0"/>
    <n v="3"/>
    <n v="4"/>
    <n v="80"/>
    <n v="4"/>
    <x v="2"/>
    <x v="0"/>
    <n v="3"/>
    <x v="3"/>
    <n v="1"/>
    <n v="2"/>
  </r>
  <r>
    <n v="39"/>
    <x v="1"/>
    <x v="1"/>
    <s v="Travel_Rarely"/>
    <x v="1"/>
    <s v="Medical"/>
    <x v="2"/>
    <n v="332"/>
    <n v="1"/>
    <x v="1"/>
    <s v="Female"/>
    <n v="1"/>
    <x v="2"/>
    <x v="2"/>
    <n v="2232"/>
    <n v="15417"/>
    <n v="7"/>
    <x v="1"/>
    <n v="3"/>
    <n v="3"/>
    <n v="80"/>
    <n v="7"/>
    <x v="4"/>
    <x v="1"/>
    <n v="3"/>
    <x v="3"/>
    <n v="1"/>
    <n v="2"/>
  </r>
  <r>
    <n v="32"/>
    <x v="1"/>
    <x v="1"/>
    <s v="Non-Travel"/>
    <x v="0"/>
    <s v="Marketing"/>
    <x v="0"/>
    <n v="333"/>
    <n v="26"/>
    <x v="1"/>
    <s v="Male"/>
    <n v="2"/>
    <x v="0"/>
    <x v="1"/>
    <n v="4465"/>
    <n v="12069"/>
    <n v="0"/>
    <x v="1"/>
    <n v="3"/>
    <n v="1"/>
    <n v="80"/>
    <n v="4"/>
    <x v="2"/>
    <x v="1"/>
    <n v="3"/>
    <x v="3"/>
    <n v="2"/>
    <n v="2"/>
  </r>
  <r>
    <n v="41"/>
    <x v="0"/>
    <x v="1"/>
    <s v="Travel_Rarely"/>
    <x v="1"/>
    <s v="Life Sciences"/>
    <x v="1"/>
    <n v="334"/>
    <n v="19"/>
    <x v="1"/>
    <s v="Male"/>
    <n v="2"/>
    <x v="3"/>
    <x v="2"/>
    <n v="3072"/>
    <n v="19877"/>
    <n v="2"/>
    <x v="1"/>
    <n v="3"/>
    <n v="1"/>
    <n v="80"/>
    <n v="17"/>
    <x v="2"/>
    <x v="2"/>
    <n v="1"/>
    <x v="2"/>
    <n v="0"/>
    <n v="0"/>
  </r>
  <r>
    <n v="40"/>
    <x v="1"/>
    <x v="1"/>
    <s v="Travel_Rarely"/>
    <x v="1"/>
    <s v="Technical Degree"/>
    <x v="1"/>
    <n v="335"/>
    <n v="24"/>
    <x v="3"/>
    <s v="Male"/>
    <n v="2"/>
    <x v="0"/>
    <x v="2"/>
    <n v="3319"/>
    <n v="24447"/>
    <n v="1"/>
    <x v="1"/>
    <n v="3"/>
    <n v="1"/>
    <n v="80"/>
    <n v="9"/>
    <x v="1"/>
    <x v="1"/>
    <n v="9"/>
    <x v="6"/>
    <n v="4"/>
    <n v="7"/>
  </r>
  <r>
    <n v="45"/>
    <x v="0"/>
    <x v="1"/>
    <s v="Travel_Rarely"/>
    <x v="1"/>
    <s v="Other"/>
    <x v="5"/>
    <n v="336"/>
    <n v="1"/>
    <x v="1"/>
    <s v="Male"/>
    <n v="5"/>
    <x v="0"/>
    <x v="1"/>
    <n v="19202"/>
    <n v="15970"/>
    <n v="0"/>
    <x v="1"/>
    <n v="3"/>
    <n v="3"/>
    <n v="80"/>
    <n v="25"/>
    <x v="2"/>
    <x v="1"/>
    <n v="24"/>
    <x v="2"/>
    <n v="1"/>
    <n v="7"/>
  </r>
  <r>
    <n v="31"/>
    <x v="1"/>
    <x v="1"/>
    <s v="Travel_Frequently"/>
    <x v="1"/>
    <s v="Medical"/>
    <x v="7"/>
    <n v="337"/>
    <n v="3"/>
    <x v="0"/>
    <s v="Male"/>
    <n v="3"/>
    <x v="2"/>
    <x v="2"/>
    <n v="13675"/>
    <n v="13523"/>
    <n v="9"/>
    <x v="1"/>
    <n v="3"/>
    <n v="1"/>
    <n v="80"/>
    <n v="9"/>
    <x v="1"/>
    <x v="1"/>
    <n v="2"/>
    <x v="3"/>
    <n v="2"/>
    <n v="2"/>
  </r>
  <r>
    <n v="33"/>
    <x v="1"/>
    <x v="1"/>
    <s v="Travel_Rarely"/>
    <x v="1"/>
    <s v="Life Sciences"/>
    <x v="1"/>
    <n v="338"/>
    <n v="5"/>
    <x v="1"/>
    <s v="Female"/>
    <n v="1"/>
    <x v="0"/>
    <x v="1"/>
    <n v="2911"/>
    <n v="14776"/>
    <n v="1"/>
    <x v="1"/>
    <n v="3"/>
    <n v="3"/>
    <n v="80"/>
    <n v="2"/>
    <x v="2"/>
    <x v="2"/>
    <n v="2"/>
    <x v="3"/>
    <n v="0"/>
    <n v="2"/>
  </r>
  <r>
    <n v="34"/>
    <x v="1"/>
    <x v="1"/>
    <s v="Travel_Rarely"/>
    <x v="1"/>
    <s v="Life Sciences"/>
    <x v="3"/>
    <n v="339"/>
    <n v="2"/>
    <x v="2"/>
    <s v="Male"/>
    <n v="2"/>
    <x v="3"/>
    <x v="1"/>
    <n v="5957"/>
    <n v="23687"/>
    <n v="6"/>
    <x v="1"/>
    <n v="3"/>
    <n v="2"/>
    <n v="80"/>
    <n v="13"/>
    <x v="1"/>
    <x v="1"/>
    <n v="11"/>
    <x v="5"/>
    <n v="5"/>
    <n v="9"/>
  </r>
  <r>
    <n v="37"/>
    <x v="1"/>
    <x v="1"/>
    <s v="Travel_Rarely"/>
    <x v="1"/>
    <s v="Medical"/>
    <x v="1"/>
    <n v="340"/>
    <n v="1"/>
    <x v="1"/>
    <s v="Female"/>
    <n v="1"/>
    <x v="3"/>
    <x v="1"/>
    <n v="3920"/>
    <n v="18697"/>
    <n v="2"/>
    <x v="1"/>
    <n v="3"/>
    <n v="1"/>
    <n v="80"/>
    <n v="17"/>
    <x v="2"/>
    <x v="2"/>
    <n v="3"/>
    <x v="10"/>
    <n v="0"/>
    <n v="2"/>
  </r>
  <r>
    <n v="45"/>
    <x v="0"/>
    <x v="1"/>
    <s v="Travel_Frequently"/>
    <x v="1"/>
    <s v="Life Sciences"/>
    <x v="3"/>
    <n v="341"/>
    <n v="7"/>
    <x v="3"/>
    <s v="Male"/>
    <n v="2"/>
    <x v="2"/>
    <x v="1"/>
    <n v="6434"/>
    <n v="5118"/>
    <n v="4"/>
    <x v="1"/>
    <n v="3"/>
    <n v="4"/>
    <n v="80"/>
    <n v="9"/>
    <x v="4"/>
    <x v="1"/>
    <n v="3"/>
    <x v="3"/>
    <n v="0"/>
    <n v="2"/>
  </r>
  <r>
    <n v="37"/>
    <x v="1"/>
    <x v="0"/>
    <s v="Travel_Frequently"/>
    <x v="1"/>
    <s v="Medical"/>
    <x v="3"/>
    <n v="342"/>
    <n v="10"/>
    <x v="3"/>
    <s v="Male"/>
    <n v="3"/>
    <x v="2"/>
    <x v="2"/>
    <n v="10048"/>
    <n v="22573"/>
    <n v="6"/>
    <x v="1"/>
    <n v="3"/>
    <n v="2"/>
    <n v="80"/>
    <n v="17"/>
    <x v="3"/>
    <x v="1"/>
    <n v="1"/>
    <x v="2"/>
    <n v="0"/>
    <n v="0"/>
  </r>
  <r>
    <n v="39"/>
    <x v="1"/>
    <x v="1"/>
    <s v="Travel_Frequently"/>
    <x v="1"/>
    <s v="Technical Degree"/>
    <x v="4"/>
    <n v="343"/>
    <n v="2"/>
    <x v="1"/>
    <s v="Female"/>
    <n v="3"/>
    <x v="2"/>
    <x v="0"/>
    <n v="10938"/>
    <n v="6420"/>
    <n v="0"/>
    <x v="1"/>
    <n v="4"/>
    <n v="4"/>
    <n v="80"/>
    <n v="20"/>
    <x v="4"/>
    <x v="1"/>
    <n v="19"/>
    <x v="8"/>
    <n v="11"/>
    <n v="8"/>
  </r>
  <r>
    <n v="29"/>
    <x v="2"/>
    <x v="1"/>
    <s v="Travel_Rarely"/>
    <x v="1"/>
    <s v="Life Sciences"/>
    <x v="1"/>
    <n v="346"/>
    <n v="15"/>
    <x v="1"/>
    <s v="Male"/>
    <n v="1"/>
    <x v="0"/>
    <x v="0"/>
    <n v="2340"/>
    <n v="22673"/>
    <n v="1"/>
    <x v="1"/>
    <n v="3"/>
    <n v="1"/>
    <n v="80"/>
    <n v="6"/>
    <x v="4"/>
    <x v="1"/>
    <n v="6"/>
    <x v="4"/>
    <n v="1"/>
    <n v="5"/>
  </r>
  <r>
    <n v="42"/>
    <x v="0"/>
    <x v="1"/>
    <s v="Travel_Rarely"/>
    <x v="1"/>
    <s v="Life Sciences"/>
    <x v="1"/>
    <n v="347"/>
    <n v="17"/>
    <x v="2"/>
    <s v="Female"/>
    <n v="2"/>
    <x v="3"/>
    <x v="0"/>
    <n v="6545"/>
    <n v="23016"/>
    <n v="3"/>
    <x v="0"/>
    <n v="3"/>
    <n v="3"/>
    <n v="80"/>
    <n v="10"/>
    <x v="4"/>
    <x v="1"/>
    <n v="3"/>
    <x v="3"/>
    <n v="0"/>
    <n v="2"/>
  </r>
  <r>
    <n v="29"/>
    <x v="2"/>
    <x v="1"/>
    <s v="Travel_Rarely"/>
    <x v="0"/>
    <s v="Marketing"/>
    <x v="0"/>
    <n v="349"/>
    <n v="20"/>
    <x v="2"/>
    <s v="Male"/>
    <n v="2"/>
    <x v="0"/>
    <x v="2"/>
    <n v="6931"/>
    <n v="10732"/>
    <n v="2"/>
    <x v="1"/>
    <n v="3"/>
    <n v="4"/>
    <n v="80"/>
    <n v="10"/>
    <x v="2"/>
    <x v="1"/>
    <n v="3"/>
    <x v="3"/>
    <n v="0"/>
    <n v="2"/>
  </r>
  <r>
    <n v="25"/>
    <x v="2"/>
    <x v="1"/>
    <s v="Travel_Rarely"/>
    <x v="1"/>
    <s v="Life Sciences"/>
    <x v="3"/>
    <n v="350"/>
    <n v="1"/>
    <x v="3"/>
    <s v="Female"/>
    <n v="2"/>
    <x v="2"/>
    <x v="1"/>
    <n v="4898"/>
    <n v="7505"/>
    <n v="0"/>
    <x v="1"/>
    <n v="3"/>
    <n v="4"/>
    <n v="80"/>
    <n v="5"/>
    <x v="1"/>
    <x v="1"/>
    <n v="4"/>
    <x v="3"/>
    <n v="1"/>
    <n v="2"/>
  </r>
  <r>
    <n v="42"/>
    <x v="0"/>
    <x v="1"/>
    <s v="Travel_Rarely"/>
    <x v="1"/>
    <s v="Medical"/>
    <x v="2"/>
    <n v="351"/>
    <n v="2"/>
    <x v="2"/>
    <s v="Female"/>
    <n v="1"/>
    <x v="3"/>
    <x v="2"/>
    <n v="2593"/>
    <n v="8007"/>
    <n v="0"/>
    <x v="0"/>
    <n v="3"/>
    <n v="3"/>
    <n v="80"/>
    <n v="10"/>
    <x v="5"/>
    <x v="1"/>
    <n v="9"/>
    <x v="8"/>
    <n v="7"/>
    <n v="8"/>
  </r>
  <r>
    <n v="40"/>
    <x v="1"/>
    <x v="1"/>
    <s v="Travel_Rarely"/>
    <x v="1"/>
    <s v="Medical"/>
    <x v="7"/>
    <n v="352"/>
    <n v="2"/>
    <x v="3"/>
    <s v="Male"/>
    <n v="5"/>
    <x v="2"/>
    <x v="2"/>
    <n v="19436"/>
    <n v="5949"/>
    <n v="0"/>
    <x v="1"/>
    <n v="3"/>
    <n v="4"/>
    <n v="80"/>
    <n v="22"/>
    <x v="3"/>
    <x v="1"/>
    <n v="21"/>
    <x v="1"/>
    <n v="3"/>
    <n v="9"/>
  </r>
  <r>
    <n v="51"/>
    <x v="3"/>
    <x v="1"/>
    <s v="Travel_Rarely"/>
    <x v="1"/>
    <s v="Life Sciences"/>
    <x v="1"/>
    <n v="353"/>
    <n v="1"/>
    <x v="1"/>
    <s v="Male"/>
    <n v="1"/>
    <x v="0"/>
    <x v="1"/>
    <n v="2723"/>
    <n v="23231"/>
    <n v="1"/>
    <x v="1"/>
    <n v="3"/>
    <n v="2"/>
    <n v="80"/>
    <n v="1"/>
    <x v="0"/>
    <x v="2"/>
    <n v="1"/>
    <x v="2"/>
    <n v="0"/>
    <n v="0"/>
  </r>
  <r>
    <n v="31"/>
    <x v="1"/>
    <x v="0"/>
    <s v="Travel_Frequently"/>
    <x v="1"/>
    <s v="Medical"/>
    <x v="2"/>
    <n v="355"/>
    <n v="29"/>
    <x v="1"/>
    <s v="Male"/>
    <n v="1"/>
    <x v="1"/>
    <x v="0"/>
    <n v="3479"/>
    <n v="11652"/>
    <n v="0"/>
    <x v="1"/>
    <n v="3"/>
    <n v="2"/>
    <n v="80"/>
    <n v="6"/>
    <x v="2"/>
    <x v="3"/>
    <n v="5"/>
    <x v="0"/>
    <n v="1"/>
    <n v="4"/>
  </r>
  <r>
    <n v="32"/>
    <x v="1"/>
    <x v="1"/>
    <s v="Travel_Frequently"/>
    <x v="1"/>
    <s v="Life Sciences"/>
    <x v="2"/>
    <n v="359"/>
    <n v="7"/>
    <x v="0"/>
    <s v="Male"/>
    <n v="1"/>
    <x v="1"/>
    <x v="1"/>
    <n v="2794"/>
    <n v="26062"/>
    <n v="1"/>
    <x v="1"/>
    <n v="4"/>
    <n v="3"/>
    <n v="80"/>
    <n v="5"/>
    <x v="1"/>
    <x v="0"/>
    <n v="5"/>
    <x v="10"/>
    <n v="0"/>
    <n v="3"/>
  </r>
  <r>
    <n v="38"/>
    <x v="1"/>
    <x v="1"/>
    <s v="Non-Travel"/>
    <x v="0"/>
    <s v="Life Sciences"/>
    <x v="0"/>
    <n v="361"/>
    <n v="2"/>
    <x v="2"/>
    <s v="Male"/>
    <n v="2"/>
    <x v="0"/>
    <x v="1"/>
    <n v="5249"/>
    <n v="19682"/>
    <n v="3"/>
    <x v="1"/>
    <n v="3"/>
    <n v="4"/>
    <n v="80"/>
    <n v="13"/>
    <x v="0"/>
    <x v="1"/>
    <n v="8"/>
    <x v="1"/>
    <n v="7"/>
    <n v="5"/>
  </r>
  <r>
    <n v="32"/>
    <x v="1"/>
    <x v="1"/>
    <s v="Travel_Rarely"/>
    <x v="1"/>
    <s v="Technical Degree"/>
    <x v="2"/>
    <n v="362"/>
    <n v="2"/>
    <x v="2"/>
    <s v="Male"/>
    <n v="2"/>
    <x v="3"/>
    <x v="0"/>
    <n v="2176"/>
    <n v="19737"/>
    <n v="4"/>
    <x v="1"/>
    <n v="3"/>
    <n v="4"/>
    <n v="80"/>
    <n v="9"/>
    <x v="3"/>
    <x v="1"/>
    <n v="6"/>
    <x v="3"/>
    <n v="0"/>
    <n v="4"/>
  </r>
  <r>
    <n v="46"/>
    <x v="0"/>
    <x v="1"/>
    <s v="Travel_Rarely"/>
    <x v="0"/>
    <s v="Technical Degree"/>
    <x v="5"/>
    <n v="363"/>
    <n v="2"/>
    <x v="1"/>
    <s v="Female"/>
    <n v="4"/>
    <x v="1"/>
    <x v="1"/>
    <n v="16872"/>
    <n v="14977"/>
    <n v="3"/>
    <x v="0"/>
    <n v="3"/>
    <n v="2"/>
    <n v="80"/>
    <n v="28"/>
    <x v="2"/>
    <x v="2"/>
    <n v="7"/>
    <x v="1"/>
    <n v="7"/>
    <n v="7"/>
  </r>
  <r>
    <n v="28"/>
    <x v="2"/>
    <x v="0"/>
    <s v="Travel_Rarely"/>
    <x v="1"/>
    <s v="Life Sciences"/>
    <x v="2"/>
    <n v="364"/>
    <n v="2"/>
    <x v="3"/>
    <s v="Male"/>
    <n v="1"/>
    <x v="2"/>
    <x v="0"/>
    <n v="3485"/>
    <n v="14935"/>
    <n v="2"/>
    <x v="1"/>
    <n v="3"/>
    <n v="3"/>
    <n v="80"/>
    <n v="5"/>
    <x v="3"/>
    <x v="0"/>
    <n v="0"/>
    <x v="2"/>
    <n v="0"/>
    <n v="0"/>
  </r>
  <r>
    <n v="29"/>
    <x v="2"/>
    <x v="1"/>
    <s v="Travel_Rarely"/>
    <x v="0"/>
    <s v="Medical"/>
    <x v="0"/>
    <n v="366"/>
    <n v="2"/>
    <x v="3"/>
    <s v="Male"/>
    <n v="2"/>
    <x v="1"/>
    <x v="1"/>
    <n v="6644"/>
    <n v="3687"/>
    <n v="2"/>
    <x v="1"/>
    <n v="3"/>
    <n v="2"/>
    <n v="80"/>
    <n v="10"/>
    <x v="2"/>
    <x v="1"/>
    <n v="0"/>
    <x v="2"/>
    <n v="0"/>
    <n v="0"/>
  </r>
  <r>
    <n v="31"/>
    <x v="1"/>
    <x v="1"/>
    <s v="Travel_Rarely"/>
    <x v="1"/>
    <s v="Medical"/>
    <x v="4"/>
    <n v="367"/>
    <n v="23"/>
    <x v="0"/>
    <s v="Male"/>
    <n v="2"/>
    <x v="0"/>
    <x v="1"/>
    <n v="5582"/>
    <n v="14408"/>
    <n v="0"/>
    <x v="1"/>
    <n v="4"/>
    <n v="2"/>
    <n v="80"/>
    <n v="10"/>
    <x v="2"/>
    <x v="1"/>
    <n v="9"/>
    <x v="2"/>
    <n v="7"/>
    <n v="8"/>
  </r>
  <r>
    <n v="25"/>
    <x v="2"/>
    <x v="1"/>
    <s v="Non-Travel"/>
    <x v="1"/>
    <s v="Life Sciences"/>
    <x v="4"/>
    <n v="369"/>
    <n v="5"/>
    <x v="0"/>
    <s v="Male"/>
    <n v="2"/>
    <x v="3"/>
    <x v="2"/>
    <n v="4000"/>
    <n v="18384"/>
    <n v="1"/>
    <x v="1"/>
    <n v="3"/>
    <n v="4"/>
    <n v="80"/>
    <n v="6"/>
    <x v="2"/>
    <x v="1"/>
    <n v="6"/>
    <x v="7"/>
    <n v="1"/>
    <n v="5"/>
  </r>
  <r>
    <n v="45"/>
    <x v="0"/>
    <x v="1"/>
    <s v="Travel_Rarely"/>
    <x v="1"/>
    <s v="Medical"/>
    <x v="4"/>
    <n v="372"/>
    <n v="20"/>
    <x v="1"/>
    <s v="Male"/>
    <n v="4"/>
    <x v="0"/>
    <x v="1"/>
    <n v="13496"/>
    <n v="7501"/>
    <n v="0"/>
    <x v="0"/>
    <n v="3"/>
    <n v="2"/>
    <n v="80"/>
    <n v="21"/>
    <x v="2"/>
    <x v="1"/>
    <n v="20"/>
    <x v="1"/>
    <n v="4"/>
    <n v="10"/>
  </r>
  <r>
    <n v="36"/>
    <x v="1"/>
    <x v="1"/>
    <s v="Travel_Rarely"/>
    <x v="1"/>
    <s v="Life Sciences"/>
    <x v="2"/>
    <n v="373"/>
    <n v="6"/>
    <x v="2"/>
    <s v="Male"/>
    <n v="1"/>
    <x v="0"/>
    <x v="1"/>
    <n v="3210"/>
    <n v="20251"/>
    <n v="0"/>
    <x v="1"/>
    <n v="3"/>
    <n v="3"/>
    <n v="80"/>
    <n v="16"/>
    <x v="5"/>
    <x v="1"/>
    <n v="15"/>
    <x v="9"/>
    <n v="10"/>
    <n v="11"/>
  </r>
  <r>
    <n v="55"/>
    <x v="3"/>
    <x v="1"/>
    <s v="Travel_Rarely"/>
    <x v="1"/>
    <s v="Medical"/>
    <x v="5"/>
    <n v="374"/>
    <n v="1"/>
    <x v="2"/>
    <s v="Male"/>
    <n v="5"/>
    <x v="3"/>
    <x v="0"/>
    <n v="19045"/>
    <n v="18938"/>
    <n v="0"/>
    <x v="0"/>
    <n v="3"/>
    <n v="3"/>
    <n v="80"/>
    <n v="37"/>
    <x v="2"/>
    <x v="1"/>
    <n v="36"/>
    <x v="15"/>
    <n v="4"/>
    <n v="13"/>
  </r>
  <r>
    <n v="47"/>
    <x v="0"/>
    <x v="0"/>
    <s v="Non-Travel"/>
    <x v="1"/>
    <s v="Life Sciences"/>
    <x v="5"/>
    <n v="376"/>
    <n v="29"/>
    <x v="3"/>
    <s v="Male"/>
    <n v="3"/>
    <x v="1"/>
    <x v="1"/>
    <n v="11849"/>
    <n v="10268"/>
    <n v="1"/>
    <x v="0"/>
    <n v="3"/>
    <n v="4"/>
    <n v="80"/>
    <n v="10"/>
    <x v="2"/>
    <x v="2"/>
    <n v="10"/>
    <x v="1"/>
    <n v="9"/>
    <n v="9"/>
  </r>
  <r>
    <n v="28"/>
    <x v="2"/>
    <x v="1"/>
    <s v="Travel_Rarely"/>
    <x v="1"/>
    <s v="Medical"/>
    <x v="1"/>
    <n v="377"/>
    <n v="9"/>
    <x v="2"/>
    <s v="Male"/>
    <n v="1"/>
    <x v="0"/>
    <x v="1"/>
    <n v="2070"/>
    <n v="2613"/>
    <n v="1"/>
    <x v="1"/>
    <n v="4"/>
    <n v="4"/>
    <n v="80"/>
    <n v="5"/>
    <x v="1"/>
    <x v="2"/>
    <n v="5"/>
    <x v="3"/>
    <n v="0"/>
    <n v="4"/>
  </r>
  <r>
    <n v="37"/>
    <x v="1"/>
    <x v="1"/>
    <s v="Travel_Rarely"/>
    <x v="0"/>
    <s v="Medical"/>
    <x v="0"/>
    <n v="378"/>
    <n v="6"/>
    <x v="1"/>
    <s v="Male"/>
    <n v="2"/>
    <x v="0"/>
    <x v="1"/>
    <n v="6502"/>
    <n v="22825"/>
    <n v="4"/>
    <x v="1"/>
    <n v="3"/>
    <n v="2"/>
    <n v="80"/>
    <n v="7"/>
    <x v="3"/>
    <x v="3"/>
    <n v="5"/>
    <x v="0"/>
    <n v="0"/>
    <n v="1"/>
  </r>
  <r>
    <n v="21"/>
    <x v="2"/>
    <x v="1"/>
    <s v="Travel_Rarely"/>
    <x v="1"/>
    <s v="Medical"/>
    <x v="1"/>
    <n v="379"/>
    <n v="3"/>
    <x v="2"/>
    <s v="Male"/>
    <n v="1"/>
    <x v="2"/>
    <x v="0"/>
    <n v="3230"/>
    <n v="10531"/>
    <n v="1"/>
    <x v="1"/>
    <n v="3"/>
    <n v="1"/>
    <n v="80"/>
    <n v="3"/>
    <x v="5"/>
    <x v="3"/>
    <n v="3"/>
    <x v="3"/>
    <n v="1"/>
    <n v="0"/>
  </r>
  <r>
    <n v="37"/>
    <x v="1"/>
    <x v="1"/>
    <s v="Non-Travel"/>
    <x v="1"/>
    <s v="Medical"/>
    <x v="7"/>
    <n v="380"/>
    <n v="1"/>
    <x v="3"/>
    <s v="Female"/>
    <n v="3"/>
    <x v="0"/>
    <x v="2"/>
    <n v="13603"/>
    <n v="11677"/>
    <n v="2"/>
    <x v="0"/>
    <n v="3"/>
    <n v="1"/>
    <n v="80"/>
    <n v="15"/>
    <x v="2"/>
    <x v="1"/>
    <n v="5"/>
    <x v="3"/>
    <n v="0"/>
    <n v="2"/>
  </r>
  <r>
    <n v="35"/>
    <x v="1"/>
    <x v="1"/>
    <s v="Travel_Rarely"/>
    <x v="1"/>
    <s v="Life Sciences"/>
    <x v="5"/>
    <n v="381"/>
    <n v="22"/>
    <x v="0"/>
    <s v="Female"/>
    <n v="3"/>
    <x v="1"/>
    <x v="2"/>
    <n v="11996"/>
    <n v="19100"/>
    <n v="7"/>
    <x v="1"/>
    <n v="3"/>
    <n v="2"/>
    <n v="80"/>
    <n v="10"/>
    <x v="6"/>
    <x v="2"/>
    <n v="7"/>
    <x v="1"/>
    <n v="6"/>
    <n v="2"/>
  </r>
  <r>
    <n v="38"/>
    <x v="1"/>
    <x v="1"/>
    <s v="Travel_Rarely"/>
    <x v="0"/>
    <s v="Medical"/>
    <x v="0"/>
    <n v="382"/>
    <n v="7"/>
    <x v="3"/>
    <s v="Female"/>
    <n v="2"/>
    <x v="3"/>
    <x v="2"/>
    <n v="5605"/>
    <n v="19191"/>
    <n v="1"/>
    <x v="0"/>
    <n v="4"/>
    <n v="3"/>
    <n v="80"/>
    <n v="8"/>
    <x v="1"/>
    <x v="1"/>
    <n v="8"/>
    <x v="2"/>
    <n v="7"/>
    <n v="7"/>
  </r>
  <r>
    <n v="26"/>
    <x v="2"/>
    <x v="1"/>
    <s v="Travel_Frequently"/>
    <x v="1"/>
    <s v="Life Sciences"/>
    <x v="3"/>
    <n v="384"/>
    <n v="1"/>
    <x v="1"/>
    <s v="Female"/>
    <n v="2"/>
    <x v="1"/>
    <x v="2"/>
    <n v="6397"/>
    <n v="26767"/>
    <n v="1"/>
    <x v="1"/>
    <n v="4"/>
    <n v="1"/>
    <n v="80"/>
    <n v="6"/>
    <x v="6"/>
    <x v="0"/>
    <n v="6"/>
    <x v="4"/>
    <n v="1"/>
    <n v="4"/>
  </r>
  <r>
    <n v="50"/>
    <x v="0"/>
    <x v="1"/>
    <s v="Travel_Rarely"/>
    <x v="1"/>
    <s v="Life Sciences"/>
    <x v="7"/>
    <n v="385"/>
    <n v="4"/>
    <x v="3"/>
    <s v="Male"/>
    <n v="5"/>
    <x v="1"/>
    <x v="2"/>
    <n v="19144"/>
    <n v="15815"/>
    <n v="3"/>
    <x v="1"/>
    <n v="3"/>
    <n v="1"/>
    <n v="80"/>
    <n v="28"/>
    <x v="5"/>
    <x v="2"/>
    <n v="10"/>
    <x v="0"/>
    <n v="1"/>
    <n v="6"/>
  </r>
  <r>
    <n v="53"/>
    <x v="3"/>
    <x v="1"/>
    <s v="Travel_Rarely"/>
    <x v="1"/>
    <s v="Medical"/>
    <x v="7"/>
    <n v="386"/>
    <n v="3"/>
    <x v="1"/>
    <s v="Male"/>
    <n v="4"/>
    <x v="2"/>
    <x v="1"/>
    <n v="17584"/>
    <n v="21016"/>
    <n v="3"/>
    <x v="0"/>
    <n v="3"/>
    <n v="4"/>
    <n v="80"/>
    <n v="21"/>
    <x v="3"/>
    <x v="2"/>
    <n v="5"/>
    <x v="7"/>
    <n v="1"/>
    <n v="3"/>
  </r>
  <r>
    <n v="42"/>
    <x v="0"/>
    <x v="1"/>
    <s v="Travel_Rarely"/>
    <x v="0"/>
    <s v="Life Sciences"/>
    <x v="0"/>
    <n v="387"/>
    <n v="1"/>
    <x v="0"/>
    <s v="Male"/>
    <n v="2"/>
    <x v="2"/>
    <x v="1"/>
    <n v="4907"/>
    <n v="24532"/>
    <n v="1"/>
    <x v="1"/>
    <n v="4"/>
    <n v="3"/>
    <n v="80"/>
    <n v="20"/>
    <x v="1"/>
    <x v="1"/>
    <n v="20"/>
    <x v="13"/>
    <n v="11"/>
    <n v="6"/>
  </r>
  <r>
    <n v="29"/>
    <x v="2"/>
    <x v="1"/>
    <s v="Travel_Frequently"/>
    <x v="0"/>
    <s v="Life Sciences"/>
    <x v="0"/>
    <n v="388"/>
    <n v="2"/>
    <x v="0"/>
    <s v="Male"/>
    <n v="2"/>
    <x v="0"/>
    <x v="0"/>
    <n v="4554"/>
    <n v="20260"/>
    <n v="1"/>
    <x v="1"/>
    <n v="3"/>
    <n v="1"/>
    <n v="80"/>
    <n v="10"/>
    <x v="1"/>
    <x v="2"/>
    <n v="10"/>
    <x v="1"/>
    <n v="0"/>
    <n v="9"/>
  </r>
  <r>
    <n v="55"/>
    <x v="3"/>
    <x v="1"/>
    <s v="Travel_Rarely"/>
    <x v="1"/>
    <s v="Technical Degree"/>
    <x v="2"/>
    <n v="389"/>
    <n v="20"/>
    <x v="0"/>
    <s v="Male"/>
    <n v="2"/>
    <x v="0"/>
    <x v="1"/>
    <n v="5415"/>
    <n v="15972"/>
    <n v="3"/>
    <x v="0"/>
    <n v="3"/>
    <n v="4"/>
    <n v="80"/>
    <n v="12"/>
    <x v="5"/>
    <x v="1"/>
    <n v="10"/>
    <x v="1"/>
    <n v="0"/>
    <n v="8"/>
  </r>
  <r>
    <n v="26"/>
    <x v="2"/>
    <x v="1"/>
    <s v="Travel_Frequently"/>
    <x v="1"/>
    <s v="Medical"/>
    <x v="4"/>
    <n v="390"/>
    <n v="11"/>
    <x v="3"/>
    <s v="Male"/>
    <n v="2"/>
    <x v="3"/>
    <x v="1"/>
    <n v="4741"/>
    <n v="22722"/>
    <n v="1"/>
    <x v="0"/>
    <n v="3"/>
    <n v="3"/>
    <n v="80"/>
    <n v="5"/>
    <x v="1"/>
    <x v="1"/>
    <n v="5"/>
    <x v="7"/>
    <n v="3"/>
    <n v="3"/>
  </r>
  <r>
    <n v="37"/>
    <x v="1"/>
    <x v="1"/>
    <s v="Travel_Rarely"/>
    <x v="1"/>
    <s v="Life Sciences"/>
    <x v="1"/>
    <n v="391"/>
    <n v="1"/>
    <x v="2"/>
    <s v="Female"/>
    <n v="1"/>
    <x v="0"/>
    <x v="0"/>
    <n v="2115"/>
    <n v="15881"/>
    <n v="1"/>
    <x v="1"/>
    <n v="3"/>
    <n v="2"/>
    <n v="80"/>
    <n v="17"/>
    <x v="1"/>
    <x v="1"/>
    <n v="17"/>
    <x v="16"/>
    <n v="5"/>
    <n v="7"/>
  </r>
  <r>
    <n v="44"/>
    <x v="0"/>
    <x v="0"/>
    <s v="Travel_Frequently"/>
    <x v="1"/>
    <s v="Life Sciences"/>
    <x v="2"/>
    <n v="392"/>
    <n v="24"/>
    <x v="2"/>
    <s v="Male"/>
    <n v="1"/>
    <x v="2"/>
    <x v="2"/>
    <n v="3161"/>
    <n v="19920"/>
    <n v="3"/>
    <x v="0"/>
    <n v="4"/>
    <n v="4"/>
    <n v="80"/>
    <n v="19"/>
    <x v="0"/>
    <x v="0"/>
    <n v="1"/>
    <x v="2"/>
    <n v="0"/>
    <n v="0"/>
  </r>
  <r>
    <n v="38"/>
    <x v="1"/>
    <x v="1"/>
    <s v="Travel_Rarely"/>
    <x v="1"/>
    <s v="Life Sciences"/>
    <x v="4"/>
    <n v="393"/>
    <n v="23"/>
    <x v="2"/>
    <s v="Male"/>
    <n v="2"/>
    <x v="0"/>
    <x v="2"/>
    <n v="5745"/>
    <n v="18899"/>
    <n v="9"/>
    <x v="1"/>
    <n v="3"/>
    <n v="2"/>
    <n v="80"/>
    <n v="10"/>
    <x v="2"/>
    <x v="1"/>
    <n v="2"/>
    <x v="3"/>
    <n v="1"/>
    <n v="2"/>
  </r>
  <r>
    <n v="26"/>
    <x v="2"/>
    <x v="0"/>
    <s v="Travel_Rarely"/>
    <x v="1"/>
    <s v="Medical"/>
    <x v="2"/>
    <n v="394"/>
    <n v="16"/>
    <x v="3"/>
    <s v="Male"/>
    <n v="1"/>
    <x v="1"/>
    <x v="2"/>
    <n v="2373"/>
    <n v="14180"/>
    <n v="2"/>
    <x v="0"/>
    <n v="3"/>
    <n v="4"/>
    <n v="80"/>
    <n v="5"/>
    <x v="2"/>
    <x v="1"/>
    <n v="3"/>
    <x v="3"/>
    <n v="0"/>
    <n v="2"/>
  </r>
  <r>
    <n v="28"/>
    <x v="2"/>
    <x v="1"/>
    <s v="Travel_Rarely"/>
    <x v="1"/>
    <s v="Life Sciences"/>
    <x v="1"/>
    <n v="395"/>
    <n v="8"/>
    <x v="2"/>
    <s v="Female"/>
    <n v="1"/>
    <x v="0"/>
    <x v="0"/>
    <n v="3310"/>
    <n v="4488"/>
    <n v="1"/>
    <x v="1"/>
    <n v="4"/>
    <n v="4"/>
    <n v="80"/>
    <n v="5"/>
    <x v="1"/>
    <x v="1"/>
    <n v="5"/>
    <x v="7"/>
    <n v="0"/>
    <n v="2"/>
  </r>
  <r>
    <n v="49"/>
    <x v="0"/>
    <x v="1"/>
    <s v="Travel_Frequently"/>
    <x v="1"/>
    <s v="Life Sciences"/>
    <x v="7"/>
    <n v="396"/>
    <n v="10"/>
    <x v="1"/>
    <s v="Female"/>
    <n v="5"/>
    <x v="3"/>
    <x v="0"/>
    <n v="18665"/>
    <n v="25594"/>
    <n v="9"/>
    <x v="0"/>
    <n v="3"/>
    <n v="4"/>
    <n v="80"/>
    <n v="22"/>
    <x v="5"/>
    <x v="1"/>
    <n v="3"/>
    <x v="3"/>
    <n v="1"/>
    <n v="2"/>
  </r>
  <r>
    <n v="36"/>
    <x v="1"/>
    <x v="1"/>
    <s v="Travel_Rarely"/>
    <x v="1"/>
    <s v="Technical Degree"/>
    <x v="1"/>
    <n v="397"/>
    <n v="3"/>
    <x v="1"/>
    <s v="Male"/>
    <n v="2"/>
    <x v="1"/>
    <x v="0"/>
    <n v="4485"/>
    <n v="26285"/>
    <n v="4"/>
    <x v="1"/>
    <n v="3"/>
    <n v="4"/>
    <n v="80"/>
    <n v="10"/>
    <x v="2"/>
    <x v="1"/>
    <n v="8"/>
    <x v="2"/>
    <n v="7"/>
    <n v="7"/>
  </r>
  <r>
    <n v="31"/>
    <x v="1"/>
    <x v="1"/>
    <s v="Travel_Frequently"/>
    <x v="0"/>
    <s v="Marketing"/>
    <x v="6"/>
    <n v="399"/>
    <n v="5"/>
    <x v="2"/>
    <s v="Female"/>
    <n v="1"/>
    <x v="1"/>
    <x v="2"/>
    <n v="2789"/>
    <n v="3909"/>
    <n v="1"/>
    <x v="1"/>
    <n v="3"/>
    <n v="3"/>
    <n v="80"/>
    <n v="2"/>
    <x v="3"/>
    <x v="2"/>
    <n v="2"/>
    <x v="3"/>
    <n v="2"/>
    <n v="2"/>
  </r>
  <r>
    <n v="26"/>
    <x v="2"/>
    <x v="0"/>
    <s v="Travel_Rarely"/>
    <x v="0"/>
    <s v="Marketing"/>
    <x v="0"/>
    <n v="401"/>
    <n v="4"/>
    <x v="2"/>
    <s v="Male"/>
    <n v="2"/>
    <x v="0"/>
    <x v="0"/>
    <n v="5828"/>
    <n v="8450"/>
    <n v="1"/>
    <x v="0"/>
    <n v="3"/>
    <n v="2"/>
    <n v="80"/>
    <n v="8"/>
    <x v="0"/>
    <x v="1"/>
    <n v="8"/>
    <x v="1"/>
    <n v="7"/>
    <n v="4"/>
  </r>
  <r>
    <n v="37"/>
    <x v="1"/>
    <x v="1"/>
    <s v="Travel_Frequently"/>
    <x v="1"/>
    <s v="Medical"/>
    <x v="1"/>
    <n v="403"/>
    <n v="9"/>
    <x v="0"/>
    <s v="Male"/>
    <n v="1"/>
    <x v="0"/>
    <x v="1"/>
    <n v="2326"/>
    <n v="11411"/>
    <n v="1"/>
    <x v="0"/>
    <n v="3"/>
    <n v="3"/>
    <n v="80"/>
    <n v="4"/>
    <x v="1"/>
    <x v="2"/>
    <n v="4"/>
    <x v="3"/>
    <n v="1"/>
    <n v="2"/>
  </r>
  <r>
    <n v="42"/>
    <x v="0"/>
    <x v="1"/>
    <s v="Travel_Frequently"/>
    <x v="0"/>
    <s v="Marketing"/>
    <x v="0"/>
    <n v="404"/>
    <n v="26"/>
    <x v="1"/>
    <s v="Female"/>
    <n v="4"/>
    <x v="1"/>
    <x v="1"/>
    <n v="13525"/>
    <n v="14864"/>
    <n v="5"/>
    <x v="1"/>
    <n v="3"/>
    <n v="4"/>
    <n v="80"/>
    <n v="23"/>
    <x v="2"/>
    <x v="3"/>
    <n v="20"/>
    <x v="0"/>
    <n v="4"/>
    <n v="8"/>
  </r>
  <r>
    <n v="18"/>
    <x v="4"/>
    <x v="0"/>
    <s v="Travel_Rarely"/>
    <x v="1"/>
    <s v="Life Sciences"/>
    <x v="2"/>
    <n v="405"/>
    <n v="3"/>
    <x v="1"/>
    <s v="Male"/>
    <n v="1"/>
    <x v="2"/>
    <x v="0"/>
    <n v="1420"/>
    <n v="25233"/>
    <n v="1"/>
    <x v="1"/>
    <n v="3"/>
    <n v="3"/>
    <n v="80"/>
    <n v="0"/>
    <x v="2"/>
    <x v="1"/>
    <n v="0"/>
    <x v="2"/>
    <n v="0"/>
    <n v="0"/>
  </r>
  <r>
    <n v="35"/>
    <x v="1"/>
    <x v="1"/>
    <s v="Travel_Rarely"/>
    <x v="0"/>
    <s v="Marketing"/>
    <x v="0"/>
    <n v="406"/>
    <n v="16"/>
    <x v="1"/>
    <s v="Male"/>
    <n v="3"/>
    <x v="1"/>
    <x v="1"/>
    <n v="8020"/>
    <n v="5100"/>
    <n v="0"/>
    <x v="1"/>
    <n v="3"/>
    <n v="3"/>
    <n v="80"/>
    <n v="12"/>
    <x v="1"/>
    <x v="2"/>
    <n v="11"/>
    <x v="5"/>
    <n v="6"/>
    <n v="9"/>
  </r>
  <r>
    <n v="36"/>
    <x v="1"/>
    <x v="1"/>
    <s v="Travel_Frequently"/>
    <x v="1"/>
    <s v="Life Sciences"/>
    <x v="2"/>
    <n v="407"/>
    <n v="18"/>
    <x v="1"/>
    <s v="Male"/>
    <n v="1"/>
    <x v="0"/>
    <x v="1"/>
    <n v="3688"/>
    <n v="7122"/>
    <n v="4"/>
    <x v="1"/>
    <n v="3"/>
    <n v="4"/>
    <n v="80"/>
    <n v="4"/>
    <x v="2"/>
    <x v="1"/>
    <n v="1"/>
    <x v="2"/>
    <n v="0"/>
    <n v="0"/>
  </r>
  <r>
    <n v="51"/>
    <x v="3"/>
    <x v="1"/>
    <s v="Travel_Rarely"/>
    <x v="1"/>
    <s v="Medical"/>
    <x v="3"/>
    <n v="408"/>
    <n v="2"/>
    <x v="2"/>
    <s v="Male"/>
    <n v="2"/>
    <x v="1"/>
    <x v="2"/>
    <n v="5482"/>
    <n v="16321"/>
    <n v="5"/>
    <x v="1"/>
    <n v="3"/>
    <n v="4"/>
    <n v="80"/>
    <n v="13"/>
    <x v="1"/>
    <x v="1"/>
    <n v="4"/>
    <x v="10"/>
    <n v="1"/>
    <n v="2"/>
  </r>
  <r>
    <n v="41"/>
    <x v="0"/>
    <x v="1"/>
    <s v="Travel_Rarely"/>
    <x v="0"/>
    <s v="Life Sciences"/>
    <x v="5"/>
    <n v="410"/>
    <n v="2"/>
    <x v="2"/>
    <s v="Male"/>
    <n v="4"/>
    <x v="1"/>
    <x v="0"/>
    <n v="16015"/>
    <n v="15896"/>
    <n v="1"/>
    <x v="1"/>
    <n v="3"/>
    <n v="2"/>
    <n v="80"/>
    <n v="22"/>
    <x v="2"/>
    <x v="1"/>
    <n v="22"/>
    <x v="15"/>
    <n v="0"/>
    <n v="4"/>
  </r>
  <r>
    <n v="18"/>
    <x v="4"/>
    <x v="1"/>
    <s v="Travel_Rarely"/>
    <x v="0"/>
    <s v="Medical"/>
    <x v="6"/>
    <n v="411"/>
    <n v="10"/>
    <x v="2"/>
    <s v="Female"/>
    <n v="1"/>
    <x v="2"/>
    <x v="0"/>
    <n v="1200"/>
    <n v="9724"/>
    <n v="1"/>
    <x v="1"/>
    <n v="3"/>
    <n v="1"/>
    <n v="80"/>
    <n v="0"/>
    <x v="2"/>
    <x v="1"/>
    <n v="0"/>
    <x v="2"/>
    <n v="0"/>
    <n v="0"/>
  </r>
  <r>
    <n v="28"/>
    <x v="2"/>
    <x v="1"/>
    <s v="Travel_Rarely"/>
    <x v="1"/>
    <s v="Medical"/>
    <x v="4"/>
    <n v="412"/>
    <n v="16"/>
    <x v="0"/>
    <s v="Male"/>
    <n v="2"/>
    <x v="3"/>
    <x v="0"/>
    <n v="5661"/>
    <n v="4824"/>
    <n v="0"/>
    <x v="1"/>
    <n v="3"/>
    <n v="3"/>
    <n v="80"/>
    <n v="9"/>
    <x v="2"/>
    <x v="1"/>
    <n v="8"/>
    <x v="7"/>
    <n v="0"/>
    <n v="7"/>
  </r>
  <r>
    <n v="31"/>
    <x v="1"/>
    <x v="1"/>
    <s v="Travel_Rarely"/>
    <x v="0"/>
    <s v="Technical Degree"/>
    <x v="0"/>
    <n v="416"/>
    <n v="7"/>
    <x v="0"/>
    <s v="Male"/>
    <n v="2"/>
    <x v="0"/>
    <x v="1"/>
    <n v="6929"/>
    <n v="12241"/>
    <n v="4"/>
    <x v="1"/>
    <n v="3"/>
    <n v="2"/>
    <n v="80"/>
    <n v="10"/>
    <x v="1"/>
    <x v="2"/>
    <n v="8"/>
    <x v="1"/>
    <n v="7"/>
    <n v="7"/>
  </r>
  <r>
    <n v="39"/>
    <x v="1"/>
    <x v="1"/>
    <s v="Travel_Rarely"/>
    <x v="1"/>
    <s v="Medical"/>
    <x v="4"/>
    <n v="417"/>
    <n v="1"/>
    <x v="1"/>
    <s v="Male"/>
    <n v="3"/>
    <x v="0"/>
    <x v="2"/>
    <n v="9613"/>
    <n v="10942"/>
    <n v="0"/>
    <x v="1"/>
    <n v="3"/>
    <n v="1"/>
    <n v="80"/>
    <n v="19"/>
    <x v="3"/>
    <x v="2"/>
    <n v="18"/>
    <x v="15"/>
    <n v="3"/>
    <n v="7"/>
  </r>
  <r>
    <n v="36"/>
    <x v="1"/>
    <x v="1"/>
    <s v="Non-Travel"/>
    <x v="1"/>
    <s v="Life Sciences"/>
    <x v="2"/>
    <n v="419"/>
    <n v="24"/>
    <x v="0"/>
    <s v="Female"/>
    <n v="2"/>
    <x v="1"/>
    <x v="1"/>
    <n v="5674"/>
    <n v="6927"/>
    <n v="7"/>
    <x v="1"/>
    <n v="3"/>
    <n v="3"/>
    <n v="80"/>
    <n v="11"/>
    <x v="1"/>
    <x v="1"/>
    <n v="9"/>
    <x v="6"/>
    <n v="0"/>
    <n v="8"/>
  </r>
  <r>
    <n v="32"/>
    <x v="1"/>
    <x v="1"/>
    <s v="Travel_Rarely"/>
    <x v="0"/>
    <s v="Life Sciences"/>
    <x v="0"/>
    <n v="420"/>
    <n v="7"/>
    <x v="2"/>
    <s v="Male"/>
    <n v="2"/>
    <x v="2"/>
    <x v="1"/>
    <n v="5484"/>
    <n v="16985"/>
    <n v="1"/>
    <x v="1"/>
    <n v="3"/>
    <n v="3"/>
    <n v="80"/>
    <n v="13"/>
    <x v="1"/>
    <x v="2"/>
    <n v="13"/>
    <x v="6"/>
    <n v="4"/>
    <n v="8"/>
  </r>
  <r>
    <n v="38"/>
    <x v="1"/>
    <x v="1"/>
    <s v="Travel_Rarely"/>
    <x v="1"/>
    <s v="Life Sciences"/>
    <x v="7"/>
    <n v="421"/>
    <n v="25"/>
    <x v="3"/>
    <s v="Female"/>
    <n v="3"/>
    <x v="1"/>
    <x v="1"/>
    <n v="12061"/>
    <n v="26707"/>
    <n v="3"/>
    <x v="1"/>
    <n v="3"/>
    <n v="3"/>
    <n v="80"/>
    <n v="19"/>
    <x v="2"/>
    <x v="1"/>
    <n v="10"/>
    <x v="6"/>
    <n v="0"/>
    <n v="1"/>
  </r>
  <r>
    <n v="58"/>
    <x v="3"/>
    <x v="1"/>
    <s v="Non-Travel"/>
    <x v="1"/>
    <s v="Life Sciences"/>
    <x v="4"/>
    <n v="422"/>
    <n v="1"/>
    <x v="2"/>
    <s v="Male"/>
    <n v="2"/>
    <x v="2"/>
    <x v="2"/>
    <n v="5660"/>
    <n v="17056"/>
    <n v="2"/>
    <x v="0"/>
    <n v="3"/>
    <n v="4"/>
    <n v="80"/>
    <n v="12"/>
    <x v="2"/>
    <x v="1"/>
    <n v="5"/>
    <x v="7"/>
    <n v="1"/>
    <n v="2"/>
  </r>
  <r>
    <n v="31"/>
    <x v="1"/>
    <x v="1"/>
    <s v="Travel_Rarely"/>
    <x v="1"/>
    <s v="Technical Degree"/>
    <x v="1"/>
    <n v="423"/>
    <n v="5"/>
    <x v="1"/>
    <s v="Male"/>
    <n v="1"/>
    <x v="0"/>
    <x v="1"/>
    <n v="4821"/>
    <n v="10077"/>
    <n v="0"/>
    <x v="0"/>
    <n v="3"/>
    <n v="3"/>
    <n v="80"/>
    <n v="6"/>
    <x v="5"/>
    <x v="1"/>
    <n v="5"/>
    <x v="3"/>
    <n v="0"/>
    <n v="3"/>
  </r>
  <r>
    <n v="31"/>
    <x v="1"/>
    <x v="1"/>
    <s v="Travel_Rarely"/>
    <x v="2"/>
    <s v="Human Resources"/>
    <x v="8"/>
    <n v="424"/>
    <n v="2"/>
    <x v="3"/>
    <s v="Male"/>
    <n v="2"/>
    <x v="3"/>
    <x v="1"/>
    <n v="6410"/>
    <n v="17822"/>
    <n v="3"/>
    <x v="1"/>
    <n v="3"/>
    <n v="4"/>
    <n v="80"/>
    <n v="9"/>
    <x v="4"/>
    <x v="1"/>
    <n v="2"/>
    <x v="3"/>
    <n v="1"/>
    <n v="0"/>
  </r>
  <r>
    <n v="45"/>
    <x v="0"/>
    <x v="1"/>
    <s v="Travel_Frequently"/>
    <x v="1"/>
    <s v="Life Sciences"/>
    <x v="2"/>
    <n v="425"/>
    <n v="7"/>
    <x v="3"/>
    <s v="Male"/>
    <n v="3"/>
    <x v="3"/>
    <x v="2"/>
    <n v="5210"/>
    <n v="20308"/>
    <n v="1"/>
    <x v="1"/>
    <n v="3"/>
    <n v="1"/>
    <n v="80"/>
    <n v="24"/>
    <x v="2"/>
    <x v="1"/>
    <n v="24"/>
    <x v="5"/>
    <n v="9"/>
    <n v="11"/>
  </r>
  <r>
    <n v="31"/>
    <x v="1"/>
    <x v="1"/>
    <s v="Travel_Rarely"/>
    <x v="1"/>
    <s v="Life Sciences"/>
    <x v="1"/>
    <n v="426"/>
    <n v="2"/>
    <x v="1"/>
    <s v="Male"/>
    <n v="1"/>
    <x v="0"/>
    <x v="2"/>
    <n v="2695"/>
    <n v="7747"/>
    <n v="0"/>
    <x v="0"/>
    <n v="3"/>
    <n v="2"/>
    <n v="80"/>
    <n v="3"/>
    <x v="2"/>
    <x v="0"/>
    <n v="2"/>
    <x v="3"/>
    <n v="2"/>
    <n v="2"/>
  </r>
  <r>
    <n v="33"/>
    <x v="1"/>
    <x v="1"/>
    <s v="Travel_Frequently"/>
    <x v="1"/>
    <s v="Life Sciences"/>
    <x v="5"/>
    <n v="428"/>
    <n v="5"/>
    <x v="2"/>
    <s v="Female"/>
    <n v="3"/>
    <x v="1"/>
    <x v="1"/>
    <n v="11878"/>
    <n v="23364"/>
    <n v="6"/>
    <x v="1"/>
    <n v="3"/>
    <n v="2"/>
    <n v="80"/>
    <n v="12"/>
    <x v="2"/>
    <x v="1"/>
    <n v="10"/>
    <x v="8"/>
    <n v="8"/>
    <n v="8"/>
  </r>
  <r>
    <n v="39"/>
    <x v="1"/>
    <x v="1"/>
    <s v="Travel_Rarely"/>
    <x v="1"/>
    <s v="Medical"/>
    <x v="5"/>
    <n v="429"/>
    <n v="10"/>
    <x v="1"/>
    <s v="Male"/>
    <n v="4"/>
    <x v="3"/>
    <x v="1"/>
    <n v="17068"/>
    <n v="5355"/>
    <n v="1"/>
    <x v="0"/>
    <n v="3"/>
    <n v="4"/>
    <n v="80"/>
    <n v="21"/>
    <x v="1"/>
    <x v="1"/>
    <n v="21"/>
    <x v="5"/>
    <n v="11"/>
    <n v="10"/>
  </r>
  <r>
    <n v="43"/>
    <x v="0"/>
    <x v="1"/>
    <s v="Travel_Frequently"/>
    <x v="1"/>
    <s v="Life Sciences"/>
    <x v="2"/>
    <n v="430"/>
    <n v="10"/>
    <x v="1"/>
    <s v="Female"/>
    <n v="1"/>
    <x v="0"/>
    <x v="0"/>
    <n v="2455"/>
    <n v="10675"/>
    <n v="0"/>
    <x v="1"/>
    <n v="3"/>
    <n v="1"/>
    <n v="80"/>
    <n v="9"/>
    <x v="3"/>
    <x v="1"/>
    <n v="8"/>
    <x v="1"/>
    <n v="1"/>
    <n v="7"/>
  </r>
  <r>
    <n v="49"/>
    <x v="0"/>
    <x v="1"/>
    <s v="Travel_Rarely"/>
    <x v="1"/>
    <s v="Technical Degree"/>
    <x v="4"/>
    <n v="431"/>
    <n v="1"/>
    <x v="1"/>
    <s v="Female"/>
    <n v="4"/>
    <x v="2"/>
    <x v="0"/>
    <n v="13964"/>
    <n v="17810"/>
    <n v="7"/>
    <x v="0"/>
    <n v="3"/>
    <n v="4"/>
    <n v="80"/>
    <n v="25"/>
    <x v="2"/>
    <x v="1"/>
    <n v="7"/>
    <x v="10"/>
    <n v="0"/>
    <n v="7"/>
  </r>
  <r>
    <n v="52"/>
    <x v="3"/>
    <x v="0"/>
    <s v="Travel_Rarely"/>
    <x v="1"/>
    <s v="Medical"/>
    <x v="1"/>
    <n v="433"/>
    <n v="8"/>
    <x v="1"/>
    <s v="Male"/>
    <n v="2"/>
    <x v="1"/>
    <x v="1"/>
    <n v="4941"/>
    <n v="17747"/>
    <n v="2"/>
    <x v="1"/>
    <n v="3"/>
    <n v="1"/>
    <n v="80"/>
    <n v="11"/>
    <x v="1"/>
    <x v="2"/>
    <n v="8"/>
    <x v="3"/>
    <n v="7"/>
    <n v="7"/>
  </r>
  <r>
    <n v="27"/>
    <x v="2"/>
    <x v="1"/>
    <s v="Travel_Rarely"/>
    <x v="1"/>
    <s v="Life Sciences"/>
    <x v="1"/>
    <n v="434"/>
    <n v="5"/>
    <x v="1"/>
    <s v="Female"/>
    <n v="1"/>
    <x v="1"/>
    <x v="0"/>
    <n v="2478"/>
    <n v="20938"/>
    <n v="1"/>
    <x v="0"/>
    <n v="3"/>
    <n v="2"/>
    <n v="80"/>
    <n v="4"/>
    <x v="2"/>
    <x v="2"/>
    <n v="4"/>
    <x v="7"/>
    <n v="1"/>
    <n v="2"/>
  </r>
  <r>
    <n v="32"/>
    <x v="1"/>
    <x v="1"/>
    <s v="Travel_Rarely"/>
    <x v="0"/>
    <s v="Technical Degree"/>
    <x v="0"/>
    <n v="436"/>
    <n v="8"/>
    <x v="1"/>
    <s v="Female"/>
    <n v="2"/>
    <x v="1"/>
    <x v="1"/>
    <n v="5228"/>
    <n v="24624"/>
    <n v="1"/>
    <x v="0"/>
    <n v="3"/>
    <n v="4"/>
    <n v="80"/>
    <n v="13"/>
    <x v="2"/>
    <x v="1"/>
    <n v="13"/>
    <x v="16"/>
    <n v="11"/>
    <n v="9"/>
  </r>
  <r>
    <n v="27"/>
    <x v="2"/>
    <x v="1"/>
    <s v="Travel_Rarely"/>
    <x v="0"/>
    <s v="Life Sciences"/>
    <x v="0"/>
    <n v="437"/>
    <n v="2"/>
    <x v="2"/>
    <s v="Male"/>
    <n v="2"/>
    <x v="2"/>
    <x v="0"/>
    <n v="4478"/>
    <n v="5242"/>
    <n v="1"/>
    <x v="0"/>
    <n v="3"/>
    <n v="1"/>
    <n v="80"/>
    <n v="5"/>
    <x v="1"/>
    <x v="1"/>
    <n v="5"/>
    <x v="0"/>
    <n v="0"/>
    <n v="4"/>
  </r>
  <r>
    <n v="31"/>
    <x v="1"/>
    <x v="1"/>
    <s v="Travel_Rarely"/>
    <x v="0"/>
    <s v="Marketing"/>
    <x v="0"/>
    <n v="438"/>
    <n v="7"/>
    <x v="2"/>
    <s v="Male"/>
    <n v="2"/>
    <x v="0"/>
    <x v="2"/>
    <n v="7547"/>
    <n v="7143"/>
    <n v="4"/>
    <x v="1"/>
    <n v="3"/>
    <n v="4"/>
    <n v="80"/>
    <n v="13"/>
    <x v="1"/>
    <x v="1"/>
    <n v="7"/>
    <x v="1"/>
    <n v="1"/>
    <n v="7"/>
  </r>
  <r>
    <n v="32"/>
    <x v="1"/>
    <x v="1"/>
    <s v="Travel_Rarely"/>
    <x v="1"/>
    <s v="Medical"/>
    <x v="1"/>
    <n v="439"/>
    <n v="2"/>
    <x v="3"/>
    <s v="Female"/>
    <n v="2"/>
    <x v="0"/>
    <x v="0"/>
    <n v="5055"/>
    <n v="10557"/>
    <n v="7"/>
    <x v="1"/>
    <n v="3"/>
    <n v="3"/>
    <n v="80"/>
    <n v="10"/>
    <x v="0"/>
    <x v="2"/>
    <n v="7"/>
    <x v="1"/>
    <n v="0"/>
    <n v="7"/>
  </r>
  <r>
    <n v="28"/>
    <x v="2"/>
    <x v="0"/>
    <s v="Travel_Rarely"/>
    <x v="1"/>
    <s v="Medical"/>
    <x v="1"/>
    <n v="440"/>
    <n v="2"/>
    <x v="3"/>
    <s v="Male"/>
    <n v="1"/>
    <x v="0"/>
    <x v="1"/>
    <n v="3464"/>
    <n v="24737"/>
    <n v="5"/>
    <x v="0"/>
    <n v="3"/>
    <n v="4"/>
    <n v="80"/>
    <n v="5"/>
    <x v="5"/>
    <x v="2"/>
    <n v="3"/>
    <x v="3"/>
    <n v="2"/>
    <n v="2"/>
  </r>
  <r>
    <n v="30"/>
    <x v="2"/>
    <x v="1"/>
    <s v="Travel_Rarely"/>
    <x v="1"/>
    <s v="Medical"/>
    <x v="1"/>
    <n v="441"/>
    <n v="28"/>
    <x v="2"/>
    <s v="Female"/>
    <n v="2"/>
    <x v="0"/>
    <x v="1"/>
    <n v="5775"/>
    <n v="11934"/>
    <n v="1"/>
    <x v="1"/>
    <n v="3"/>
    <n v="4"/>
    <n v="80"/>
    <n v="11"/>
    <x v="2"/>
    <x v="1"/>
    <n v="10"/>
    <x v="6"/>
    <n v="1"/>
    <n v="9"/>
  </r>
  <r>
    <n v="31"/>
    <x v="1"/>
    <x v="1"/>
    <s v="Travel_Frequently"/>
    <x v="1"/>
    <s v="Life Sciences"/>
    <x v="3"/>
    <n v="442"/>
    <n v="7"/>
    <x v="1"/>
    <s v="Female"/>
    <n v="3"/>
    <x v="2"/>
    <x v="1"/>
    <n v="8943"/>
    <n v="14034"/>
    <n v="1"/>
    <x v="1"/>
    <n v="4"/>
    <n v="1"/>
    <n v="80"/>
    <n v="10"/>
    <x v="2"/>
    <x v="1"/>
    <n v="10"/>
    <x v="5"/>
    <n v="8"/>
    <n v="9"/>
  </r>
  <r>
    <n v="39"/>
    <x v="1"/>
    <x v="1"/>
    <s v="Travel_Frequently"/>
    <x v="1"/>
    <s v="Medical"/>
    <x v="5"/>
    <n v="444"/>
    <n v="7"/>
    <x v="1"/>
    <s v="Male"/>
    <n v="5"/>
    <x v="0"/>
    <x v="1"/>
    <n v="19272"/>
    <n v="21141"/>
    <n v="1"/>
    <x v="1"/>
    <n v="3"/>
    <n v="1"/>
    <n v="80"/>
    <n v="21"/>
    <x v="2"/>
    <x v="1"/>
    <n v="21"/>
    <x v="5"/>
    <n v="13"/>
    <n v="3"/>
  </r>
  <r>
    <n v="39"/>
    <x v="1"/>
    <x v="0"/>
    <s v="Travel_Rarely"/>
    <x v="0"/>
    <s v="Medical"/>
    <x v="0"/>
    <n v="445"/>
    <n v="3"/>
    <x v="2"/>
    <s v="Female"/>
    <n v="2"/>
    <x v="2"/>
    <x v="1"/>
    <n v="5238"/>
    <n v="17778"/>
    <n v="4"/>
    <x v="0"/>
    <n v="3"/>
    <n v="1"/>
    <n v="80"/>
    <n v="12"/>
    <x v="1"/>
    <x v="2"/>
    <n v="1"/>
    <x v="2"/>
    <n v="0"/>
    <n v="0"/>
  </r>
  <r>
    <n v="33"/>
    <x v="1"/>
    <x v="1"/>
    <s v="Travel_Frequently"/>
    <x v="0"/>
    <s v="Marketing"/>
    <x v="0"/>
    <n v="446"/>
    <n v="10"/>
    <x v="0"/>
    <s v="Male"/>
    <n v="2"/>
    <x v="0"/>
    <x v="0"/>
    <n v="4682"/>
    <n v="4317"/>
    <n v="3"/>
    <x v="1"/>
    <n v="3"/>
    <n v="3"/>
    <n v="80"/>
    <n v="9"/>
    <x v="6"/>
    <x v="2"/>
    <n v="7"/>
    <x v="1"/>
    <n v="0"/>
    <n v="1"/>
  </r>
  <r>
    <n v="47"/>
    <x v="0"/>
    <x v="1"/>
    <s v="Travel_Rarely"/>
    <x v="1"/>
    <s v="Life Sciences"/>
    <x v="7"/>
    <n v="447"/>
    <n v="5"/>
    <x v="2"/>
    <s v="Male"/>
    <n v="5"/>
    <x v="2"/>
    <x v="1"/>
    <n v="18300"/>
    <n v="16375"/>
    <n v="4"/>
    <x v="1"/>
    <n v="3"/>
    <n v="2"/>
    <n v="80"/>
    <n v="21"/>
    <x v="2"/>
    <x v="1"/>
    <n v="3"/>
    <x v="3"/>
    <n v="1"/>
    <n v="1"/>
  </r>
  <r>
    <n v="43"/>
    <x v="0"/>
    <x v="1"/>
    <s v="Travel_Frequently"/>
    <x v="1"/>
    <s v="Life Sciences"/>
    <x v="2"/>
    <n v="448"/>
    <n v="10"/>
    <x v="1"/>
    <s v="Female"/>
    <n v="2"/>
    <x v="2"/>
    <x v="2"/>
    <n v="5257"/>
    <n v="6227"/>
    <n v="1"/>
    <x v="1"/>
    <n v="3"/>
    <n v="2"/>
    <n v="80"/>
    <n v="9"/>
    <x v="1"/>
    <x v="3"/>
    <n v="9"/>
    <x v="1"/>
    <n v="0"/>
    <n v="0"/>
  </r>
  <r>
    <n v="27"/>
    <x v="2"/>
    <x v="1"/>
    <s v="Non-Travel"/>
    <x v="0"/>
    <s v="Marketing"/>
    <x v="0"/>
    <n v="449"/>
    <n v="1"/>
    <x v="1"/>
    <s v="Male"/>
    <n v="2"/>
    <x v="1"/>
    <x v="1"/>
    <n v="6349"/>
    <n v="22107"/>
    <n v="0"/>
    <x v="0"/>
    <n v="3"/>
    <n v="4"/>
    <n v="80"/>
    <n v="6"/>
    <x v="0"/>
    <x v="1"/>
    <n v="5"/>
    <x v="0"/>
    <n v="1"/>
    <n v="4"/>
  </r>
  <r>
    <n v="54"/>
    <x v="3"/>
    <x v="1"/>
    <s v="Travel_Frequently"/>
    <x v="1"/>
    <s v="Life Sciences"/>
    <x v="1"/>
    <n v="450"/>
    <n v="20"/>
    <x v="2"/>
    <s v="Female"/>
    <n v="2"/>
    <x v="2"/>
    <x v="0"/>
    <n v="4869"/>
    <n v="16885"/>
    <n v="3"/>
    <x v="1"/>
    <n v="3"/>
    <n v="4"/>
    <n v="80"/>
    <n v="20"/>
    <x v="5"/>
    <x v="2"/>
    <n v="4"/>
    <x v="7"/>
    <n v="0"/>
    <n v="3"/>
  </r>
  <r>
    <n v="43"/>
    <x v="0"/>
    <x v="1"/>
    <s v="Travel_Rarely"/>
    <x v="1"/>
    <s v="Life Sciences"/>
    <x v="4"/>
    <n v="451"/>
    <n v="7"/>
    <x v="1"/>
    <s v="Female"/>
    <n v="3"/>
    <x v="3"/>
    <x v="1"/>
    <n v="9985"/>
    <n v="9262"/>
    <n v="8"/>
    <x v="1"/>
    <n v="3"/>
    <n v="1"/>
    <n v="80"/>
    <n v="10"/>
    <x v="4"/>
    <x v="2"/>
    <n v="1"/>
    <x v="2"/>
    <n v="0"/>
    <n v="0"/>
  </r>
  <r>
    <n v="45"/>
    <x v="0"/>
    <x v="1"/>
    <s v="Travel_Rarely"/>
    <x v="1"/>
    <s v="Other"/>
    <x v="1"/>
    <n v="452"/>
    <n v="8"/>
    <x v="2"/>
    <s v="Male"/>
    <n v="2"/>
    <x v="0"/>
    <x v="1"/>
    <n v="3697"/>
    <n v="9278"/>
    <n v="9"/>
    <x v="1"/>
    <n v="3"/>
    <n v="1"/>
    <n v="80"/>
    <n v="12"/>
    <x v="1"/>
    <x v="1"/>
    <n v="10"/>
    <x v="5"/>
    <n v="9"/>
    <n v="8"/>
  </r>
  <r>
    <n v="40"/>
    <x v="1"/>
    <x v="1"/>
    <s v="Travel_Rarely"/>
    <x v="0"/>
    <s v="Medical"/>
    <x v="0"/>
    <n v="453"/>
    <n v="1"/>
    <x v="0"/>
    <s v="Male"/>
    <n v="2"/>
    <x v="0"/>
    <x v="1"/>
    <n v="7457"/>
    <n v="13273"/>
    <n v="2"/>
    <x v="0"/>
    <n v="4"/>
    <n v="3"/>
    <n v="80"/>
    <n v="6"/>
    <x v="2"/>
    <x v="2"/>
    <n v="4"/>
    <x v="7"/>
    <n v="0"/>
    <n v="2"/>
  </r>
  <r>
    <n v="29"/>
    <x v="2"/>
    <x v="0"/>
    <s v="Travel_Rarely"/>
    <x v="1"/>
    <s v="Other"/>
    <x v="2"/>
    <n v="454"/>
    <n v="8"/>
    <x v="0"/>
    <s v="Male"/>
    <n v="1"/>
    <x v="3"/>
    <x v="1"/>
    <n v="2119"/>
    <n v="4759"/>
    <n v="1"/>
    <x v="0"/>
    <n v="3"/>
    <n v="4"/>
    <n v="80"/>
    <n v="7"/>
    <x v="5"/>
    <x v="2"/>
    <n v="7"/>
    <x v="1"/>
    <n v="0"/>
    <n v="7"/>
  </r>
  <r>
    <n v="29"/>
    <x v="2"/>
    <x v="1"/>
    <s v="Travel_Rarely"/>
    <x v="1"/>
    <s v="Other"/>
    <x v="2"/>
    <n v="455"/>
    <n v="9"/>
    <x v="0"/>
    <s v="Male"/>
    <n v="1"/>
    <x v="0"/>
    <x v="0"/>
    <n v="3983"/>
    <n v="7621"/>
    <n v="0"/>
    <x v="1"/>
    <n v="3"/>
    <n v="3"/>
    <n v="80"/>
    <n v="4"/>
    <x v="2"/>
    <x v="1"/>
    <n v="3"/>
    <x v="3"/>
    <n v="2"/>
    <n v="2"/>
  </r>
  <r>
    <n v="30"/>
    <x v="2"/>
    <x v="1"/>
    <s v="Travel_Rarely"/>
    <x v="0"/>
    <s v="Marketing"/>
    <x v="0"/>
    <n v="456"/>
    <n v="5"/>
    <x v="2"/>
    <s v="Female"/>
    <n v="2"/>
    <x v="2"/>
    <x v="2"/>
    <n v="6118"/>
    <n v="5431"/>
    <n v="1"/>
    <x v="1"/>
    <n v="3"/>
    <n v="3"/>
    <n v="80"/>
    <n v="10"/>
    <x v="2"/>
    <x v="1"/>
    <n v="10"/>
    <x v="5"/>
    <n v="1"/>
    <n v="2"/>
  </r>
  <r>
    <n v="27"/>
    <x v="2"/>
    <x v="1"/>
    <s v="Travel_Rarely"/>
    <x v="0"/>
    <s v="Marketing"/>
    <x v="0"/>
    <n v="458"/>
    <n v="8"/>
    <x v="0"/>
    <s v="Female"/>
    <n v="2"/>
    <x v="1"/>
    <x v="1"/>
    <n v="6214"/>
    <n v="3415"/>
    <n v="1"/>
    <x v="1"/>
    <n v="3"/>
    <n v="1"/>
    <n v="80"/>
    <n v="8"/>
    <x v="1"/>
    <x v="1"/>
    <n v="8"/>
    <x v="1"/>
    <n v="0"/>
    <n v="7"/>
  </r>
  <r>
    <n v="37"/>
    <x v="1"/>
    <x v="1"/>
    <s v="Travel_Rarely"/>
    <x v="1"/>
    <s v="Medical"/>
    <x v="3"/>
    <n v="460"/>
    <n v="5"/>
    <x v="2"/>
    <s v="Male"/>
    <n v="2"/>
    <x v="0"/>
    <x v="2"/>
    <n v="6347"/>
    <n v="23177"/>
    <n v="7"/>
    <x v="1"/>
    <n v="3"/>
    <n v="3"/>
    <n v="80"/>
    <n v="8"/>
    <x v="2"/>
    <x v="2"/>
    <n v="6"/>
    <x v="3"/>
    <n v="0"/>
    <n v="4"/>
  </r>
  <r>
    <n v="38"/>
    <x v="1"/>
    <x v="1"/>
    <s v="Travel_Rarely"/>
    <x v="1"/>
    <s v="Life Sciences"/>
    <x v="7"/>
    <n v="461"/>
    <n v="15"/>
    <x v="1"/>
    <s v="Male"/>
    <n v="3"/>
    <x v="0"/>
    <x v="2"/>
    <n v="11510"/>
    <n v="15682"/>
    <n v="0"/>
    <x v="0"/>
    <n v="3"/>
    <n v="2"/>
    <n v="80"/>
    <n v="12"/>
    <x v="1"/>
    <x v="1"/>
    <n v="11"/>
    <x v="15"/>
    <n v="2"/>
    <n v="9"/>
  </r>
  <r>
    <n v="31"/>
    <x v="1"/>
    <x v="1"/>
    <s v="Travel_Rarely"/>
    <x v="1"/>
    <s v="Medical"/>
    <x v="3"/>
    <n v="462"/>
    <n v="7"/>
    <x v="1"/>
    <s v="Female"/>
    <n v="3"/>
    <x v="0"/>
    <x v="0"/>
    <n v="7143"/>
    <n v="25713"/>
    <n v="1"/>
    <x v="0"/>
    <n v="3"/>
    <n v="3"/>
    <n v="80"/>
    <n v="11"/>
    <x v="2"/>
    <x v="2"/>
    <n v="11"/>
    <x v="5"/>
    <n v="4"/>
    <n v="10"/>
  </r>
  <r>
    <n v="29"/>
    <x v="2"/>
    <x v="1"/>
    <s v="Travel_Rarely"/>
    <x v="0"/>
    <s v="Marketing"/>
    <x v="0"/>
    <n v="463"/>
    <n v="10"/>
    <x v="2"/>
    <s v="Female"/>
    <n v="2"/>
    <x v="1"/>
    <x v="2"/>
    <n v="8268"/>
    <n v="11866"/>
    <n v="1"/>
    <x v="0"/>
    <n v="3"/>
    <n v="1"/>
    <n v="80"/>
    <n v="7"/>
    <x v="2"/>
    <x v="1"/>
    <n v="7"/>
    <x v="1"/>
    <n v="1"/>
    <n v="7"/>
  </r>
  <r>
    <n v="35"/>
    <x v="1"/>
    <x v="1"/>
    <s v="Travel_Rarely"/>
    <x v="1"/>
    <s v="Technical Degree"/>
    <x v="3"/>
    <n v="464"/>
    <n v="5"/>
    <x v="1"/>
    <s v="Male"/>
    <n v="3"/>
    <x v="1"/>
    <x v="0"/>
    <n v="8095"/>
    <n v="18264"/>
    <n v="0"/>
    <x v="1"/>
    <n v="3"/>
    <n v="4"/>
    <n v="80"/>
    <n v="17"/>
    <x v="3"/>
    <x v="1"/>
    <n v="16"/>
    <x v="8"/>
    <n v="0"/>
    <n v="13"/>
  </r>
  <r>
    <n v="23"/>
    <x v="2"/>
    <x v="1"/>
    <s v="Travel_Rarely"/>
    <x v="1"/>
    <s v="Life Sciences"/>
    <x v="1"/>
    <n v="465"/>
    <n v="26"/>
    <x v="1"/>
    <s v="Male"/>
    <n v="1"/>
    <x v="0"/>
    <x v="2"/>
    <n v="2904"/>
    <n v="16092"/>
    <n v="1"/>
    <x v="1"/>
    <n v="3"/>
    <n v="3"/>
    <n v="80"/>
    <n v="4"/>
    <x v="2"/>
    <x v="2"/>
    <n v="4"/>
    <x v="3"/>
    <n v="0"/>
    <n v="2"/>
  </r>
  <r>
    <n v="41"/>
    <x v="0"/>
    <x v="1"/>
    <s v="Travel_Rarely"/>
    <x v="1"/>
    <s v="Medical"/>
    <x v="3"/>
    <n v="466"/>
    <n v="6"/>
    <x v="2"/>
    <s v="Male"/>
    <n v="2"/>
    <x v="1"/>
    <x v="0"/>
    <n v="6032"/>
    <n v="10110"/>
    <n v="6"/>
    <x v="0"/>
    <n v="3"/>
    <n v="4"/>
    <n v="80"/>
    <n v="8"/>
    <x v="1"/>
    <x v="1"/>
    <n v="5"/>
    <x v="0"/>
    <n v="1"/>
    <n v="2"/>
  </r>
  <r>
    <n v="47"/>
    <x v="0"/>
    <x v="1"/>
    <s v="Travel_Frequently"/>
    <x v="0"/>
    <s v="Medical"/>
    <x v="6"/>
    <n v="467"/>
    <n v="4"/>
    <x v="0"/>
    <s v="Male"/>
    <n v="2"/>
    <x v="2"/>
    <x v="0"/>
    <n v="2976"/>
    <n v="25751"/>
    <n v="3"/>
    <x v="1"/>
    <n v="3"/>
    <n v="1"/>
    <n v="80"/>
    <n v="5"/>
    <x v="1"/>
    <x v="1"/>
    <n v="0"/>
    <x v="2"/>
    <n v="0"/>
    <n v="0"/>
  </r>
  <r>
    <n v="42"/>
    <x v="0"/>
    <x v="1"/>
    <s v="Travel_Rarely"/>
    <x v="1"/>
    <s v="Life Sciences"/>
    <x v="7"/>
    <n v="468"/>
    <n v="23"/>
    <x v="3"/>
    <s v="Female"/>
    <n v="4"/>
    <x v="0"/>
    <x v="0"/>
    <n v="15992"/>
    <n v="15901"/>
    <n v="2"/>
    <x v="1"/>
    <n v="3"/>
    <n v="2"/>
    <n v="80"/>
    <n v="16"/>
    <x v="2"/>
    <x v="1"/>
    <n v="1"/>
    <x v="2"/>
    <n v="0"/>
    <n v="0"/>
  </r>
  <r>
    <n v="29"/>
    <x v="2"/>
    <x v="1"/>
    <s v="Non-Travel"/>
    <x v="0"/>
    <s v="Life Sciences"/>
    <x v="0"/>
    <n v="469"/>
    <n v="2"/>
    <x v="2"/>
    <s v="Male"/>
    <n v="2"/>
    <x v="2"/>
    <x v="1"/>
    <n v="4649"/>
    <n v="16928"/>
    <n v="1"/>
    <x v="1"/>
    <n v="3"/>
    <n v="1"/>
    <n v="80"/>
    <n v="4"/>
    <x v="1"/>
    <x v="2"/>
    <n v="4"/>
    <x v="7"/>
    <n v="0"/>
    <n v="2"/>
  </r>
  <r>
    <n v="42"/>
    <x v="0"/>
    <x v="1"/>
    <s v="Travel_Rarely"/>
    <x v="2"/>
    <s v="Technical Degree"/>
    <x v="8"/>
    <n v="470"/>
    <n v="2"/>
    <x v="1"/>
    <s v="Male"/>
    <n v="1"/>
    <x v="2"/>
    <x v="2"/>
    <n v="2696"/>
    <n v="24017"/>
    <n v="0"/>
    <x v="0"/>
    <n v="3"/>
    <n v="3"/>
    <n v="80"/>
    <n v="4"/>
    <x v="3"/>
    <x v="1"/>
    <n v="3"/>
    <x v="3"/>
    <n v="1"/>
    <n v="0"/>
  </r>
  <r>
    <n v="32"/>
    <x v="1"/>
    <x v="1"/>
    <s v="Travel_Rarely"/>
    <x v="1"/>
    <s v="Medical"/>
    <x v="2"/>
    <n v="471"/>
    <n v="2"/>
    <x v="1"/>
    <s v="Female"/>
    <n v="1"/>
    <x v="1"/>
    <x v="1"/>
    <n v="2370"/>
    <n v="3956"/>
    <n v="1"/>
    <x v="1"/>
    <n v="3"/>
    <n v="3"/>
    <n v="80"/>
    <n v="8"/>
    <x v="5"/>
    <x v="1"/>
    <n v="8"/>
    <x v="2"/>
    <n v="0"/>
    <n v="7"/>
  </r>
  <r>
    <n v="48"/>
    <x v="0"/>
    <x v="1"/>
    <s v="Travel_Rarely"/>
    <x v="0"/>
    <s v="Medical"/>
    <x v="5"/>
    <n v="473"/>
    <n v="29"/>
    <x v="3"/>
    <s v="Female"/>
    <n v="3"/>
    <x v="2"/>
    <x v="1"/>
    <n v="12504"/>
    <n v="23978"/>
    <n v="3"/>
    <x v="1"/>
    <n v="4"/>
    <n v="2"/>
    <n v="80"/>
    <n v="15"/>
    <x v="1"/>
    <x v="0"/>
    <n v="0"/>
    <x v="2"/>
    <n v="0"/>
    <n v="0"/>
  </r>
  <r>
    <n v="37"/>
    <x v="1"/>
    <x v="1"/>
    <s v="Travel_Rarely"/>
    <x v="1"/>
    <s v="Medical"/>
    <x v="1"/>
    <n v="474"/>
    <n v="6"/>
    <x v="1"/>
    <s v="Male"/>
    <n v="2"/>
    <x v="3"/>
    <x v="2"/>
    <n v="5974"/>
    <n v="17001"/>
    <n v="4"/>
    <x v="0"/>
    <n v="3"/>
    <n v="1"/>
    <n v="80"/>
    <n v="13"/>
    <x v="2"/>
    <x v="1"/>
    <n v="7"/>
    <x v="1"/>
    <n v="6"/>
    <n v="7"/>
  </r>
  <r>
    <n v="30"/>
    <x v="2"/>
    <x v="1"/>
    <s v="Non-Travel"/>
    <x v="0"/>
    <s v="Technical Degree"/>
    <x v="0"/>
    <n v="475"/>
    <n v="25"/>
    <x v="2"/>
    <s v="Female"/>
    <n v="2"/>
    <x v="2"/>
    <x v="1"/>
    <n v="4736"/>
    <n v="6069"/>
    <n v="7"/>
    <x v="0"/>
    <n v="3"/>
    <n v="2"/>
    <n v="80"/>
    <n v="4"/>
    <x v="2"/>
    <x v="3"/>
    <n v="2"/>
    <x v="3"/>
    <n v="2"/>
    <n v="2"/>
  </r>
  <r>
    <n v="26"/>
    <x v="2"/>
    <x v="1"/>
    <s v="Travel_Rarely"/>
    <x v="0"/>
    <s v="Life Sciences"/>
    <x v="0"/>
    <n v="476"/>
    <n v="1"/>
    <x v="1"/>
    <s v="Male"/>
    <n v="2"/>
    <x v="2"/>
    <x v="1"/>
    <n v="5296"/>
    <n v="20156"/>
    <n v="1"/>
    <x v="1"/>
    <n v="3"/>
    <n v="2"/>
    <n v="80"/>
    <n v="8"/>
    <x v="1"/>
    <x v="1"/>
    <n v="8"/>
    <x v="1"/>
    <n v="7"/>
    <n v="7"/>
  </r>
  <r>
    <n v="42"/>
    <x v="0"/>
    <x v="1"/>
    <s v="Travel_Rarely"/>
    <x v="1"/>
    <s v="Other"/>
    <x v="4"/>
    <n v="477"/>
    <n v="2"/>
    <x v="3"/>
    <s v="Male"/>
    <n v="2"/>
    <x v="0"/>
    <x v="0"/>
    <n v="6781"/>
    <n v="17078"/>
    <n v="3"/>
    <x v="1"/>
    <n v="4"/>
    <n v="2"/>
    <n v="80"/>
    <n v="14"/>
    <x v="6"/>
    <x v="1"/>
    <n v="1"/>
    <x v="2"/>
    <n v="0"/>
    <n v="0"/>
  </r>
  <r>
    <n v="21"/>
    <x v="2"/>
    <x v="0"/>
    <s v="Travel_Frequently"/>
    <x v="0"/>
    <s v="Technical Degree"/>
    <x v="6"/>
    <n v="478"/>
    <n v="1"/>
    <x v="3"/>
    <s v="Female"/>
    <n v="1"/>
    <x v="1"/>
    <x v="0"/>
    <n v="2174"/>
    <n v="9150"/>
    <n v="1"/>
    <x v="0"/>
    <n v="3"/>
    <n v="3"/>
    <n v="80"/>
    <n v="3"/>
    <x v="1"/>
    <x v="1"/>
    <n v="3"/>
    <x v="3"/>
    <n v="1"/>
    <n v="2"/>
  </r>
  <r>
    <n v="36"/>
    <x v="1"/>
    <x v="1"/>
    <s v="Non-Travel"/>
    <x v="0"/>
    <s v="Medical"/>
    <x v="0"/>
    <n v="479"/>
    <n v="1"/>
    <x v="2"/>
    <s v="Female"/>
    <n v="2"/>
    <x v="0"/>
    <x v="0"/>
    <n v="6653"/>
    <n v="15276"/>
    <n v="4"/>
    <x v="1"/>
    <n v="3"/>
    <n v="2"/>
    <n v="80"/>
    <n v="7"/>
    <x v="6"/>
    <x v="1"/>
    <n v="1"/>
    <x v="2"/>
    <n v="0"/>
    <n v="0"/>
  </r>
  <r>
    <n v="36"/>
    <x v="1"/>
    <x v="1"/>
    <s v="Travel_Frequently"/>
    <x v="0"/>
    <s v="Medical"/>
    <x v="0"/>
    <n v="481"/>
    <n v="3"/>
    <x v="3"/>
    <s v="Male"/>
    <n v="3"/>
    <x v="0"/>
    <x v="1"/>
    <n v="9699"/>
    <n v="7246"/>
    <n v="4"/>
    <x v="1"/>
    <n v="3"/>
    <n v="1"/>
    <n v="80"/>
    <n v="16"/>
    <x v="2"/>
    <x v="1"/>
    <n v="13"/>
    <x v="5"/>
    <n v="1"/>
    <n v="12"/>
  </r>
  <r>
    <n v="57"/>
    <x v="3"/>
    <x v="1"/>
    <s v="Travel_Rarely"/>
    <x v="1"/>
    <s v="Medical"/>
    <x v="4"/>
    <n v="482"/>
    <n v="1"/>
    <x v="2"/>
    <s v="Male"/>
    <n v="2"/>
    <x v="2"/>
    <x v="1"/>
    <n v="6755"/>
    <n v="2967"/>
    <n v="2"/>
    <x v="1"/>
    <n v="3"/>
    <n v="3"/>
    <n v="80"/>
    <n v="15"/>
    <x v="2"/>
    <x v="1"/>
    <n v="3"/>
    <x v="3"/>
    <n v="1"/>
    <n v="2"/>
  </r>
  <r>
    <n v="40"/>
    <x v="1"/>
    <x v="1"/>
    <s v="Travel_Rarely"/>
    <x v="1"/>
    <s v="Life Sciences"/>
    <x v="2"/>
    <n v="483"/>
    <n v="10"/>
    <x v="2"/>
    <s v="Female"/>
    <n v="1"/>
    <x v="2"/>
    <x v="1"/>
    <n v="2213"/>
    <n v="22495"/>
    <n v="3"/>
    <x v="0"/>
    <n v="3"/>
    <n v="3"/>
    <n v="80"/>
    <n v="10"/>
    <x v="1"/>
    <x v="1"/>
    <n v="7"/>
    <x v="1"/>
    <n v="1"/>
    <n v="7"/>
  </r>
  <r>
    <n v="21"/>
    <x v="2"/>
    <x v="1"/>
    <s v="Non-Travel"/>
    <x v="0"/>
    <s v="Medical"/>
    <x v="6"/>
    <n v="484"/>
    <n v="9"/>
    <x v="3"/>
    <s v="Male"/>
    <n v="1"/>
    <x v="0"/>
    <x v="0"/>
    <n v="2610"/>
    <n v="2851"/>
    <n v="1"/>
    <x v="1"/>
    <n v="4"/>
    <n v="3"/>
    <n v="80"/>
    <n v="3"/>
    <x v="1"/>
    <x v="2"/>
    <n v="3"/>
    <x v="3"/>
    <n v="2"/>
    <n v="2"/>
  </r>
  <r>
    <n v="33"/>
    <x v="1"/>
    <x v="0"/>
    <s v="Travel_Rarely"/>
    <x v="0"/>
    <s v="Marketing"/>
    <x v="6"/>
    <n v="485"/>
    <n v="5"/>
    <x v="2"/>
    <s v="Female"/>
    <n v="1"/>
    <x v="2"/>
    <x v="0"/>
    <n v="2851"/>
    <n v="9150"/>
    <n v="1"/>
    <x v="0"/>
    <n v="3"/>
    <n v="2"/>
    <n v="80"/>
    <n v="1"/>
    <x v="2"/>
    <x v="1"/>
    <n v="1"/>
    <x v="2"/>
    <n v="0"/>
    <n v="0"/>
  </r>
  <r>
    <n v="37"/>
    <x v="1"/>
    <x v="1"/>
    <s v="Travel_Rarely"/>
    <x v="1"/>
    <s v="Medical"/>
    <x v="2"/>
    <n v="486"/>
    <n v="10"/>
    <x v="1"/>
    <s v="Female"/>
    <n v="1"/>
    <x v="3"/>
    <x v="1"/>
    <n v="3452"/>
    <n v="17663"/>
    <n v="6"/>
    <x v="1"/>
    <n v="4"/>
    <n v="2"/>
    <n v="80"/>
    <n v="17"/>
    <x v="1"/>
    <x v="1"/>
    <n v="5"/>
    <x v="0"/>
    <n v="0"/>
    <n v="3"/>
  </r>
  <r>
    <n v="46"/>
    <x v="0"/>
    <x v="1"/>
    <s v="Non-Travel"/>
    <x v="1"/>
    <s v="Medical"/>
    <x v="3"/>
    <n v="487"/>
    <n v="7"/>
    <x v="1"/>
    <s v="Female"/>
    <n v="2"/>
    <x v="2"/>
    <x v="1"/>
    <n v="5258"/>
    <n v="16044"/>
    <n v="2"/>
    <x v="1"/>
    <n v="3"/>
    <n v="3"/>
    <n v="80"/>
    <n v="7"/>
    <x v="2"/>
    <x v="3"/>
    <n v="1"/>
    <x v="2"/>
    <n v="0"/>
    <n v="0"/>
  </r>
  <r>
    <n v="41"/>
    <x v="0"/>
    <x v="0"/>
    <s v="Travel_Frequently"/>
    <x v="0"/>
    <s v="Marketing"/>
    <x v="0"/>
    <n v="488"/>
    <n v="4"/>
    <x v="3"/>
    <s v="Male"/>
    <n v="2"/>
    <x v="1"/>
    <x v="0"/>
    <n v="9355"/>
    <n v="9558"/>
    <n v="1"/>
    <x v="1"/>
    <n v="3"/>
    <n v="3"/>
    <n v="80"/>
    <n v="8"/>
    <x v="3"/>
    <x v="1"/>
    <n v="8"/>
    <x v="1"/>
    <n v="7"/>
    <n v="7"/>
  </r>
  <r>
    <n v="50"/>
    <x v="0"/>
    <x v="1"/>
    <s v="Travel_Rarely"/>
    <x v="1"/>
    <s v="Technical Degree"/>
    <x v="4"/>
    <n v="491"/>
    <n v="10"/>
    <x v="2"/>
    <s v="Male"/>
    <n v="3"/>
    <x v="0"/>
    <x v="0"/>
    <n v="10496"/>
    <n v="2755"/>
    <n v="6"/>
    <x v="1"/>
    <n v="3"/>
    <n v="4"/>
    <n v="80"/>
    <n v="20"/>
    <x v="2"/>
    <x v="1"/>
    <n v="4"/>
    <x v="7"/>
    <n v="1"/>
    <n v="3"/>
  </r>
  <r>
    <n v="40"/>
    <x v="1"/>
    <x v="0"/>
    <s v="Travel_Rarely"/>
    <x v="0"/>
    <s v="Marketing"/>
    <x v="0"/>
    <n v="492"/>
    <n v="22"/>
    <x v="1"/>
    <s v="Male"/>
    <n v="2"/>
    <x v="2"/>
    <x v="1"/>
    <n v="6380"/>
    <n v="6110"/>
    <n v="2"/>
    <x v="0"/>
    <n v="3"/>
    <n v="1"/>
    <n v="80"/>
    <n v="8"/>
    <x v="6"/>
    <x v="1"/>
    <n v="6"/>
    <x v="0"/>
    <n v="1"/>
    <n v="0"/>
  </r>
  <r>
    <n v="31"/>
    <x v="1"/>
    <x v="1"/>
    <s v="Travel_Rarely"/>
    <x v="1"/>
    <s v="Life Sciences"/>
    <x v="1"/>
    <n v="493"/>
    <n v="9"/>
    <x v="1"/>
    <s v="Male"/>
    <n v="1"/>
    <x v="1"/>
    <x v="0"/>
    <n v="2657"/>
    <n v="7551"/>
    <n v="0"/>
    <x v="0"/>
    <n v="3"/>
    <n v="4"/>
    <n v="80"/>
    <n v="3"/>
    <x v="3"/>
    <x v="1"/>
    <n v="2"/>
    <x v="3"/>
    <n v="2"/>
    <n v="2"/>
  </r>
  <r>
    <n v="21"/>
    <x v="2"/>
    <x v="0"/>
    <s v="Travel_Rarely"/>
    <x v="0"/>
    <s v="Life Sciences"/>
    <x v="6"/>
    <n v="494"/>
    <n v="12"/>
    <x v="1"/>
    <s v="Female"/>
    <n v="1"/>
    <x v="1"/>
    <x v="0"/>
    <n v="2716"/>
    <n v="25422"/>
    <n v="1"/>
    <x v="1"/>
    <n v="3"/>
    <n v="4"/>
    <n v="80"/>
    <n v="1"/>
    <x v="0"/>
    <x v="1"/>
    <n v="1"/>
    <x v="2"/>
    <n v="0"/>
    <n v="0"/>
  </r>
  <r>
    <n v="29"/>
    <x v="2"/>
    <x v="1"/>
    <s v="Travel_Rarely"/>
    <x v="1"/>
    <s v="Life Sciences"/>
    <x v="1"/>
    <n v="495"/>
    <n v="23"/>
    <x v="2"/>
    <s v="Male"/>
    <n v="1"/>
    <x v="0"/>
    <x v="0"/>
    <n v="2201"/>
    <n v="18168"/>
    <n v="9"/>
    <x v="1"/>
    <n v="3"/>
    <n v="4"/>
    <n v="80"/>
    <n v="6"/>
    <x v="5"/>
    <x v="1"/>
    <n v="3"/>
    <x v="3"/>
    <n v="1"/>
    <n v="2"/>
  </r>
  <r>
    <n v="35"/>
    <x v="1"/>
    <x v="1"/>
    <s v="Travel_Rarely"/>
    <x v="1"/>
    <s v="Life Sciences"/>
    <x v="4"/>
    <n v="496"/>
    <n v="9"/>
    <x v="1"/>
    <s v="Male"/>
    <n v="2"/>
    <x v="1"/>
    <x v="0"/>
    <n v="6540"/>
    <n v="19394"/>
    <n v="9"/>
    <x v="1"/>
    <n v="3"/>
    <n v="3"/>
    <n v="80"/>
    <n v="10"/>
    <x v="3"/>
    <x v="1"/>
    <n v="1"/>
    <x v="10"/>
    <n v="0"/>
    <n v="0"/>
  </r>
  <r>
    <n v="27"/>
    <x v="2"/>
    <x v="1"/>
    <s v="Travel_Rarely"/>
    <x v="1"/>
    <s v="Medical"/>
    <x v="2"/>
    <n v="497"/>
    <n v="1"/>
    <x v="2"/>
    <s v="Male"/>
    <n v="1"/>
    <x v="1"/>
    <x v="2"/>
    <n v="3816"/>
    <n v="17881"/>
    <n v="1"/>
    <x v="1"/>
    <n v="3"/>
    <n v="2"/>
    <n v="80"/>
    <n v="5"/>
    <x v="2"/>
    <x v="1"/>
    <n v="5"/>
    <x v="3"/>
    <n v="0"/>
    <n v="4"/>
  </r>
  <r>
    <n v="28"/>
    <x v="2"/>
    <x v="1"/>
    <s v="Travel_Rarely"/>
    <x v="0"/>
    <s v="Life Sciences"/>
    <x v="0"/>
    <n v="498"/>
    <n v="9"/>
    <x v="0"/>
    <s v="Male"/>
    <n v="2"/>
    <x v="0"/>
    <x v="0"/>
    <n v="5253"/>
    <n v="20750"/>
    <n v="1"/>
    <x v="1"/>
    <n v="3"/>
    <n v="4"/>
    <n v="80"/>
    <n v="7"/>
    <x v="4"/>
    <x v="1"/>
    <n v="7"/>
    <x v="4"/>
    <n v="0"/>
    <n v="7"/>
  </r>
  <r>
    <n v="49"/>
    <x v="0"/>
    <x v="1"/>
    <s v="Travel_Rarely"/>
    <x v="1"/>
    <s v="Other"/>
    <x v="4"/>
    <n v="499"/>
    <n v="7"/>
    <x v="0"/>
    <s v="Male"/>
    <n v="3"/>
    <x v="2"/>
    <x v="0"/>
    <n v="10965"/>
    <n v="12066"/>
    <n v="8"/>
    <x v="1"/>
    <n v="4"/>
    <n v="3"/>
    <n v="80"/>
    <n v="26"/>
    <x v="2"/>
    <x v="1"/>
    <n v="5"/>
    <x v="3"/>
    <n v="0"/>
    <n v="0"/>
  </r>
  <r>
    <n v="51"/>
    <x v="3"/>
    <x v="1"/>
    <s v="Travel_Rarely"/>
    <x v="0"/>
    <s v="Life Sciences"/>
    <x v="0"/>
    <n v="500"/>
    <n v="14"/>
    <x v="1"/>
    <s v="Female"/>
    <n v="2"/>
    <x v="0"/>
    <x v="1"/>
    <n v="4936"/>
    <n v="14862"/>
    <n v="4"/>
    <x v="1"/>
    <n v="3"/>
    <n v="3"/>
    <n v="80"/>
    <n v="18"/>
    <x v="2"/>
    <x v="2"/>
    <n v="7"/>
    <x v="1"/>
    <n v="0"/>
    <n v="7"/>
  </r>
  <r>
    <n v="36"/>
    <x v="1"/>
    <x v="1"/>
    <s v="Travel_Rarely"/>
    <x v="1"/>
    <s v="Life Sciences"/>
    <x v="1"/>
    <n v="501"/>
    <n v="2"/>
    <x v="2"/>
    <s v="Female"/>
    <n v="1"/>
    <x v="2"/>
    <x v="1"/>
    <n v="2543"/>
    <n v="11868"/>
    <n v="4"/>
    <x v="1"/>
    <n v="3"/>
    <n v="2"/>
    <n v="80"/>
    <n v="6"/>
    <x v="1"/>
    <x v="1"/>
    <n v="2"/>
    <x v="3"/>
    <n v="2"/>
    <n v="2"/>
  </r>
  <r>
    <n v="34"/>
    <x v="1"/>
    <x v="0"/>
    <s v="Non-Travel"/>
    <x v="0"/>
    <s v="Marketing"/>
    <x v="0"/>
    <n v="502"/>
    <n v="19"/>
    <x v="3"/>
    <s v="Male"/>
    <n v="2"/>
    <x v="0"/>
    <x v="0"/>
    <n v="5304"/>
    <n v="4652"/>
    <n v="8"/>
    <x v="0"/>
    <n v="3"/>
    <n v="2"/>
    <n v="80"/>
    <n v="9"/>
    <x v="1"/>
    <x v="2"/>
    <n v="5"/>
    <x v="3"/>
    <n v="0"/>
    <n v="4"/>
  </r>
  <r>
    <n v="55"/>
    <x v="3"/>
    <x v="1"/>
    <s v="Travel_Rarely"/>
    <x v="1"/>
    <s v="Life Sciences"/>
    <x v="5"/>
    <n v="505"/>
    <n v="2"/>
    <x v="1"/>
    <s v="Female"/>
    <n v="4"/>
    <x v="0"/>
    <x v="0"/>
    <n v="16659"/>
    <n v="23258"/>
    <n v="2"/>
    <x v="0"/>
    <n v="3"/>
    <n v="3"/>
    <n v="80"/>
    <n v="30"/>
    <x v="2"/>
    <x v="1"/>
    <n v="5"/>
    <x v="0"/>
    <n v="1"/>
    <n v="2"/>
  </r>
  <r>
    <n v="24"/>
    <x v="2"/>
    <x v="1"/>
    <s v="Travel_Rarely"/>
    <x v="0"/>
    <s v="Marketing"/>
    <x v="0"/>
    <n v="507"/>
    <n v="10"/>
    <x v="2"/>
    <s v="Female"/>
    <n v="2"/>
    <x v="2"/>
    <x v="2"/>
    <n v="4260"/>
    <n v="5915"/>
    <n v="1"/>
    <x v="0"/>
    <n v="3"/>
    <n v="4"/>
    <n v="80"/>
    <n v="5"/>
    <x v="2"/>
    <x v="3"/>
    <n v="5"/>
    <x v="3"/>
    <n v="0"/>
    <n v="3"/>
  </r>
  <r>
    <n v="30"/>
    <x v="2"/>
    <x v="1"/>
    <s v="Travel_Rarely"/>
    <x v="0"/>
    <s v="Technical Degree"/>
    <x v="6"/>
    <n v="508"/>
    <n v="2"/>
    <x v="1"/>
    <s v="Male"/>
    <n v="1"/>
    <x v="1"/>
    <x v="1"/>
    <n v="2476"/>
    <n v="17434"/>
    <n v="1"/>
    <x v="1"/>
    <n v="3"/>
    <n v="1"/>
    <n v="80"/>
    <n v="1"/>
    <x v="1"/>
    <x v="1"/>
    <n v="1"/>
    <x v="2"/>
    <n v="0"/>
    <n v="0"/>
  </r>
  <r>
    <n v="26"/>
    <x v="2"/>
    <x v="0"/>
    <s v="Travel_Frequently"/>
    <x v="1"/>
    <s v="Technical Degree"/>
    <x v="1"/>
    <n v="510"/>
    <n v="3"/>
    <x v="1"/>
    <s v="Male"/>
    <n v="1"/>
    <x v="3"/>
    <x v="0"/>
    <n v="3102"/>
    <n v="6582"/>
    <n v="0"/>
    <x v="1"/>
    <n v="4"/>
    <n v="3"/>
    <n v="80"/>
    <n v="7"/>
    <x v="2"/>
    <x v="1"/>
    <n v="6"/>
    <x v="0"/>
    <n v="0"/>
    <n v="4"/>
  </r>
  <r>
    <n v="22"/>
    <x v="2"/>
    <x v="1"/>
    <s v="Travel_Rarely"/>
    <x v="1"/>
    <s v="Medical"/>
    <x v="1"/>
    <n v="511"/>
    <n v="11"/>
    <x v="3"/>
    <s v="Female"/>
    <n v="1"/>
    <x v="1"/>
    <x v="1"/>
    <n v="2244"/>
    <n v="24440"/>
    <n v="1"/>
    <x v="1"/>
    <n v="3"/>
    <n v="4"/>
    <n v="80"/>
    <n v="2"/>
    <x v="4"/>
    <x v="1"/>
    <n v="2"/>
    <x v="10"/>
    <n v="1"/>
    <n v="2"/>
  </r>
  <r>
    <n v="36"/>
    <x v="1"/>
    <x v="1"/>
    <s v="Travel_Rarely"/>
    <x v="0"/>
    <s v="Medical"/>
    <x v="0"/>
    <n v="513"/>
    <n v="2"/>
    <x v="0"/>
    <s v="Male"/>
    <n v="3"/>
    <x v="2"/>
    <x v="1"/>
    <n v="7596"/>
    <n v="3809"/>
    <n v="1"/>
    <x v="1"/>
    <n v="3"/>
    <n v="2"/>
    <n v="80"/>
    <n v="10"/>
    <x v="2"/>
    <x v="1"/>
    <n v="10"/>
    <x v="5"/>
    <n v="9"/>
    <n v="0"/>
  </r>
  <r>
    <n v="30"/>
    <x v="2"/>
    <x v="0"/>
    <s v="Travel_Frequently"/>
    <x v="1"/>
    <s v="Technical Degree"/>
    <x v="1"/>
    <n v="514"/>
    <n v="4"/>
    <x v="1"/>
    <s v="Male"/>
    <n v="1"/>
    <x v="0"/>
    <x v="0"/>
    <n v="2285"/>
    <n v="3427"/>
    <n v="9"/>
    <x v="0"/>
    <n v="4"/>
    <n v="3"/>
    <n v="80"/>
    <n v="3"/>
    <x v="5"/>
    <x v="1"/>
    <n v="1"/>
    <x v="2"/>
    <n v="0"/>
    <n v="0"/>
  </r>
  <r>
    <n v="37"/>
    <x v="1"/>
    <x v="1"/>
    <s v="Travel_Rarely"/>
    <x v="1"/>
    <s v="Life Sciences"/>
    <x v="2"/>
    <n v="515"/>
    <n v="14"/>
    <x v="2"/>
    <s v="Female"/>
    <n v="1"/>
    <x v="3"/>
    <x v="2"/>
    <n v="3034"/>
    <n v="26914"/>
    <n v="1"/>
    <x v="1"/>
    <n v="3"/>
    <n v="3"/>
    <n v="80"/>
    <n v="18"/>
    <x v="2"/>
    <x v="2"/>
    <n v="18"/>
    <x v="1"/>
    <n v="12"/>
    <n v="17"/>
  </r>
  <r>
    <n v="40"/>
    <x v="1"/>
    <x v="1"/>
    <s v="Travel_Rarely"/>
    <x v="0"/>
    <s v="Marketing"/>
    <x v="0"/>
    <n v="516"/>
    <n v="2"/>
    <x v="2"/>
    <s v="Female"/>
    <n v="2"/>
    <x v="1"/>
    <x v="2"/>
    <n v="5715"/>
    <n v="22553"/>
    <n v="7"/>
    <x v="1"/>
    <n v="3"/>
    <n v="3"/>
    <n v="80"/>
    <n v="8"/>
    <x v="3"/>
    <x v="1"/>
    <n v="5"/>
    <x v="0"/>
    <n v="1"/>
    <n v="3"/>
  </r>
  <r>
    <n v="42"/>
    <x v="0"/>
    <x v="1"/>
    <s v="Travel_Rarely"/>
    <x v="1"/>
    <s v="Life Sciences"/>
    <x v="2"/>
    <n v="517"/>
    <n v="1"/>
    <x v="0"/>
    <s v="Female"/>
    <n v="1"/>
    <x v="3"/>
    <x v="2"/>
    <n v="2576"/>
    <n v="20490"/>
    <n v="3"/>
    <x v="1"/>
    <n v="3"/>
    <n v="2"/>
    <n v="80"/>
    <n v="8"/>
    <x v="3"/>
    <x v="1"/>
    <n v="5"/>
    <x v="3"/>
    <n v="1"/>
    <n v="2"/>
  </r>
  <r>
    <n v="37"/>
    <x v="1"/>
    <x v="1"/>
    <s v="Travel_Rarely"/>
    <x v="1"/>
    <s v="Life Sciences"/>
    <x v="3"/>
    <n v="518"/>
    <n v="10"/>
    <x v="1"/>
    <s v="Male"/>
    <n v="2"/>
    <x v="1"/>
    <x v="0"/>
    <n v="4197"/>
    <n v="21123"/>
    <n v="2"/>
    <x v="0"/>
    <n v="3"/>
    <n v="4"/>
    <n v="80"/>
    <n v="18"/>
    <x v="2"/>
    <x v="2"/>
    <n v="1"/>
    <x v="2"/>
    <n v="0"/>
    <n v="1"/>
  </r>
  <r>
    <n v="43"/>
    <x v="0"/>
    <x v="1"/>
    <s v="Travel_Rarely"/>
    <x v="1"/>
    <s v="Life Sciences"/>
    <x v="7"/>
    <n v="520"/>
    <n v="12"/>
    <x v="3"/>
    <s v="Male"/>
    <n v="4"/>
    <x v="1"/>
    <x v="2"/>
    <n v="14336"/>
    <n v="4345"/>
    <n v="1"/>
    <x v="1"/>
    <n v="3"/>
    <n v="3"/>
    <n v="80"/>
    <n v="25"/>
    <x v="1"/>
    <x v="1"/>
    <n v="25"/>
    <x v="15"/>
    <n v="3"/>
    <n v="9"/>
  </r>
  <r>
    <n v="40"/>
    <x v="1"/>
    <x v="1"/>
    <s v="Travel_Rarely"/>
    <x v="1"/>
    <s v="Medical"/>
    <x v="2"/>
    <n v="521"/>
    <n v="2"/>
    <x v="0"/>
    <s v="Female"/>
    <n v="2"/>
    <x v="2"/>
    <x v="1"/>
    <n v="3448"/>
    <n v="13436"/>
    <n v="6"/>
    <x v="1"/>
    <n v="4"/>
    <n v="2"/>
    <n v="80"/>
    <n v="20"/>
    <x v="1"/>
    <x v="1"/>
    <n v="1"/>
    <x v="2"/>
    <n v="0"/>
    <n v="0"/>
  </r>
  <r>
    <n v="54"/>
    <x v="3"/>
    <x v="1"/>
    <s v="Travel_Rarely"/>
    <x v="1"/>
    <s v="Medical"/>
    <x v="7"/>
    <n v="522"/>
    <n v="5"/>
    <x v="3"/>
    <s v="Male"/>
    <n v="5"/>
    <x v="3"/>
    <x v="1"/>
    <n v="19406"/>
    <n v="8509"/>
    <n v="4"/>
    <x v="1"/>
    <n v="3"/>
    <n v="3"/>
    <n v="80"/>
    <n v="24"/>
    <x v="5"/>
    <x v="2"/>
    <n v="4"/>
    <x v="3"/>
    <n v="1"/>
    <n v="2"/>
  </r>
  <r>
    <n v="34"/>
    <x v="1"/>
    <x v="1"/>
    <s v="Non-Travel"/>
    <x v="0"/>
    <s v="Marketing"/>
    <x v="0"/>
    <n v="523"/>
    <n v="4"/>
    <x v="1"/>
    <s v="Female"/>
    <n v="2"/>
    <x v="2"/>
    <x v="1"/>
    <n v="6538"/>
    <n v="12740"/>
    <n v="9"/>
    <x v="1"/>
    <n v="3"/>
    <n v="1"/>
    <n v="80"/>
    <n v="6"/>
    <x v="1"/>
    <x v="1"/>
    <n v="3"/>
    <x v="3"/>
    <n v="1"/>
    <n v="2"/>
  </r>
  <r>
    <n v="31"/>
    <x v="1"/>
    <x v="1"/>
    <s v="Travel_Rarely"/>
    <x v="1"/>
    <s v="Medical"/>
    <x v="3"/>
    <n v="524"/>
    <n v="7"/>
    <x v="0"/>
    <s v="Female"/>
    <n v="2"/>
    <x v="3"/>
    <x v="1"/>
    <n v="4306"/>
    <n v="4156"/>
    <n v="1"/>
    <x v="1"/>
    <n v="3"/>
    <n v="2"/>
    <n v="80"/>
    <n v="13"/>
    <x v="3"/>
    <x v="0"/>
    <n v="13"/>
    <x v="15"/>
    <n v="3"/>
    <n v="12"/>
  </r>
  <r>
    <n v="43"/>
    <x v="0"/>
    <x v="1"/>
    <s v="Travel_Frequently"/>
    <x v="1"/>
    <s v="Medical"/>
    <x v="2"/>
    <n v="525"/>
    <n v="21"/>
    <x v="2"/>
    <s v="Male"/>
    <n v="1"/>
    <x v="0"/>
    <x v="1"/>
    <n v="2258"/>
    <n v="15238"/>
    <n v="7"/>
    <x v="1"/>
    <n v="4"/>
    <n v="1"/>
    <n v="80"/>
    <n v="8"/>
    <x v="4"/>
    <x v="1"/>
    <n v="3"/>
    <x v="3"/>
    <n v="1"/>
    <n v="2"/>
  </r>
  <r>
    <n v="43"/>
    <x v="0"/>
    <x v="1"/>
    <s v="Travel_Rarely"/>
    <x v="1"/>
    <s v="Other"/>
    <x v="4"/>
    <n v="526"/>
    <n v="8"/>
    <x v="1"/>
    <s v="Female"/>
    <n v="2"/>
    <x v="2"/>
    <x v="2"/>
    <n v="4522"/>
    <n v="2227"/>
    <n v="4"/>
    <x v="0"/>
    <n v="3"/>
    <n v="4"/>
    <n v="80"/>
    <n v="8"/>
    <x v="1"/>
    <x v="1"/>
    <n v="5"/>
    <x v="3"/>
    <n v="0"/>
    <n v="2"/>
  </r>
  <r>
    <n v="25"/>
    <x v="2"/>
    <x v="1"/>
    <s v="Travel_Rarely"/>
    <x v="0"/>
    <s v="Life Sciences"/>
    <x v="0"/>
    <n v="527"/>
    <n v="4"/>
    <x v="0"/>
    <s v="Female"/>
    <n v="2"/>
    <x v="0"/>
    <x v="0"/>
    <n v="4487"/>
    <n v="12090"/>
    <n v="1"/>
    <x v="0"/>
    <n v="3"/>
    <n v="2"/>
    <n v="80"/>
    <n v="5"/>
    <x v="1"/>
    <x v="1"/>
    <n v="5"/>
    <x v="0"/>
    <n v="1"/>
    <n v="3"/>
  </r>
  <r>
    <n v="37"/>
    <x v="1"/>
    <x v="1"/>
    <s v="Non-Travel"/>
    <x v="1"/>
    <s v="Medical"/>
    <x v="1"/>
    <n v="529"/>
    <n v="25"/>
    <x v="0"/>
    <s v="Female"/>
    <n v="2"/>
    <x v="2"/>
    <x v="1"/>
    <n v="4449"/>
    <n v="23866"/>
    <n v="3"/>
    <x v="0"/>
    <n v="3"/>
    <n v="1"/>
    <n v="80"/>
    <n v="15"/>
    <x v="2"/>
    <x v="1"/>
    <n v="13"/>
    <x v="14"/>
    <n v="10"/>
    <n v="7"/>
  </r>
  <r>
    <n v="31"/>
    <x v="1"/>
    <x v="1"/>
    <s v="Travel_Rarely"/>
    <x v="1"/>
    <s v="Life Sciences"/>
    <x v="2"/>
    <n v="530"/>
    <n v="1"/>
    <x v="2"/>
    <s v="Male"/>
    <n v="1"/>
    <x v="3"/>
    <x v="1"/>
    <n v="2218"/>
    <n v="16193"/>
    <n v="1"/>
    <x v="1"/>
    <n v="3"/>
    <n v="3"/>
    <n v="80"/>
    <n v="4"/>
    <x v="1"/>
    <x v="1"/>
    <n v="4"/>
    <x v="3"/>
    <n v="3"/>
    <n v="2"/>
  </r>
  <r>
    <n v="39"/>
    <x v="1"/>
    <x v="1"/>
    <s v="Travel_Frequently"/>
    <x v="1"/>
    <s v="Life Sciences"/>
    <x v="5"/>
    <n v="531"/>
    <n v="1"/>
    <x v="0"/>
    <s v="Male"/>
    <n v="5"/>
    <x v="2"/>
    <x v="2"/>
    <n v="19197"/>
    <n v="8213"/>
    <n v="1"/>
    <x v="0"/>
    <n v="3"/>
    <n v="3"/>
    <n v="80"/>
    <n v="21"/>
    <x v="1"/>
    <x v="1"/>
    <n v="21"/>
    <x v="6"/>
    <n v="1"/>
    <n v="6"/>
  </r>
  <r>
    <n v="56"/>
    <x v="3"/>
    <x v="1"/>
    <s v="Travel_Frequently"/>
    <x v="0"/>
    <s v="Life Sciences"/>
    <x v="0"/>
    <n v="532"/>
    <n v="6"/>
    <x v="1"/>
    <s v="Female"/>
    <n v="4"/>
    <x v="3"/>
    <x v="1"/>
    <n v="13212"/>
    <n v="18256"/>
    <n v="9"/>
    <x v="1"/>
    <n v="3"/>
    <n v="4"/>
    <n v="80"/>
    <n v="36"/>
    <x v="0"/>
    <x v="2"/>
    <n v="7"/>
    <x v="1"/>
    <n v="7"/>
    <n v="7"/>
  </r>
  <r>
    <n v="30"/>
    <x v="2"/>
    <x v="1"/>
    <s v="Travel_Rarely"/>
    <x v="0"/>
    <s v="Technical Degree"/>
    <x v="0"/>
    <n v="533"/>
    <n v="12"/>
    <x v="0"/>
    <s v="Female"/>
    <n v="2"/>
    <x v="2"/>
    <x v="0"/>
    <n v="6577"/>
    <n v="19558"/>
    <n v="0"/>
    <x v="1"/>
    <n v="3"/>
    <n v="2"/>
    <n v="80"/>
    <n v="6"/>
    <x v="6"/>
    <x v="1"/>
    <n v="5"/>
    <x v="0"/>
    <n v="4"/>
    <n v="4"/>
  </r>
  <r>
    <n v="41"/>
    <x v="0"/>
    <x v="1"/>
    <s v="Travel_Rarely"/>
    <x v="0"/>
    <s v="Marketing"/>
    <x v="0"/>
    <n v="534"/>
    <n v="1"/>
    <x v="0"/>
    <s v="Male"/>
    <n v="3"/>
    <x v="3"/>
    <x v="1"/>
    <n v="8392"/>
    <n v="19566"/>
    <n v="1"/>
    <x v="1"/>
    <n v="3"/>
    <n v="3"/>
    <n v="80"/>
    <n v="10"/>
    <x v="2"/>
    <x v="1"/>
    <n v="10"/>
    <x v="1"/>
    <n v="0"/>
    <n v="7"/>
  </r>
  <r>
    <n v="28"/>
    <x v="2"/>
    <x v="1"/>
    <s v="Travel_Rarely"/>
    <x v="1"/>
    <s v="Medical"/>
    <x v="2"/>
    <n v="536"/>
    <n v="17"/>
    <x v="1"/>
    <s v="Male"/>
    <n v="2"/>
    <x v="3"/>
    <x v="2"/>
    <n v="4558"/>
    <n v="13535"/>
    <n v="1"/>
    <x v="1"/>
    <n v="3"/>
    <n v="4"/>
    <n v="80"/>
    <n v="10"/>
    <x v="2"/>
    <x v="1"/>
    <n v="10"/>
    <x v="2"/>
    <n v="1"/>
    <n v="8"/>
  </r>
  <r>
    <n v="25"/>
    <x v="2"/>
    <x v="0"/>
    <s v="Travel_Rarely"/>
    <x v="1"/>
    <s v="Medical"/>
    <x v="2"/>
    <n v="538"/>
    <n v="3"/>
    <x v="3"/>
    <s v="Male"/>
    <n v="1"/>
    <x v="3"/>
    <x v="1"/>
    <n v="4031"/>
    <n v="9396"/>
    <n v="5"/>
    <x v="1"/>
    <n v="3"/>
    <n v="3"/>
    <n v="80"/>
    <n v="6"/>
    <x v="3"/>
    <x v="1"/>
    <n v="2"/>
    <x v="3"/>
    <n v="0"/>
    <n v="2"/>
  </r>
  <r>
    <n v="52"/>
    <x v="3"/>
    <x v="1"/>
    <s v="Travel_Rarely"/>
    <x v="1"/>
    <s v="Medical"/>
    <x v="3"/>
    <n v="543"/>
    <n v="3"/>
    <x v="2"/>
    <s v="Male"/>
    <n v="3"/>
    <x v="2"/>
    <x v="1"/>
    <n v="7969"/>
    <n v="19609"/>
    <n v="2"/>
    <x v="0"/>
    <n v="3"/>
    <n v="3"/>
    <n v="80"/>
    <n v="28"/>
    <x v="5"/>
    <x v="1"/>
    <n v="5"/>
    <x v="0"/>
    <n v="0"/>
    <n v="4"/>
  </r>
  <r>
    <n v="45"/>
    <x v="0"/>
    <x v="1"/>
    <s v="Travel_Rarely"/>
    <x v="1"/>
    <s v="Life Sciences"/>
    <x v="1"/>
    <n v="544"/>
    <n v="10"/>
    <x v="3"/>
    <s v="Male"/>
    <n v="1"/>
    <x v="0"/>
    <x v="1"/>
    <n v="2654"/>
    <n v="9655"/>
    <n v="3"/>
    <x v="1"/>
    <n v="4"/>
    <n v="4"/>
    <n v="80"/>
    <n v="8"/>
    <x v="1"/>
    <x v="2"/>
    <n v="2"/>
    <x v="3"/>
    <n v="0"/>
    <n v="2"/>
  </r>
  <r>
    <n v="52"/>
    <x v="3"/>
    <x v="1"/>
    <s v="Travel_Rarely"/>
    <x v="1"/>
    <s v="Life Sciences"/>
    <x v="5"/>
    <n v="546"/>
    <n v="4"/>
    <x v="2"/>
    <s v="Female"/>
    <n v="4"/>
    <x v="0"/>
    <x v="1"/>
    <n v="16555"/>
    <n v="10310"/>
    <n v="2"/>
    <x v="1"/>
    <n v="3"/>
    <n v="4"/>
    <n v="80"/>
    <n v="31"/>
    <x v="2"/>
    <x v="0"/>
    <n v="5"/>
    <x v="3"/>
    <n v="1"/>
    <n v="4"/>
  </r>
  <r>
    <n v="42"/>
    <x v="0"/>
    <x v="1"/>
    <s v="Travel_Frequently"/>
    <x v="1"/>
    <s v="Life Sciences"/>
    <x v="1"/>
    <n v="547"/>
    <n v="29"/>
    <x v="3"/>
    <s v="Female"/>
    <n v="2"/>
    <x v="2"/>
    <x v="2"/>
    <n v="4556"/>
    <n v="12932"/>
    <n v="2"/>
    <x v="1"/>
    <n v="3"/>
    <n v="2"/>
    <n v="80"/>
    <n v="19"/>
    <x v="1"/>
    <x v="1"/>
    <n v="5"/>
    <x v="0"/>
    <n v="0"/>
    <n v="2"/>
  </r>
  <r>
    <n v="30"/>
    <x v="2"/>
    <x v="1"/>
    <s v="Travel_Rarely"/>
    <x v="1"/>
    <s v="Life Sciences"/>
    <x v="3"/>
    <n v="548"/>
    <n v="2"/>
    <x v="1"/>
    <s v="Female"/>
    <n v="2"/>
    <x v="0"/>
    <x v="0"/>
    <n v="6091"/>
    <n v="24793"/>
    <n v="2"/>
    <x v="1"/>
    <n v="4"/>
    <n v="3"/>
    <n v="80"/>
    <n v="11"/>
    <x v="2"/>
    <x v="1"/>
    <n v="5"/>
    <x v="0"/>
    <n v="0"/>
    <n v="2"/>
  </r>
  <r>
    <n v="60"/>
    <x v="3"/>
    <x v="1"/>
    <s v="Travel_Rarely"/>
    <x v="1"/>
    <s v="Life Sciences"/>
    <x v="5"/>
    <n v="549"/>
    <n v="7"/>
    <x v="3"/>
    <s v="Female"/>
    <n v="5"/>
    <x v="3"/>
    <x v="1"/>
    <n v="19566"/>
    <n v="3854"/>
    <n v="5"/>
    <x v="1"/>
    <n v="3"/>
    <n v="4"/>
    <n v="80"/>
    <n v="33"/>
    <x v="3"/>
    <x v="0"/>
    <n v="29"/>
    <x v="6"/>
    <n v="11"/>
    <n v="10"/>
  </r>
  <r>
    <n v="46"/>
    <x v="0"/>
    <x v="1"/>
    <s v="Travel_Rarely"/>
    <x v="1"/>
    <s v="Medical"/>
    <x v="3"/>
    <n v="550"/>
    <n v="18"/>
    <x v="1"/>
    <s v="Female"/>
    <n v="2"/>
    <x v="2"/>
    <x v="2"/>
    <n v="4810"/>
    <n v="26314"/>
    <n v="2"/>
    <x v="1"/>
    <n v="3"/>
    <n v="3"/>
    <n v="80"/>
    <n v="19"/>
    <x v="3"/>
    <x v="2"/>
    <n v="10"/>
    <x v="1"/>
    <n v="0"/>
    <n v="8"/>
  </r>
  <r>
    <n v="42"/>
    <x v="0"/>
    <x v="1"/>
    <s v="Travel_Frequently"/>
    <x v="1"/>
    <s v="Technical Degree"/>
    <x v="4"/>
    <n v="551"/>
    <n v="28"/>
    <x v="2"/>
    <s v="Female"/>
    <n v="2"/>
    <x v="0"/>
    <x v="1"/>
    <n v="4523"/>
    <n v="4386"/>
    <n v="0"/>
    <x v="1"/>
    <n v="3"/>
    <n v="4"/>
    <n v="80"/>
    <n v="7"/>
    <x v="5"/>
    <x v="3"/>
    <n v="6"/>
    <x v="4"/>
    <n v="0"/>
    <n v="4"/>
  </r>
  <r>
    <n v="24"/>
    <x v="2"/>
    <x v="0"/>
    <s v="Travel_Rarely"/>
    <x v="0"/>
    <s v="Technical Degree"/>
    <x v="6"/>
    <n v="554"/>
    <n v="1"/>
    <x v="3"/>
    <s v="Female"/>
    <n v="1"/>
    <x v="1"/>
    <x v="0"/>
    <n v="3202"/>
    <n v="21972"/>
    <n v="1"/>
    <x v="0"/>
    <n v="3"/>
    <n v="2"/>
    <n v="80"/>
    <n v="6"/>
    <x v="5"/>
    <x v="1"/>
    <n v="5"/>
    <x v="7"/>
    <n v="1"/>
    <n v="4"/>
  </r>
  <r>
    <n v="34"/>
    <x v="1"/>
    <x v="0"/>
    <s v="Travel_Frequently"/>
    <x v="0"/>
    <s v="Marketing"/>
    <x v="6"/>
    <n v="555"/>
    <n v="6"/>
    <x v="2"/>
    <s v="Female"/>
    <n v="1"/>
    <x v="2"/>
    <x v="2"/>
    <n v="2351"/>
    <n v="12253"/>
    <n v="0"/>
    <x v="1"/>
    <n v="3"/>
    <n v="4"/>
    <n v="80"/>
    <n v="3"/>
    <x v="1"/>
    <x v="2"/>
    <n v="2"/>
    <x v="3"/>
    <n v="1"/>
    <n v="0"/>
  </r>
  <r>
    <n v="38"/>
    <x v="1"/>
    <x v="1"/>
    <s v="Travel_Frequently"/>
    <x v="1"/>
    <s v="Life Sciences"/>
    <x v="2"/>
    <n v="556"/>
    <n v="2"/>
    <x v="2"/>
    <s v="Male"/>
    <n v="1"/>
    <x v="0"/>
    <x v="1"/>
    <n v="1702"/>
    <n v="12106"/>
    <n v="1"/>
    <x v="0"/>
    <n v="4"/>
    <n v="3"/>
    <n v="80"/>
    <n v="1"/>
    <x v="1"/>
    <x v="1"/>
    <n v="1"/>
    <x v="2"/>
    <n v="0"/>
    <n v="0"/>
  </r>
  <r>
    <n v="40"/>
    <x v="1"/>
    <x v="1"/>
    <s v="Travel_Rarely"/>
    <x v="0"/>
    <s v="Life Sciences"/>
    <x v="5"/>
    <n v="558"/>
    <n v="2"/>
    <x v="1"/>
    <s v="Female"/>
    <n v="5"/>
    <x v="2"/>
    <x v="1"/>
    <n v="18041"/>
    <n v="13022"/>
    <n v="0"/>
    <x v="1"/>
    <n v="3"/>
    <n v="4"/>
    <n v="80"/>
    <n v="21"/>
    <x v="2"/>
    <x v="1"/>
    <n v="20"/>
    <x v="11"/>
    <n v="1"/>
    <n v="12"/>
  </r>
  <r>
    <n v="26"/>
    <x v="2"/>
    <x v="1"/>
    <s v="Travel_Rarely"/>
    <x v="1"/>
    <s v="Life Sciences"/>
    <x v="1"/>
    <n v="560"/>
    <n v="23"/>
    <x v="3"/>
    <s v="Female"/>
    <n v="1"/>
    <x v="0"/>
    <x v="2"/>
    <n v="2886"/>
    <n v="3032"/>
    <n v="1"/>
    <x v="1"/>
    <n v="4"/>
    <n v="2"/>
    <n v="80"/>
    <n v="3"/>
    <x v="1"/>
    <x v="0"/>
    <n v="3"/>
    <x v="3"/>
    <n v="0"/>
    <n v="2"/>
  </r>
  <r>
    <n v="30"/>
    <x v="2"/>
    <x v="1"/>
    <s v="Non-Travel"/>
    <x v="1"/>
    <s v="Life Sciences"/>
    <x v="2"/>
    <n v="562"/>
    <n v="3"/>
    <x v="1"/>
    <s v="Male"/>
    <n v="1"/>
    <x v="0"/>
    <x v="1"/>
    <n v="2097"/>
    <n v="16734"/>
    <n v="4"/>
    <x v="1"/>
    <n v="3"/>
    <n v="3"/>
    <n v="80"/>
    <n v="9"/>
    <x v="1"/>
    <x v="0"/>
    <n v="5"/>
    <x v="7"/>
    <n v="1"/>
    <n v="4"/>
  </r>
  <r>
    <n v="29"/>
    <x v="2"/>
    <x v="1"/>
    <s v="Travel_Rarely"/>
    <x v="1"/>
    <s v="Medical"/>
    <x v="7"/>
    <n v="564"/>
    <n v="3"/>
    <x v="0"/>
    <s v="Male"/>
    <n v="3"/>
    <x v="2"/>
    <x v="1"/>
    <n v="11935"/>
    <n v="21526"/>
    <n v="1"/>
    <x v="1"/>
    <n v="3"/>
    <n v="3"/>
    <n v="80"/>
    <n v="10"/>
    <x v="2"/>
    <x v="1"/>
    <n v="10"/>
    <x v="3"/>
    <n v="0"/>
    <n v="7"/>
  </r>
  <r>
    <n v="29"/>
    <x v="2"/>
    <x v="0"/>
    <s v="Travel_Rarely"/>
    <x v="1"/>
    <s v="Technical Degree"/>
    <x v="1"/>
    <n v="565"/>
    <n v="25"/>
    <x v="1"/>
    <s v="Female"/>
    <n v="1"/>
    <x v="1"/>
    <x v="1"/>
    <n v="2546"/>
    <n v="18300"/>
    <n v="5"/>
    <x v="1"/>
    <n v="3"/>
    <n v="2"/>
    <n v="80"/>
    <n v="6"/>
    <x v="2"/>
    <x v="3"/>
    <n v="2"/>
    <x v="3"/>
    <n v="1"/>
    <n v="1"/>
  </r>
  <r>
    <n v="19"/>
    <x v="4"/>
    <x v="0"/>
    <s v="Travel_Rarely"/>
    <x v="2"/>
    <s v="Technical Degree"/>
    <x v="8"/>
    <n v="566"/>
    <n v="2"/>
    <x v="3"/>
    <s v="Male"/>
    <n v="1"/>
    <x v="0"/>
    <x v="0"/>
    <n v="2564"/>
    <n v="18437"/>
    <n v="1"/>
    <x v="1"/>
    <n v="3"/>
    <n v="3"/>
    <n v="80"/>
    <n v="1"/>
    <x v="1"/>
    <x v="3"/>
    <n v="1"/>
    <x v="2"/>
    <n v="0"/>
    <n v="0"/>
  </r>
  <r>
    <n v="30"/>
    <x v="2"/>
    <x v="1"/>
    <s v="Non-Travel"/>
    <x v="0"/>
    <s v="Other"/>
    <x v="0"/>
    <n v="567"/>
    <n v="22"/>
    <x v="1"/>
    <s v="Female"/>
    <n v="3"/>
    <x v="3"/>
    <x v="1"/>
    <n v="8412"/>
    <n v="2890"/>
    <n v="0"/>
    <x v="1"/>
    <n v="3"/>
    <n v="3"/>
    <n v="80"/>
    <n v="10"/>
    <x v="1"/>
    <x v="1"/>
    <n v="9"/>
    <x v="6"/>
    <n v="7"/>
    <n v="8"/>
  </r>
  <r>
    <n v="57"/>
    <x v="3"/>
    <x v="1"/>
    <s v="Travel_Rarely"/>
    <x v="0"/>
    <s v="Marketing"/>
    <x v="5"/>
    <n v="568"/>
    <n v="29"/>
    <x v="3"/>
    <s v="Male"/>
    <n v="4"/>
    <x v="0"/>
    <x v="2"/>
    <n v="14118"/>
    <n v="22102"/>
    <n v="3"/>
    <x v="1"/>
    <n v="3"/>
    <n v="3"/>
    <n v="80"/>
    <n v="32"/>
    <x v="1"/>
    <x v="2"/>
    <n v="1"/>
    <x v="2"/>
    <n v="0"/>
    <n v="0"/>
  </r>
  <r>
    <n v="50"/>
    <x v="0"/>
    <x v="1"/>
    <s v="Travel_Rarely"/>
    <x v="1"/>
    <s v="Life Sciences"/>
    <x v="5"/>
    <n v="569"/>
    <n v="29"/>
    <x v="0"/>
    <s v="Male"/>
    <n v="4"/>
    <x v="2"/>
    <x v="1"/>
    <n v="17046"/>
    <n v="9314"/>
    <n v="0"/>
    <x v="1"/>
    <n v="3"/>
    <n v="2"/>
    <n v="80"/>
    <n v="28"/>
    <x v="2"/>
    <x v="1"/>
    <n v="27"/>
    <x v="15"/>
    <n v="15"/>
    <n v="7"/>
  </r>
  <r>
    <n v="30"/>
    <x v="2"/>
    <x v="1"/>
    <s v="Non-Travel"/>
    <x v="1"/>
    <s v="Medical"/>
    <x v="2"/>
    <n v="571"/>
    <n v="2"/>
    <x v="1"/>
    <s v="Female"/>
    <n v="1"/>
    <x v="0"/>
    <x v="0"/>
    <n v="2564"/>
    <n v="7181"/>
    <n v="0"/>
    <x v="1"/>
    <n v="3"/>
    <n v="3"/>
    <n v="80"/>
    <n v="12"/>
    <x v="2"/>
    <x v="2"/>
    <n v="11"/>
    <x v="1"/>
    <n v="6"/>
    <n v="7"/>
  </r>
  <r>
    <n v="60"/>
    <x v="3"/>
    <x v="1"/>
    <s v="Travel_Frequently"/>
    <x v="0"/>
    <s v="Marketing"/>
    <x v="0"/>
    <n v="573"/>
    <n v="28"/>
    <x v="1"/>
    <s v="Female"/>
    <n v="3"/>
    <x v="3"/>
    <x v="1"/>
    <n v="10266"/>
    <n v="2845"/>
    <n v="4"/>
    <x v="1"/>
    <n v="3"/>
    <n v="4"/>
    <n v="80"/>
    <n v="22"/>
    <x v="3"/>
    <x v="3"/>
    <n v="18"/>
    <x v="9"/>
    <n v="13"/>
    <n v="11"/>
  </r>
  <r>
    <n v="47"/>
    <x v="0"/>
    <x v="1"/>
    <s v="Travel_Rarely"/>
    <x v="1"/>
    <s v="Medical"/>
    <x v="3"/>
    <n v="574"/>
    <n v="2"/>
    <x v="3"/>
    <s v="Female"/>
    <n v="2"/>
    <x v="0"/>
    <x v="2"/>
    <n v="5070"/>
    <n v="7389"/>
    <n v="5"/>
    <x v="1"/>
    <n v="3"/>
    <n v="3"/>
    <n v="80"/>
    <n v="20"/>
    <x v="2"/>
    <x v="1"/>
    <n v="5"/>
    <x v="2"/>
    <n v="0"/>
    <n v="4"/>
  </r>
  <r>
    <n v="46"/>
    <x v="0"/>
    <x v="1"/>
    <s v="Travel_Rarely"/>
    <x v="1"/>
    <s v="Life Sciences"/>
    <x v="7"/>
    <n v="575"/>
    <n v="2"/>
    <x v="3"/>
    <s v="Male"/>
    <n v="4"/>
    <x v="2"/>
    <x v="1"/>
    <n v="17861"/>
    <n v="2288"/>
    <n v="6"/>
    <x v="1"/>
    <n v="3"/>
    <n v="3"/>
    <n v="80"/>
    <n v="26"/>
    <x v="2"/>
    <x v="0"/>
    <n v="3"/>
    <x v="3"/>
    <n v="0"/>
    <n v="1"/>
  </r>
  <r>
    <n v="35"/>
    <x v="1"/>
    <x v="1"/>
    <s v="Travel_Rarely"/>
    <x v="1"/>
    <s v="Life Sciences"/>
    <x v="2"/>
    <n v="577"/>
    <n v="22"/>
    <x v="2"/>
    <s v="Male"/>
    <n v="1"/>
    <x v="2"/>
    <x v="0"/>
    <n v="4230"/>
    <n v="19225"/>
    <n v="0"/>
    <x v="1"/>
    <n v="3"/>
    <n v="3"/>
    <n v="80"/>
    <n v="6"/>
    <x v="2"/>
    <x v="1"/>
    <n v="5"/>
    <x v="0"/>
    <n v="4"/>
    <n v="3"/>
  </r>
  <r>
    <n v="54"/>
    <x v="3"/>
    <x v="1"/>
    <s v="Travel_Rarely"/>
    <x v="1"/>
    <s v="Life Sciences"/>
    <x v="2"/>
    <n v="578"/>
    <n v="8"/>
    <x v="1"/>
    <s v="Female"/>
    <n v="2"/>
    <x v="2"/>
    <x v="0"/>
    <n v="3780"/>
    <n v="23428"/>
    <n v="7"/>
    <x v="1"/>
    <n v="3"/>
    <n v="3"/>
    <n v="80"/>
    <n v="19"/>
    <x v="1"/>
    <x v="1"/>
    <n v="1"/>
    <x v="2"/>
    <n v="0"/>
    <n v="0"/>
  </r>
  <r>
    <n v="34"/>
    <x v="1"/>
    <x v="1"/>
    <s v="Travel_Rarely"/>
    <x v="1"/>
    <s v="Life Sciences"/>
    <x v="1"/>
    <n v="579"/>
    <n v="2"/>
    <x v="2"/>
    <s v="Male"/>
    <n v="1"/>
    <x v="2"/>
    <x v="2"/>
    <n v="2768"/>
    <n v="8416"/>
    <n v="3"/>
    <x v="1"/>
    <n v="3"/>
    <n v="3"/>
    <n v="80"/>
    <n v="14"/>
    <x v="1"/>
    <x v="1"/>
    <n v="7"/>
    <x v="7"/>
    <n v="5"/>
    <n v="7"/>
  </r>
  <r>
    <n v="46"/>
    <x v="0"/>
    <x v="1"/>
    <s v="Travel_Rarely"/>
    <x v="0"/>
    <s v="Marketing"/>
    <x v="0"/>
    <n v="580"/>
    <n v="10"/>
    <x v="1"/>
    <s v="Female"/>
    <n v="3"/>
    <x v="0"/>
    <x v="1"/>
    <n v="9071"/>
    <n v="11563"/>
    <n v="2"/>
    <x v="0"/>
    <n v="3"/>
    <n v="3"/>
    <n v="80"/>
    <n v="15"/>
    <x v="1"/>
    <x v="1"/>
    <n v="3"/>
    <x v="3"/>
    <n v="1"/>
    <n v="2"/>
  </r>
  <r>
    <n v="31"/>
    <x v="1"/>
    <x v="1"/>
    <s v="Travel_Rarely"/>
    <x v="1"/>
    <s v="Life Sciences"/>
    <x v="3"/>
    <n v="581"/>
    <n v="9"/>
    <x v="1"/>
    <s v="Male"/>
    <n v="3"/>
    <x v="1"/>
    <x v="2"/>
    <n v="10648"/>
    <n v="14394"/>
    <n v="1"/>
    <x v="1"/>
    <n v="4"/>
    <n v="4"/>
    <n v="80"/>
    <n v="13"/>
    <x v="6"/>
    <x v="3"/>
    <n v="13"/>
    <x v="6"/>
    <n v="0"/>
    <n v="8"/>
  </r>
  <r>
    <n v="33"/>
    <x v="1"/>
    <x v="0"/>
    <s v="Travel_Rarely"/>
    <x v="1"/>
    <s v="Medical"/>
    <x v="5"/>
    <n v="582"/>
    <n v="15"/>
    <x v="0"/>
    <s v="Male"/>
    <n v="3"/>
    <x v="2"/>
    <x v="1"/>
    <n v="13610"/>
    <n v="24619"/>
    <n v="7"/>
    <x v="0"/>
    <n v="3"/>
    <n v="4"/>
    <n v="80"/>
    <n v="15"/>
    <x v="2"/>
    <x v="3"/>
    <n v="7"/>
    <x v="8"/>
    <n v="7"/>
    <n v="7"/>
  </r>
  <r>
    <n v="33"/>
    <x v="1"/>
    <x v="0"/>
    <s v="Travel_Rarely"/>
    <x v="1"/>
    <s v="Medical"/>
    <x v="2"/>
    <n v="584"/>
    <n v="10"/>
    <x v="3"/>
    <s v="Male"/>
    <n v="1"/>
    <x v="0"/>
    <x v="2"/>
    <n v="3408"/>
    <n v="6705"/>
    <n v="7"/>
    <x v="1"/>
    <n v="3"/>
    <n v="1"/>
    <n v="80"/>
    <n v="8"/>
    <x v="2"/>
    <x v="1"/>
    <n v="4"/>
    <x v="7"/>
    <n v="1"/>
    <n v="3"/>
  </r>
  <r>
    <n v="30"/>
    <x v="2"/>
    <x v="1"/>
    <s v="Travel_Rarely"/>
    <x v="0"/>
    <s v="Marketing"/>
    <x v="6"/>
    <n v="585"/>
    <n v="7"/>
    <x v="2"/>
    <s v="Male"/>
    <n v="1"/>
    <x v="1"/>
    <x v="0"/>
    <n v="2983"/>
    <n v="18398"/>
    <n v="0"/>
    <x v="1"/>
    <n v="3"/>
    <n v="1"/>
    <n v="80"/>
    <n v="4"/>
    <x v="1"/>
    <x v="1"/>
    <n v="3"/>
    <x v="3"/>
    <n v="1"/>
    <n v="2"/>
  </r>
  <r>
    <n v="35"/>
    <x v="1"/>
    <x v="1"/>
    <s v="Travel_Rarely"/>
    <x v="1"/>
    <s v="Life Sciences"/>
    <x v="4"/>
    <n v="586"/>
    <n v="16"/>
    <x v="2"/>
    <s v="Male"/>
    <n v="3"/>
    <x v="2"/>
    <x v="1"/>
    <n v="7632"/>
    <n v="14295"/>
    <n v="4"/>
    <x v="0"/>
    <n v="3"/>
    <n v="3"/>
    <n v="80"/>
    <n v="10"/>
    <x v="2"/>
    <x v="1"/>
    <n v="8"/>
    <x v="1"/>
    <n v="0"/>
    <n v="0"/>
  </r>
  <r>
    <n v="31"/>
    <x v="1"/>
    <x v="0"/>
    <s v="Travel_Frequently"/>
    <x v="1"/>
    <s v="Life Sciences"/>
    <x v="4"/>
    <n v="587"/>
    <n v="20"/>
    <x v="3"/>
    <s v="Male"/>
    <n v="3"/>
    <x v="2"/>
    <x v="1"/>
    <n v="9824"/>
    <n v="22908"/>
    <n v="3"/>
    <x v="1"/>
    <n v="3"/>
    <n v="1"/>
    <n v="80"/>
    <n v="12"/>
    <x v="2"/>
    <x v="1"/>
    <n v="1"/>
    <x v="2"/>
    <n v="0"/>
    <n v="0"/>
  </r>
  <r>
    <n v="34"/>
    <x v="1"/>
    <x v="0"/>
    <s v="Travel_Frequently"/>
    <x v="2"/>
    <s v="Human Resources"/>
    <x v="8"/>
    <n v="590"/>
    <n v="23"/>
    <x v="0"/>
    <s v="Female"/>
    <n v="3"/>
    <x v="3"/>
    <x v="2"/>
    <n v="9950"/>
    <n v="11533"/>
    <n v="9"/>
    <x v="0"/>
    <n v="3"/>
    <n v="3"/>
    <n v="80"/>
    <n v="11"/>
    <x v="2"/>
    <x v="1"/>
    <n v="3"/>
    <x v="3"/>
    <n v="0"/>
    <n v="2"/>
  </r>
  <r>
    <n v="42"/>
    <x v="0"/>
    <x v="1"/>
    <s v="Travel_Frequently"/>
    <x v="1"/>
    <s v="Other"/>
    <x v="2"/>
    <n v="591"/>
    <n v="5"/>
    <x v="0"/>
    <s v="Male"/>
    <n v="1"/>
    <x v="2"/>
    <x v="1"/>
    <n v="2093"/>
    <n v="9260"/>
    <n v="4"/>
    <x v="1"/>
    <n v="3"/>
    <n v="4"/>
    <n v="80"/>
    <n v="8"/>
    <x v="5"/>
    <x v="1"/>
    <n v="2"/>
    <x v="3"/>
    <n v="2"/>
    <n v="0"/>
  </r>
  <r>
    <n v="36"/>
    <x v="1"/>
    <x v="1"/>
    <s v="Non-Travel"/>
    <x v="0"/>
    <s v="Medical"/>
    <x v="0"/>
    <n v="592"/>
    <n v="10"/>
    <x v="0"/>
    <s v="Male"/>
    <n v="3"/>
    <x v="0"/>
    <x v="0"/>
    <n v="9980"/>
    <n v="15318"/>
    <n v="1"/>
    <x v="1"/>
    <n v="3"/>
    <n v="4"/>
    <n v="80"/>
    <n v="10"/>
    <x v="1"/>
    <x v="2"/>
    <n v="10"/>
    <x v="7"/>
    <n v="9"/>
    <n v="7"/>
  </r>
  <r>
    <n v="22"/>
    <x v="2"/>
    <x v="0"/>
    <s v="Travel_Frequently"/>
    <x v="1"/>
    <s v="Technical Degree"/>
    <x v="2"/>
    <n v="593"/>
    <n v="4"/>
    <x v="1"/>
    <s v="Male"/>
    <n v="1"/>
    <x v="2"/>
    <x v="0"/>
    <n v="3894"/>
    <n v="9129"/>
    <n v="5"/>
    <x v="1"/>
    <n v="3"/>
    <n v="3"/>
    <n v="80"/>
    <n v="4"/>
    <x v="1"/>
    <x v="1"/>
    <n v="2"/>
    <x v="3"/>
    <n v="1"/>
    <n v="2"/>
  </r>
  <r>
    <n v="48"/>
    <x v="0"/>
    <x v="1"/>
    <s v="Travel_Rarely"/>
    <x v="0"/>
    <s v="Marketing"/>
    <x v="0"/>
    <n v="595"/>
    <n v="2"/>
    <x v="0"/>
    <s v="Female"/>
    <n v="2"/>
    <x v="0"/>
    <x v="1"/>
    <n v="4051"/>
    <n v="19658"/>
    <n v="2"/>
    <x v="1"/>
    <n v="3"/>
    <n v="1"/>
    <n v="80"/>
    <n v="14"/>
    <x v="2"/>
    <x v="1"/>
    <n v="9"/>
    <x v="1"/>
    <n v="6"/>
    <n v="7"/>
  </r>
  <r>
    <n v="55"/>
    <x v="3"/>
    <x v="1"/>
    <s v="Travel_Rarely"/>
    <x v="0"/>
    <s v="Life Sciences"/>
    <x v="5"/>
    <n v="597"/>
    <n v="18"/>
    <x v="3"/>
    <s v="Female"/>
    <n v="4"/>
    <x v="1"/>
    <x v="0"/>
    <n v="16835"/>
    <n v="9873"/>
    <n v="3"/>
    <x v="1"/>
    <n v="4"/>
    <n v="4"/>
    <n v="80"/>
    <n v="37"/>
    <x v="2"/>
    <x v="1"/>
    <n v="10"/>
    <x v="5"/>
    <n v="7"/>
    <n v="7"/>
  </r>
  <r>
    <n v="41"/>
    <x v="0"/>
    <x v="1"/>
    <s v="Non-Travel"/>
    <x v="0"/>
    <s v="Life Sciences"/>
    <x v="0"/>
    <n v="599"/>
    <n v="10"/>
    <x v="2"/>
    <s v="Male"/>
    <n v="2"/>
    <x v="0"/>
    <x v="0"/>
    <n v="6230"/>
    <n v="13430"/>
    <n v="7"/>
    <x v="1"/>
    <n v="3"/>
    <n v="4"/>
    <n v="80"/>
    <n v="16"/>
    <x v="1"/>
    <x v="1"/>
    <n v="14"/>
    <x v="7"/>
    <n v="1"/>
    <n v="10"/>
  </r>
  <r>
    <n v="35"/>
    <x v="1"/>
    <x v="1"/>
    <s v="Travel_Rarely"/>
    <x v="0"/>
    <s v="Marketing"/>
    <x v="0"/>
    <n v="600"/>
    <n v="1"/>
    <x v="0"/>
    <s v="Male"/>
    <n v="2"/>
    <x v="2"/>
    <x v="1"/>
    <n v="4717"/>
    <n v="18659"/>
    <n v="9"/>
    <x v="1"/>
    <n v="3"/>
    <n v="3"/>
    <n v="80"/>
    <n v="15"/>
    <x v="2"/>
    <x v="1"/>
    <n v="11"/>
    <x v="5"/>
    <n v="6"/>
    <n v="9"/>
  </r>
  <r>
    <n v="40"/>
    <x v="1"/>
    <x v="1"/>
    <s v="Travel_Rarely"/>
    <x v="1"/>
    <s v="Life Sciences"/>
    <x v="3"/>
    <n v="601"/>
    <n v="6"/>
    <x v="0"/>
    <s v="Female"/>
    <n v="4"/>
    <x v="2"/>
    <x v="0"/>
    <n v="13237"/>
    <n v="20364"/>
    <n v="7"/>
    <x v="1"/>
    <n v="3"/>
    <n v="3"/>
    <n v="80"/>
    <n v="22"/>
    <x v="1"/>
    <x v="1"/>
    <n v="20"/>
    <x v="8"/>
    <n v="5"/>
    <n v="13"/>
  </r>
  <r>
    <n v="39"/>
    <x v="1"/>
    <x v="1"/>
    <s v="Travel_Frequently"/>
    <x v="1"/>
    <s v="Life Sciences"/>
    <x v="2"/>
    <n v="602"/>
    <n v="8"/>
    <x v="1"/>
    <s v="Female"/>
    <n v="1"/>
    <x v="2"/>
    <x v="1"/>
    <n v="3755"/>
    <n v="17872"/>
    <n v="1"/>
    <x v="1"/>
    <n v="3"/>
    <n v="1"/>
    <n v="80"/>
    <n v="8"/>
    <x v="1"/>
    <x v="1"/>
    <n v="8"/>
    <x v="7"/>
    <n v="0"/>
    <n v="7"/>
  </r>
  <r>
    <n v="31"/>
    <x v="1"/>
    <x v="1"/>
    <s v="Travel_Rarely"/>
    <x v="0"/>
    <s v="Life Sciences"/>
    <x v="0"/>
    <n v="604"/>
    <n v="2"/>
    <x v="0"/>
    <s v="Male"/>
    <n v="2"/>
    <x v="0"/>
    <x v="0"/>
    <n v="6582"/>
    <n v="8346"/>
    <n v="4"/>
    <x v="0"/>
    <n v="3"/>
    <n v="3"/>
    <n v="80"/>
    <n v="10"/>
    <x v="2"/>
    <x v="3"/>
    <n v="6"/>
    <x v="4"/>
    <n v="0"/>
    <n v="5"/>
  </r>
  <r>
    <n v="42"/>
    <x v="0"/>
    <x v="1"/>
    <s v="Travel_Rarely"/>
    <x v="1"/>
    <s v="Medical"/>
    <x v="3"/>
    <n v="605"/>
    <n v="24"/>
    <x v="2"/>
    <s v="Male"/>
    <n v="3"/>
    <x v="3"/>
    <x v="1"/>
    <n v="7406"/>
    <n v="6950"/>
    <n v="1"/>
    <x v="0"/>
    <n v="4"/>
    <n v="4"/>
    <n v="80"/>
    <n v="10"/>
    <x v="3"/>
    <x v="2"/>
    <n v="10"/>
    <x v="5"/>
    <n v="5"/>
    <n v="8"/>
  </r>
  <r>
    <n v="45"/>
    <x v="0"/>
    <x v="1"/>
    <s v="Travel_Rarely"/>
    <x v="0"/>
    <s v="Other"/>
    <x v="0"/>
    <n v="606"/>
    <n v="2"/>
    <x v="2"/>
    <s v="Male"/>
    <n v="2"/>
    <x v="1"/>
    <x v="1"/>
    <n v="4805"/>
    <n v="16177"/>
    <n v="0"/>
    <x v="1"/>
    <n v="3"/>
    <n v="2"/>
    <n v="80"/>
    <n v="9"/>
    <x v="1"/>
    <x v="3"/>
    <n v="8"/>
    <x v="1"/>
    <n v="3"/>
    <n v="7"/>
  </r>
  <r>
    <n v="26"/>
    <x v="2"/>
    <x v="0"/>
    <s v="Travel_Frequently"/>
    <x v="2"/>
    <s v="Life Sciences"/>
    <x v="8"/>
    <n v="608"/>
    <n v="17"/>
    <x v="0"/>
    <s v="Female"/>
    <n v="1"/>
    <x v="2"/>
    <x v="2"/>
    <n v="2741"/>
    <n v="22808"/>
    <n v="0"/>
    <x v="0"/>
    <n v="3"/>
    <n v="2"/>
    <n v="80"/>
    <n v="8"/>
    <x v="2"/>
    <x v="2"/>
    <n v="7"/>
    <x v="1"/>
    <n v="1"/>
    <n v="0"/>
  </r>
  <r>
    <n v="29"/>
    <x v="2"/>
    <x v="1"/>
    <s v="Travel_Rarely"/>
    <x v="1"/>
    <s v="Technical Degree"/>
    <x v="3"/>
    <n v="611"/>
    <n v="19"/>
    <x v="2"/>
    <s v="Male"/>
    <n v="2"/>
    <x v="0"/>
    <x v="2"/>
    <n v="4262"/>
    <n v="22645"/>
    <n v="4"/>
    <x v="1"/>
    <n v="3"/>
    <n v="2"/>
    <n v="80"/>
    <n v="8"/>
    <x v="2"/>
    <x v="3"/>
    <n v="3"/>
    <x v="3"/>
    <n v="1"/>
    <n v="2"/>
  </r>
  <r>
    <n v="33"/>
    <x v="1"/>
    <x v="1"/>
    <s v="Travel_Rarely"/>
    <x v="1"/>
    <s v="Medical"/>
    <x v="7"/>
    <n v="612"/>
    <n v="1"/>
    <x v="3"/>
    <s v="Female"/>
    <n v="4"/>
    <x v="2"/>
    <x v="2"/>
    <n v="16184"/>
    <n v="22578"/>
    <n v="4"/>
    <x v="1"/>
    <n v="3"/>
    <n v="3"/>
    <n v="80"/>
    <n v="10"/>
    <x v="2"/>
    <x v="1"/>
    <n v="6"/>
    <x v="10"/>
    <n v="0"/>
    <n v="5"/>
  </r>
  <r>
    <n v="31"/>
    <x v="1"/>
    <x v="1"/>
    <s v="Travel_Rarely"/>
    <x v="0"/>
    <s v="Life Sciences"/>
    <x v="5"/>
    <n v="613"/>
    <n v="7"/>
    <x v="1"/>
    <s v="Male"/>
    <n v="3"/>
    <x v="0"/>
    <x v="2"/>
    <n v="11557"/>
    <n v="25291"/>
    <n v="9"/>
    <x v="1"/>
    <n v="4"/>
    <n v="3"/>
    <n v="80"/>
    <n v="10"/>
    <x v="1"/>
    <x v="2"/>
    <n v="5"/>
    <x v="0"/>
    <n v="0"/>
    <n v="1"/>
  </r>
  <r>
    <n v="18"/>
    <x v="4"/>
    <x v="0"/>
    <s v="Travel_Frequently"/>
    <x v="0"/>
    <s v="Marketing"/>
    <x v="6"/>
    <n v="614"/>
    <n v="5"/>
    <x v="0"/>
    <s v="Male"/>
    <n v="1"/>
    <x v="1"/>
    <x v="0"/>
    <n v="1878"/>
    <n v="8059"/>
    <n v="1"/>
    <x v="0"/>
    <n v="3"/>
    <n v="4"/>
    <n v="80"/>
    <n v="0"/>
    <x v="1"/>
    <x v="1"/>
    <n v="0"/>
    <x v="2"/>
    <n v="0"/>
    <n v="0"/>
  </r>
  <r>
    <n v="40"/>
    <x v="1"/>
    <x v="1"/>
    <s v="Non-Travel"/>
    <x v="0"/>
    <s v="Other"/>
    <x v="0"/>
    <n v="615"/>
    <n v="28"/>
    <x v="1"/>
    <s v="Male"/>
    <n v="3"/>
    <x v="3"/>
    <x v="2"/>
    <n v="10932"/>
    <n v="11373"/>
    <n v="3"/>
    <x v="1"/>
    <n v="3"/>
    <n v="3"/>
    <n v="80"/>
    <n v="20"/>
    <x v="2"/>
    <x v="1"/>
    <n v="1"/>
    <x v="2"/>
    <n v="0"/>
    <n v="1"/>
  </r>
  <r>
    <n v="41"/>
    <x v="0"/>
    <x v="1"/>
    <s v="Non-Travel"/>
    <x v="1"/>
    <s v="Other"/>
    <x v="4"/>
    <n v="616"/>
    <n v="2"/>
    <x v="3"/>
    <s v="Female"/>
    <n v="2"/>
    <x v="2"/>
    <x v="0"/>
    <n v="6811"/>
    <n v="2112"/>
    <n v="2"/>
    <x v="0"/>
    <n v="3"/>
    <n v="1"/>
    <n v="80"/>
    <n v="10"/>
    <x v="1"/>
    <x v="1"/>
    <n v="8"/>
    <x v="1"/>
    <n v="0"/>
    <n v="7"/>
  </r>
  <r>
    <n v="26"/>
    <x v="2"/>
    <x v="1"/>
    <s v="Travel_Rarely"/>
    <x v="0"/>
    <s v="Medical"/>
    <x v="0"/>
    <n v="618"/>
    <n v="29"/>
    <x v="3"/>
    <s v="Male"/>
    <n v="2"/>
    <x v="2"/>
    <x v="2"/>
    <n v="4306"/>
    <n v="4267"/>
    <n v="5"/>
    <x v="1"/>
    <n v="3"/>
    <n v="1"/>
    <n v="80"/>
    <n v="8"/>
    <x v="3"/>
    <x v="1"/>
    <n v="0"/>
    <x v="2"/>
    <n v="0"/>
    <n v="0"/>
  </r>
  <r>
    <n v="35"/>
    <x v="1"/>
    <x v="1"/>
    <s v="Travel_Rarely"/>
    <x v="0"/>
    <s v="Medical"/>
    <x v="0"/>
    <n v="620"/>
    <n v="1"/>
    <x v="3"/>
    <s v="Female"/>
    <n v="2"/>
    <x v="2"/>
    <x v="0"/>
    <n v="4859"/>
    <n v="6698"/>
    <n v="1"/>
    <x v="1"/>
    <n v="3"/>
    <n v="4"/>
    <n v="80"/>
    <n v="5"/>
    <x v="1"/>
    <x v="1"/>
    <n v="5"/>
    <x v="0"/>
    <n v="0"/>
    <n v="3"/>
  </r>
  <r>
    <n v="34"/>
    <x v="1"/>
    <x v="1"/>
    <s v="Travel_Rarely"/>
    <x v="0"/>
    <s v="Life Sciences"/>
    <x v="0"/>
    <n v="621"/>
    <n v="21"/>
    <x v="2"/>
    <s v="Male"/>
    <n v="2"/>
    <x v="0"/>
    <x v="0"/>
    <n v="5337"/>
    <n v="19921"/>
    <n v="1"/>
    <x v="1"/>
    <n v="3"/>
    <n v="4"/>
    <n v="80"/>
    <n v="10"/>
    <x v="1"/>
    <x v="1"/>
    <n v="10"/>
    <x v="1"/>
    <n v="5"/>
    <n v="7"/>
  </r>
  <r>
    <n v="26"/>
    <x v="2"/>
    <x v="0"/>
    <s v="Travel_Rarely"/>
    <x v="1"/>
    <s v="Technical Degree"/>
    <x v="2"/>
    <n v="622"/>
    <n v="24"/>
    <x v="1"/>
    <s v="Male"/>
    <n v="1"/>
    <x v="0"/>
    <x v="0"/>
    <n v="2340"/>
    <n v="23213"/>
    <n v="1"/>
    <x v="0"/>
    <n v="3"/>
    <n v="2"/>
    <n v="80"/>
    <n v="1"/>
    <x v="1"/>
    <x v="0"/>
    <n v="1"/>
    <x v="2"/>
    <n v="0"/>
    <n v="0"/>
  </r>
  <r>
    <n v="37"/>
    <x v="1"/>
    <x v="1"/>
    <s v="Travel_Rarely"/>
    <x v="1"/>
    <s v="Technical Degree"/>
    <x v="3"/>
    <n v="623"/>
    <n v="1"/>
    <x v="0"/>
    <s v="Female"/>
    <n v="3"/>
    <x v="0"/>
    <x v="0"/>
    <n v="7491"/>
    <n v="23848"/>
    <n v="4"/>
    <x v="1"/>
    <n v="3"/>
    <n v="4"/>
    <n v="80"/>
    <n v="12"/>
    <x v="1"/>
    <x v="3"/>
    <n v="6"/>
    <x v="4"/>
    <n v="1"/>
    <n v="2"/>
  </r>
  <r>
    <n v="46"/>
    <x v="0"/>
    <x v="1"/>
    <s v="Travel_Frequently"/>
    <x v="1"/>
    <s v="Medical"/>
    <x v="4"/>
    <n v="624"/>
    <n v="18"/>
    <x v="3"/>
    <s v="Female"/>
    <n v="3"/>
    <x v="2"/>
    <x v="1"/>
    <n v="10527"/>
    <n v="8984"/>
    <n v="5"/>
    <x v="1"/>
    <n v="3"/>
    <n v="4"/>
    <n v="80"/>
    <n v="28"/>
    <x v="1"/>
    <x v="2"/>
    <n v="2"/>
    <x v="3"/>
    <n v="1"/>
    <n v="2"/>
  </r>
  <r>
    <n v="41"/>
    <x v="0"/>
    <x v="1"/>
    <s v="Travel_Rarely"/>
    <x v="0"/>
    <s v="Life Sciences"/>
    <x v="5"/>
    <n v="625"/>
    <n v="2"/>
    <x v="0"/>
    <s v="Female"/>
    <n v="4"/>
    <x v="3"/>
    <x v="1"/>
    <n v="16595"/>
    <n v="5626"/>
    <n v="7"/>
    <x v="1"/>
    <n v="3"/>
    <n v="2"/>
    <n v="80"/>
    <n v="22"/>
    <x v="2"/>
    <x v="1"/>
    <n v="18"/>
    <x v="13"/>
    <n v="11"/>
    <n v="8"/>
  </r>
  <r>
    <n v="37"/>
    <x v="1"/>
    <x v="1"/>
    <s v="Non-Travel"/>
    <x v="0"/>
    <s v="Medical"/>
    <x v="0"/>
    <n v="626"/>
    <n v="9"/>
    <x v="3"/>
    <s v="Male"/>
    <n v="3"/>
    <x v="1"/>
    <x v="2"/>
    <n v="8834"/>
    <n v="24666"/>
    <n v="1"/>
    <x v="1"/>
    <n v="3"/>
    <n v="4"/>
    <n v="80"/>
    <n v="9"/>
    <x v="6"/>
    <x v="1"/>
    <n v="9"/>
    <x v="4"/>
    <n v="7"/>
    <n v="7"/>
  </r>
  <r>
    <n v="52"/>
    <x v="3"/>
    <x v="1"/>
    <s v="Travel_Rarely"/>
    <x v="1"/>
    <s v="Technical Degree"/>
    <x v="1"/>
    <n v="630"/>
    <n v="6"/>
    <x v="2"/>
    <s v="Male"/>
    <n v="2"/>
    <x v="3"/>
    <x v="2"/>
    <n v="5577"/>
    <n v="22087"/>
    <n v="3"/>
    <x v="0"/>
    <n v="3"/>
    <n v="2"/>
    <n v="80"/>
    <n v="18"/>
    <x v="1"/>
    <x v="1"/>
    <n v="10"/>
    <x v="5"/>
    <n v="6"/>
    <n v="9"/>
  </r>
  <r>
    <n v="32"/>
    <x v="1"/>
    <x v="0"/>
    <s v="Non-Travel"/>
    <x v="0"/>
    <s v="Other"/>
    <x v="0"/>
    <n v="631"/>
    <n v="11"/>
    <x v="2"/>
    <s v="Male"/>
    <n v="2"/>
    <x v="2"/>
    <x v="1"/>
    <n v="4707"/>
    <n v="23914"/>
    <n v="8"/>
    <x v="1"/>
    <n v="3"/>
    <n v="4"/>
    <n v="80"/>
    <n v="6"/>
    <x v="2"/>
    <x v="1"/>
    <n v="4"/>
    <x v="3"/>
    <n v="1"/>
    <n v="2"/>
  </r>
  <r>
    <n v="24"/>
    <x v="2"/>
    <x v="1"/>
    <s v="Travel_Frequently"/>
    <x v="0"/>
    <s v="Medical"/>
    <x v="6"/>
    <n v="632"/>
    <n v="24"/>
    <x v="2"/>
    <s v="Male"/>
    <n v="1"/>
    <x v="0"/>
    <x v="1"/>
    <n v="2400"/>
    <n v="5530"/>
    <n v="0"/>
    <x v="1"/>
    <n v="3"/>
    <n v="3"/>
    <n v="80"/>
    <n v="3"/>
    <x v="1"/>
    <x v="1"/>
    <n v="2"/>
    <x v="3"/>
    <n v="2"/>
    <n v="1"/>
  </r>
  <r>
    <n v="38"/>
    <x v="1"/>
    <x v="1"/>
    <s v="Travel_Rarely"/>
    <x v="1"/>
    <s v="Medical"/>
    <x v="4"/>
    <n v="634"/>
    <n v="10"/>
    <x v="1"/>
    <s v="Female"/>
    <n v="2"/>
    <x v="2"/>
    <x v="1"/>
    <n v="9824"/>
    <n v="22174"/>
    <n v="3"/>
    <x v="1"/>
    <n v="3"/>
    <n v="3"/>
    <n v="80"/>
    <n v="18"/>
    <x v="5"/>
    <x v="1"/>
    <n v="1"/>
    <x v="2"/>
    <n v="0"/>
    <n v="0"/>
  </r>
  <r>
    <n v="37"/>
    <x v="1"/>
    <x v="1"/>
    <s v="Travel_Rarely"/>
    <x v="1"/>
    <s v="Life Sciences"/>
    <x v="3"/>
    <n v="635"/>
    <n v="1"/>
    <x v="0"/>
    <s v="Female"/>
    <n v="2"/>
    <x v="1"/>
    <x v="1"/>
    <n v="6447"/>
    <n v="15701"/>
    <n v="6"/>
    <x v="1"/>
    <n v="3"/>
    <n v="2"/>
    <n v="80"/>
    <n v="8"/>
    <x v="2"/>
    <x v="2"/>
    <n v="6"/>
    <x v="4"/>
    <n v="4"/>
    <n v="3"/>
  </r>
  <r>
    <n v="49"/>
    <x v="0"/>
    <x v="1"/>
    <s v="Travel_Rarely"/>
    <x v="1"/>
    <s v="Life Sciences"/>
    <x v="7"/>
    <n v="638"/>
    <n v="18"/>
    <x v="2"/>
    <s v="Male"/>
    <n v="5"/>
    <x v="2"/>
    <x v="2"/>
    <n v="19502"/>
    <n v="2125"/>
    <n v="1"/>
    <x v="0"/>
    <n v="3"/>
    <n v="3"/>
    <n v="80"/>
    <n v="31"/>
    <x v="3"/>
    <x v="1"/>
    <n v="31"/>
    <x v="5"/>
    <n v="0"/>
    <n v="9"/>
  </r>
  <r>
    <n v="24"/>
    <x v="2"/>
    <x v="1"/>
    <s v="Travel_Rarely"/>
    <x v="1"/>
    <s v="Medical"/>
    <x v="1"/>
    <n v="639"/>
    <n v="23"/>
    <x v="0"/>
    <s v="Male"/>
    <n v="1"/>
    <x v="0"/>
    <x v="1"/>
    <n v="2725"/>
    <n v="21630"/>
    <n v="1"/>
    <x v="0"/>
    <n v="3"/>
    <n v="2"/>
    <n v="80"/>
    <n v="6"/>
    <x v="1"/>
    <x v="1"/>
    <n v="6"/>
    <x v="4"/>
    <n v="1"/>
    <n v="4"/>
  </r>
  <r>
    <n v="26"/>
    <x v="2"/>
    <x v="1"/>
    <s v="Travel_Rarely"/>
    <x v="0"/>
    <s v="Marketing"/>
    <x v="0"/>
    <n v="641"/>
    <n v="28"/>
    <x v="3"/>
    <s v="Male"/>
    <n v="2"/>
    <x v="1"/>
    <x v="1"/>
    <n v="6272"/>
    <n v="7428"/>
    <n v="1"/>
    <x v="1"/>
    <n v="4"/>
    <n v="4"/>
    <n v="80"/>
    <n v="6"/>
    <x v="3"/>
    <x v="3"/>
    <n v="5"/>
    <x v="7"/>
    <n v="1"/>
    <n v="4"/>
  </r>
  <r>
    <n v="24"/>
    <x v="2"/>
    <x v="1"/>
    <s v="Travel_Rarely"/>
    <x v="1"/>
    <s v="Other"/>
    <x v="2"/>
    <n v="643"/>
    <n v="17"/>
    <x v="2"/>
    <s v="Male"/>
    <n v="1"/>
    <x v="1"/>
    <x v="1"/>
    <n v="2127"/>
    <n v="9100"/>
    <n v="1"/>
    <x v="1"/>
    <n v="4"/>
    <n v="4"/>
    <n v="80"/>
    <n v="1"/>
    <x v="2"/>
    <x v="1"/>
    <n v="1"/>
    <x v="2"/>
    <n v="0"/>
    <n v="0"/>
  </r>
  <r>
    <n v="50"/>
    <x v="0"/>
    <x v="1"/>
    <s v="Travel_Frequently"/>
    <x v="2"/>
    <s v="Medical"/>
    <x v="5"/>
    <n v="644"/>
    <n v="3"/>
    <x v="3"/>
    <s v="Male"/>
    <n v="5"/>
    <x v="1"/>
    <x v="1"/>
    <n v="18200"/>
    <n v="7999"/>
    <n v="1"/>
    <x v="1"/>
    <n v="3"/>
    <n v="3"/>
    <n v="80"/>
    <n v="32"/>
    <x v="2"/>
    <x v="1"/>
    <n v="32"/>
    <x v="4"/>
    <n v="10"/>
    <n v="7"/>
  </r>
  <r>
    <n v="25"/>
    <x v="2"/>
    <x v="1"/>
    <s v="Travel_Rarely"/>
    <x v="0"/>
    <s v="Medical"/>
    <x v="6"/>
    <n v="645"/>
    <n v="13"/>
    <x v="0"/>
    <s v="Male"/>
    <n v="1"/>
    <x v="2"/>
    <x v="1"/>
    <n v="2096"/>
    <n v="26376"/>
    <n v="1"/>
    <x v="1"/>
    <n v="3"/>
    <n v="3"/>
    <n v="80"/>
    <n v="7"/>
    <x v="4"/>
    <x v="1"/>
    <n v="7"/>
    <x v="0"/>
    <n v="0"/>
    <n v="6"/>
  </r>
  <r>
    <n v="24"/>
    <x v="2"/>
    <x v="0"/>
    <s v="Travel_Frequently"/>
    <x v="1"/>
    <s v="Life Sciences"/>
    <x v="2"/>
    <n v="647"/>
    <n v="7"/>
    <x v="3"/>
    <s v="Female"/>
    <n v="1"/>
    <x v="2"/>
    <x v="1"/>
    <n v="2886"/>
    <n v="14168"/>
    <n v="1"/>
    <x v="0"/>
    <n v="3"/>
    <n v="4"/>
    <n v="80"/>
    <n v="6"/>
    <x v="5"/>
    <x v="1"/>
    <n v="6"/>
    <x v="7"/>
    <n v="1"/>
    <n v="2"/>
  </r>
  <r>
    <n v="30"/>
    <x v="2"/>
    <x v="0"/>
    <s v="Travel_Frequently"/>
    <x v="0"/>
    <s v="Life Sciences"/>
    <x v="6"/>
    <n v="648"/>
    <n v="12"/>
    <x v="0"/>
    <s v="Male"/>
    <n v="1"/>
    <x v="3"/>
    <x v="1"/>
    <n v="2033"/>
    <n v="14470"/>
    <n v="1"/>
    <x v="1"/>
    <n v="3"/>
    <n v="3"/>
    <n v="80"/>
    <n v="1"/>
    <x v="2"/>
    <x v="3"/>
    <n v="1"/>
    <x v="2"/>
    <n v="0"/>
    <n v="0"/>
  </r>
  <r>
    <n v="34"/>
    <x v="1"/>
    <x v="1"/>
    <s v="Travel_Rarely"/>
    <x v="1"/>
    <s v="Life Sciences"/>
    <x v="1"/>
    <n v="649"/>
    <n v="1"/>
    <x v="0"/>
    <s v="Male"/>
    <n v="1"/>
    <x v="0"/>
    <x v="1"/>
    <n v="3622"/>
    <n v="22794"/>
    <n v="1"/>
    <x v="0"/>
    <n v="3"/>
    <n v="4"/>
    <n v="80"/>
    <n v="6"/>
    <x v="1"/>
    <x v="1"/>
    <n v="6"/>
    <x v="4"/>
    <n v="1"/>
    <n v="3"/>
  </r>
  <r>
    <n v="31"/>
    <x v="1"/>
    <x v="0"/>
    <s v="Travel_Rarely"/>
    <x v="0"/>
    <s v="Medical"/>
    <x v="0"/>
    <n v="650"/>
    <n v="13"/>
    <x v="0"/>
    <s v="Male"/>
    <n v="2"/>
    <x v="3"/>
    <x v="2"/>
    <n v="4233"/>
    <n v="11512"/>
    <n v="2"/>
    <x v="1"/>
    <n v="3"/>
    <n v="3"/>
    <n v="80"/>
    <n v="9"/>
    <x v="2"/>
    <x v="0"/>
    <n v="3"/>
    <x v="10"/>
    <n v="1"/>
    <n v="2"/>
  </r>
  <r>
    <n v="35"/>
    <x v="1"/>
    <x v="1"/>
    <s v="Travel_Rarely"/>
    <x v="1"/>
    <s v="Other"/>
    <x v="2"/>
    <n v="652"/>
    <n v="25"/>
    <x v="3"/>
    <s v="Male"/>
    <n v="2"/>
    <x v="0"/>
    <x v="0"/>
    <n v="3681"/>
    <n v="14004"/>
    <n v="4"/>
    <x v="1"/>
    <n v="3"/>
    <n v="4"/>
    <n v="80"/>
    <n v="9"/>
    <x v="1"/>
    <x v="1"/>
    <n v="3"/>
    <x v="3"/>
    <n v="0"/>
    <n v="2"/>
  </r>
  <r>
    <n v="31"/>
    <x v="1"/>
    <x v="1"/>
    <s v="Travel_Rarely"/>
    <x v="0"/>
    <s v="Medical"/>
    <x v="0"/>
    <n v="653"/>
    <n v="6"/>
    <x v="3"/>
    <s v="Male"/>
    <n v="2"/>
    <x v="0"/>
    <x v="2"/>
    <n v="5460"/>
    <n v="6219"/>
    <n v="4"/>
    <x v="1"/>
    <n v="4"/>
    <n v="4"/>
    <n v="80"/>
    <n v="13"/>
    <x v="5"/>
    <x v="3"/>
    <n v="7"/>
    <x v="1"/>
    <n v="5"/>
    <n v="7"/>
  </r>
  <r>
    <n v="27"/>
    <x v="2"/>
    <x v="1"/>
    <s v="Travel_Rarely"/>
    <x v="1"/>
    <s v="Medical"/>
    <x v="1"/>
    <n v="655"/>
    <n v="6"/>
    <x v="3"/>
    <s v="Female"/>
    <n v="1"/>
    <x v="2"/>
    <x v="2"/>
    <n v="2187"/>
    <n v="5013"/>
    <n v="0"/>
    <x v="1"/>
    <n v="3"/>
    <n v="3"/>
    <n v="80"/>
    <n v="6"/>
    <x v="3"/>
    <x v="2"/>
    <n v="5"/>
    <x v="7"/>
    <n v="0"/>
    <n v="3"/>
  </r>
  <r>
    <n v="37"/>
    <x v="1"/>
    <x v="1"/>
    <s v="Travel_Rarely"/>
    <x v="0"/>
    <s v="Marketing"/>
    <x v="0"/>
    <n v="656"/>
    <n v="2"/>
    <x v="2"/>
    <s v="Male"/>
    <n v="2"/>
    <x v="2"/>
    <x v="1"/>
    <n v="9602"/>
    <n v="3010"/>
    <n v="4"/>
    <x v="0"/>
    <n v="3"/>
    <n v="3"/>
    <n v="80"/>
    <n v="17"/>
    <x v="1"/>
    <x v="2"/>
    <n v="3"/>
    <x v="2"/>
    <n v="1"/>
    <n v="0"/>
  </r>
  <r>
    <n v="20"/>
    <x v="4"/>
    <x v="1"/>
    <s v="Travel_Rarely"/>
    <x v="1"/>
    <s v="Life Sciences"/>
    <x v="1"/>
    <n v="657"/>
    <n v="1"/>
    <x v="2"/>
    <s v="Female"/>
    <n v="1"/>
    <x v="1"/>
    <x v="0"/>
    <n v="2836"/>
    <n v="11757"/>
    <n v="1"/>
    <x v="1"/>
    <n v="3"/>
    <n v="4"/>
    <n v="80"/>
    <n v="1"/>
    <x v="0"/>
    <x v="3"/>
    <n v="1"/>
    <x v="2"/>
    <n v="0"/>
    <n v="0"/>
  </r>
  <r>
    <n v="42"/>
    <x v="0"/>
    <x v="1"/>
    <s v="Travel_Rarely"/>
    <x v="1"/>
    <s v="Life Sciences"/>
    <x v="4"/>
    <n v="659"/>
    <n v="2"/>
    <x v="1"/>
    <s v="Female"/>
    <n v="2"/>
    <x v="0"/>
    <x v="1"/>
    <n v="4089"/>
    <n v="5718"/>
    <n v="1"/>
    <x v="1"/>
    <n v="3"/>
    <n v="2"/>
    <n v="80"/>
    <n v="10"/>
    <x v="5"/>
    <x v="1"/>
    <n v="10"/>
    <x v="3"/>
    <n v="2"/>
    <n v="2"/>
  </r>
  <r>
    <n v="43"/>
    <x v="0"/>
    <x v="1"/>
    <s v="Travel_Rarely"/>
    <x v="1"/>
    <s v="Other"/>
    <x v="7"/>
    <n v="661"/>
    <n v="6"/>
    <x v="0"/>
    <s v="Male"/>
    <n v="4"/>
    <x v="0"/>
    <x v="2"/>
    <n v="16627"/>
    <n v="2671"/>
    <n v="4"/>
    <x v="0"/>
    <n v="3"/>
    <n v="3"/>
    <n v="80"/>
    <n v="21"/>
    <x v="1"/>
    <x v="2"/>
    <n v="1"/>
    <x v="2"/>
    <n v="0"/>
    <n v="0"/>
  </r>
  <r>
    <n v="38"/>
    <x v="1"/>
    <x v="1"/>
    <s v="Travel_Rarely"/>
    <x v="1"/>
    <s v="Life Sciences"/>
    <x v="1"/>
    <n v="662"/>
    <n v="1"/>
    <x v="1"/>
    <s v="Female"/>
    <n v="1"/>
    <x v="3"/>
    <x v="0"/>
    <n v="2619"/>
    <n v="14561"/>
    <n v="3"/>
    <x v="1"/>
    <n v="3"/>
    <n v="4"/>
    <n v="80"/>
    <n v="8"/>
    <x v="1"/>
    <x v="2"/>
    <n v="0"/>
    <x v="2"/>
    <n v="0"/>
    <n v="0"/>
  </r>
  <r>
    <n v="43"/>
    <x v="0"/>
    <x v="1"/>
    <s v="Travel_Frequently"/>
    <x v="1"/>
    <s v="Medical"/>
    <x v="2"/>
    <n v="663"/>
    <n v="9"/>
    <x v="2"/>
    <s v="Male"/>
    <n v="2"/>
    <x v="2"/>
    <x v="2"/>
    <n v="5679"/>
    <n v="19627"/>
    <n v="3"/>
    <x v="0"/>
    <n v="3"/>
    <n v="2"/>
    <n v="80"/>
    <n v="10"/>
    <x v="1"/>
    <x v="1"/>
    <n v="8"/>
    <x v="1"/>
    <n v="4"/>
    <n v="7"/>
  </r>
  <r>
    <n v="48"/>
    <x v="0"/>
    <x v="1"/>
    <s v="Travel_Rarely"/>
    <x v="1"/>
    <s v="Life Sciences"/>
    <x v="5"/>
    <n v="664"/>
    <n v="1"/>
    <x v="2"/>
    <s v="Female"/>
    <n v="4"/>
    <x v="3"/>
    <x v="1"/>
    <n v="15402"/>
    <n v="17997"/>
    <n v="7"/>
    <x v="1"/>
    <n v="3"/>
    <n v="1"/>
    <n v="80"/>
    <n v="21"/>
    <x v="1"/>
    <x v="0"/>
    <n v="3"/>
    <x v="3"/>
    <n v="0"/>
    <n v="2"/>
  </r>
  <r>
    <n v="44"/>
    <x v="0"/>
    <x v="1"/>
    <s v="Travel_Rarely"/>
    <x v="2"/>
    <s v="Life Sciences"/>
    <x v="8"/>
    <n v="665"/>
    <n v="1"/>
    <x v="3"/>
    <s v="Female"/>
    <n v="2"/>
    <x v="2"/>
    <x v="0"/>
    <n v="5985"/>
    <n v="26894"/>
    <n v="4"/>
    <x v="1"/>
    <n v="3"/>
    <n v="2"/>
    <n v="80"/>
    <n v="10"/>
    <x v="4"/>
    <x v="3"/>
    <n v="2"/>
    <x v="3"/>
    <n v="0"/>
    <n v="2"/>
  </r>
  <r>
    <n v="34"/>
    <x v="1"/>
    <x v="1"/>
    <s v="Travel_Rarely"/>
    <x v="0"/>
    <s v="Technical Degree"/>
    <x v="6"/>
    <n v="666"/>
    <n v="14"/>
    <x v="1"/>
    <s v="Female"/>
    <n v="1"/>
    <x v="2"/>
    <x v="2"/>
    <n v="2579"/>
    <n v="2912"/>
    <n v="1"/>
    <x v="0"/>
    <n v="3"/>
    <n v="4"/>
    <n v="80"/>
    <n v="8"/>
    <x v="1"/>
    <x v="1"/>
    <n v="8"/>
    <x v="3"/>
    <n v="0"/>
    <n v="6"/>
  </r>
  <r>
    <n v="27"/>
    <x v="2"/>
    <x v="0"/>
    <s v="Travel_Rarely"/>
    <x v="0"/>
    <s v="Marketing"/>
    <x v="6"/>
    <n v="667"/>
    <n v="2"/>
    <x v="1"/>
    <s v="Male"/>
    <n v="1"/>
    <x v="3"/>
    <x v="2"/>
    <n v="3041"/>
    <n v="16346"/>
    <n v="0"/>
    <x v="1"/>
    <n v="3"/>
    <n v="2"/>
    <n v="80"/>
    <n v="5"/>
    <x v="1"/>
    <x v="1"/>
    <n v="4"/>
    <x v="7"/>
    <n v="0"/>
    <n v="2"/>
  </r>
  <r>
    <n v="21"/>
    <x v="2"/>
    <x v="1"/>
    <s v="Travel_Rarely"/>
    <x v="0"/>
    <s v="Technical Degree"/>
    <x v="6"/>
    <n v="669"/>
    <n v="22"/>
    <x v="1"/>
    <s v="Male"/>
    <n v="1"/>
    <x v="2"/>
    <x v="0"/>
    <n v="3447"/>
    <n v="24444"/>
    <n v="1"/>
    <x v="1"/>
    <n v="3"/>
    <n v="3"/>
    <n v="80"/>
    <n v="3"/>
    <x v="2"/>
    <x v="1"/>
    <n v="3"/>
    <x v="3"/>
    <n v="1"/>
    <n v="2"/>
  </r>
  <r>
    <n v="44"/>
    <x v="0"/>
    <x v="1"/>
    <s v="Travel_Rarely"/>
    <x v="1"/>
    <s v="Other"/>
    <x v="5"/>
    <n v="671"/>
    <n v="3"/>
    <x v="2"/>
    <s v="Male"/>
    <n v="5"/>
    <x v="0"/>
    <x v="1"/>
    <n v="19513"/>
    <n v="9358"/>
    <n v="4"/>
    <x v="0"/>
    <n v="3"/>
    <n v="1"/>
    <n v="80"/>
    <n v="26"/>
    <x v="2"/>
    <x v="3"/>
    <n v="2"/>
    <x v="3"/>
    <n v="0"/>
    <n v="1"/>
  </r>
  <r>
    <n v="22"/>
    <x v="2"/>
    <x v="1"/>
    <s v="Travel_Rarely"/>
    <x v="1"/>
    <s v="Medical"/>
    <x v="1"/>
    <n v="675"/>
    <n v="6"/>
    <x v="3"/>
    <s v="Male"/>
    <n v="1"/>
    <x v="2"/>
    <x v="1"/>
    <n v="2773"/>
    <n v="12145"/>
    <n v="0"/>
    <x v="1"/>
    <n v="4"/>
    <n v="4"/>
    <n v="80"/>
    <n v="3"/>
    <x v="1"/>
    <x v="1"/>
    <n v="2"/>
    <x v="3"/>
    <n v="2"/>
    <n v="2"/>
  </r>
  <r>
    <n v="33"/>
    <x v="1"/>
    <x v="1"/>
    <s v="Travel_Rarely"/>
    <x v="0"/>
    <s v="Marketing"/>
    <x v="0"/>
    <n v="677"/>
    <n v="8"/>
    <x v="1"/>
    <s v="Male"/>
    <n v="2"/>
    <x v="2"/>
    <x v="2"/>
    <n v="7104"/>
    <n v="20431"/>
    <n v="0"/>
    <x v="1"/>
    <n v="3"/>
    <n v="4"/>
    <n v="80"/>
    <n v="6"/>
    <x v="1"/>
    <x v="1"/>
    <n v="5"/>
    <x v="2"/>
    <n v="1"/>
    <n v="2"/>
  </r>
  <r>
    <n v="32"/>
    <x v="1"/>
    <x v="1"/>
    <s v="Travel_Rarely"/>
    <x v="1"/>
    <s v="Life Sciences"/>
    <x v="1"/>
    <n v="679"/>
    <n v="9"/>
    <x v="3"/>
    <s v="Female"/>
    <n v="2"/>
    <x v="0"/>
    <x v="1"/>
    <n v="6322"/>
    <n v="18089"/>
    <n v="1"/>
    <x v="0"/>
    <n v="3"/>
    <n v="4"/>
    <n v="80"/>
    <n v="6"/>
    <x v="2"/>
    <x v="2"/>
    <n v="6"/>
    <x v="0"/>
    <n v="0"/>
    <n v="5"/>
  </r>
  <r>
    <n v="30"/>
    <x v="2"/>
    <x v="1"/>
    <s v="Travel_Frequently"/>
    <x v="1"/>
    <s v="Medical"/>
    <x v="1"/>
    <n v="680"/>
    <n v="3"/>
    <x v="1"/>
    <s v="Female"/>
    <n v="1"/>
    <x v="2"/>
    <x v="2"/>
    <n v="2083"/>
    <n v="22653"/>
    <n v="1"/>
    <x v="1"/>
    <n v="4"/>
    <n v="3"/>
    <n v="80"/>
    <n v="1"/>
    <x v="2"/>
    <x v="1"/>
    <n v="1"/>
    <x v="2"/>
    <n v="0"/>
    <n v="0"/>
  </r>
  <r>
    <n v="53"/>
    <x v="3"/>
    <x v="1"/>
    <s v="Travel_Rarely"/>
    <x v="0"/>
    <s v="Medical"/>
    <x v="0"/>
    <n v="682"/>
    <n v="1"/>
    <x v="2"/>
    <s v="Female"/>
    <n v="2"/>
    <x v="3"/>
    <x v="0"/>
    <n v="8381"/>
    <n v="7507"/>
    <n v="7"/>
    <x v="1"/>
    <n v="4"/>
    <n v="4"/>
    <n v="80"/>
    <n v="18"/>
    <x v="2"/>
    <x v="3"/>
    <n v="14"/>
    <x v="1"/>
    <n v="8"/>
    <n v="10"/>
  </r>
  <r>
    <n v="34"/>
    <x v="1"/>
    <x v="1"/>
    <s v="Travel_Rarely"/>
    <x v="1"/>
    <s v="Life Sciences"/>
    <x v="1"/>
    <n v="683"/>
    <n v="1"/>
    <x v="0"/>
    <s v="Male"/>
    <n v="1"/>
    <x v="0"/>
    <x v="1"/>
    <n v="2691"/>
    <n v="7660"/>
    <n v="1"/>
    <x v="1"/>
    <n v="3"/>
    <n v="4"/>
    <n v="80"/>
    <n v="10"/>
    <x v="5"/>
    <x v="2"/>
    <n v="10"/>
    <x v="5"/>
    <n v="8"/>
    <n v="8"/>
  </r>
  <r>
    <n v="45"/>
    <x v="0"/>
    <x v="0"/>
    <s v="Travel_Frequently"/>
    <x v="0"/>
    <s v="Life Sciences"/>
    <x v="0"/>
    <n v="684"/>
    <n v="26"/>
    <x v="3"/>
    <s v="Female"/>
    <n v="2"/>
    <x v="3"/>
    <x v="1"/>
    <n v="4286"/>
    <n v="5630"/>
    <n v="2"/>
    <x v="1"/>
    <n v="3"/>
    <n v="4"/>
    <n v="80"/>
    <n v="5"/>
    <x v="5"/>
    <x v="1"/>
    <n v="1"/>
    <x v="10"/>
    <n v="0"/>
    <n v="0"/>
  </r>
  <r>
    <n v="26"/>
    <x v="2"/>
    <x v="1"/>
    <s v="Travel_Rarely"/>
    <x v="1"/>
    <s v="Life Sciences"/>
    <x v="2"/>
    <n v="686"/>
    <n v="6"/>
    <x v="1"/>
    <s v="Female"/>
    <n v="1"/>
    <x v="0"/>
    <x v="1"/>
    <n v="2659"/>
    <n v="17759"/>
    <n v="1"/>
    <x v="0"/>
    <n v="3"/>
    <n v="3"/>
    <n v="80"/>
    <n v="3"/>
    <x v="2"/>
    <x v="1"/>
    <n v="3"/>
    <x v="3"/>
    <n v="0"/>
    <n v="2"/>
  </r>
  <r>
    <n v="37"/>
    <x v="1"/>
    <x v="1"/>
    <s v="Travel_Rarely"/>
    <x v="1"/>
    <s v="Other"/>
    <x v="3"/>
    <n v="689"/>
    <n v="3"/>
    <x v="1"/>
    <s v="Male"/>
    <n v="3"/>
    <x v="2"/>
    <x v="1"/>
    <n v="9434"/>
    <n v="9606"/>
    <n v="1"/>
    <x v="1"/>
    <n v="3"/>
    <n v="3"/>
    <n v="80"/>
    <n v="10"/>
    <x v="2"/>
    <x v="1"/>
    <n v="10"/>
    <x v="1"/>
    <n v="7"/>
    <n v="8"/>
  </r>
  <r>
    <n v="29"/>
    <x v="2"/>
    <x v="1"/>
    <s v="Travel_Rarely"/>
    <x v="0"/>
    <s v="Medical"/>
    <x v="0"/>
    <n v="690"/>
    <n v="3"/>
    <x v="0"/>
    <s v="Female"/>
    <n v="2"/>
    <x v="2"/>
    <x v="1"/>
    <n v="5561"/>
    <n v="3487"/>
    <n v="1"/>
    <x v="1"/>
    <n v="3"/>
    <n v="1"/>
    <n v="80"/>
    <n v="6"/>
    <x v="3"/>
    <x v="2"/>
    <n v="6"/>
    <x v="2"/>
    <n v="1"/>
    <n v="2"/>
  </r>
  <r>
    <n v="35"/>
    <x v="1"/>
    <x v="1"/>
    <s v="Travel_Rarely"/>
    <x v="1"/>
    <s v="Life Sciences"/>
    <x v="1"/>
    <n v="691"/>
    <n v="6"/>
    <x v="0"/>
    <s v="Male"/>
    <n v="2"/>
    <x v="0"/>
    <x v="0"/>
    <n v="6646"/>
    <n v="19368"/>
    <n v="1"/>
    <x v="1"/>
    <n v="3"/>
    <n v="2"/>
    <n v="80"/>
    <n v="17"/>
    <x v="1"/>
    <x v="1"/>
    <n v="17"/>
    <x v="14"/>
    <n v="11"/>
    <n v="8"/>
  </r>
  <r>
    <n v="33"/>
    <x v="1"/>
    <x v="1"/>
    <s v="Travel_Frequently"/>
    <x v="1"/>
    <s v="Life Sciences"/>
    <x v="4"/>
    <n v="692"/>
    <n v="6"/>
    <x v="1"/>
    <s v="Male"/>
    <n v="2"/>
    <x v="0"/>
    <x v="2"/>
    <n v="7725"/>
    <n v="5335"/>
    <n v="3"/>
    <x v="1"/>
    <n v="4"/>
    <n v="3"/>
    <n v="80"/>
    <n v="15"/>
    <x v="2"/>
    <x v="0"/>
    <n v="13"/>
    <x v="14"/>
    <n v="4"/>
    <n v="7"/>
  </r>
  <r>
    <n v="54"/>
    <x v="3"/>
    <x v="1"/>
    <s v="Travel_Rarely"/>
    <x v="2"/>
    <s v="Medical"/>
    <x v="8"/>
    <n v="698"/>
    <n v="19"/>
    <x v="1"/>
    <s v="Male"/>
    <n v="3"/>
    <x v="1"/>
    <x v="1"/>
    <n v="10725"/>
    <n v="6729"/>
    <n v="2"/>
    <x v="1"/>
    <n v="3"/>
    <n v="3"/>
    <n v="80"/>
    <n v="16"/>
    <x v="4"/>
    <x v="3"/>
    <n v="9"/>
    <x v="1"/>
    <n v="7"/>
    <n v="1"/>
  </r>
  <r>
    <n v="36"/>
    <x v="1"/>
    <x v="1"/>
    <s v="Travel_Rarely"/>
    <x v="1"/>
    <s v="Medical"/>
    <x v="3"/>
    <n v="699"/>
    <n v="9"/>
    <x v="0"/>
    <s v="Male"/>
    <n v="2"/>
    <x v="1"/>
    <x v="2"/>
    <n v="8847"/>
    <n v="13934"/>
    <n v="2"/>
    <x v="0"/>
    <n v="3"/>
    <n v="3"/>
    <n v="80"/>
    <n v="13"/>
    <x v="2"/>
    <x v="1"/>
    <n v="3"/>
    <x v="3"/>
    <n v="0"/>
    <n v="2"/>
  </r>
  <r>
    <n v="27"/>
    <x v="2"/>
    <x v="1"/>
    <s v="Travel_Rarely"/>
    <x v="1"/>
    <s v="Medical"/>
    <x v="1"/>
    <n v="700"/>
    <n v="3"/>
    <x v="3"/>
    <s v="Male"/>
    <n v="1"/>
    <x v="0"/>
    <x v="0"/>
    <n v="2045"/>
    <n v="15174"/>
    <n v="0"/>
    <x v="1"/>
    <n v="3"/>
    <n v="4"/>
    <n v="80"/>
    <n v="5"/>
    <x v="0"/>
    <x v="1"/>
    <n v="4"/>
    <x v="3"/>
    <n v="1"/>
    <n v="1"/>
  </r>
  <r>
    <n v="20"/>
    <x v="4"/>
    <x v="0"/>
    <s v="Travel_Rarely"/>
    <x v="1"/>
    <s v="Medical"/>
    <x v="1"/>
    <n v="701"/>
    <n v="10"/>
    <x v="2"/>
    <s v="Male"/>
    <n v="1"/>
    <x v="2"/>
    <x v="0"/>
    <n v="1009"/>
    <n v="26999"/>
    <n v="1"/>
    <x v="0"/>
    <n v="3"/>
    <n v="4"/>
    <n v="80"/>
    <n v="1"/>
    <x v="3"/>
    <x v="1"/>
    <n v="1"/>
    <x v="2"/>
    <n v="1"/>
    <n v="1"/>
  </r>
  <r>
    <n v="33"/>
    <x v="1"/>
    <x v="0"/>
    <s v="Travel_Frequently"/>
    <x v="1"/>
    <s v="Life Sciences"/>
    <x v="1"/>
    <n v="702"/>
    <n v="3"/>
    <x v="3"/>
    <s v="Male"/>
    <n v="1"/>
    <x v="3"/>
    <x v="0"/>
    <n v="3348"/>
    <n v="3164"/>
    <n v="1"/>
    <x v="0"/>
    <n v="3"/>
    <n v="1"/>
    <n v="80"/>
    <n v="10"/>
    <x v="1"/>
    <x v="1"/>
    <n v="10"/>
    <x v="6"/>
    <n v="9"/>
    <n v="7"/>
  </r>
  <r>
    <n v="35"/>
    <x v="1"/>
    <x v="1"/>
    <s v="Non-Travel"/>
    <x v="1"/>
    <s v="Life Sciences"/>
    <x v="2"/>
    <n v="704"/>
    <n v="3"/>
    <x v="1"/>
    <s v="Male"/>
    <n v="1"/>
    <x v="2"/>
    <x v="1"/>
    <n v="1281"/>
    <n v="16900"/>
    <n v="1"/>
    <x v="1"/>
    <n v="3"/>
    <n v="3"/>
    <n v="80"/>
    <n v="1"/>
    <x v="1"/>
    <x v="1"/>
    <n v="1"/>
    <x v="2"/>
    <n v="0"/>
    <n v="0"/>
  </r>
  <r>
    <n v="23"/>
    <x v="2"/>
    <x v="1"/>
    <s v="Travel_Rarely"/>
    <x v="1"/>
    <s v="Medical"/>
    <x v="1"/>
    <n v="705"/>
    <n v="4"/>
    <x v="3"/>
    <s v="Male"/>
    <n v="1"/>
    <x v="3"/>
    <x v="1"/>
    <n v="2819"/>
    <n v="8544"/>
    <n v="2"/>
    <x v="1"/>
    <n v="3"/>
    <n v="1"/>
    <n v="80"/>
    <n v="5"/>
    <x v="1"/>
    <x v="3"/>
    <n v="3"/>
    <x v="3"/>
    <n v="0"/>
    <n v="2"/>
  </r>
  <r>
    <n v="25"/>
    <x v="2"/>
    <x v="1"/>
    <s v="Travel_Rarely"/>
    <x v="0"/>
    <s v="Life Sciences"/>
    <x v="0"/>
    <n v="707"/>
    <n v="8"/>
    <x v="2"/>
    <s v="Male"/>
    <n v="2"/>
    <x v="1"/>
    <x v="1"/>
    <n v="4851"/>
    <n v="15678"/>
    <n v="0"/>
    <x v="1"/>
    <n v="4"/>
    <n v="3"/>
    <n v="80"/>
    <n v="4"/>
    <x v="5"/>
    <x v="1"/>
    <n v="3"/>
    <x v="3"/>
    <n v="1"/>
    <n v="2"/>
  </r>
  <r>
    <n v="38"/>
    <x v="1"/>
    <x v="1"/>
    <s v="Travel_Rarely"/>
    <x v="0"/>
    <s v="Marketing"/>
    <x v="0"/>
    <n v="709"/>
    <n v="7"/>
    <x v="2"/>
    <s v="Female"/>
    <n v="2"/>
    <x v="0"/>
    <x v="0"/>
    <n v="4028"/>
    <n v="7791"/>
    <n v="0"/>
    <x v="1"/>
    <n v="4"/>
    <n v="1"/>
    <n v="80"/>
    <n v="8"/>
    <x v="2"/>
    <x v="1"/>
    <n v="7"/>
    <x v="1"/>
    <n v="0"/>
    <n v="5"/>
  </r>
  <r>
    <n v="29"/>
    <x v="2"/>
    <x v="1"/>
    <s v="Travel_Frequently"/>
    <x v="1"/>
    <s v="Life Sciences"/>
    <x v="1"/>
    <n v="710"/>
    <n v="1"/>
    <x v="0"/>
    <s v="Male"/>
    <n v="1"/>
    <x v="0"/>
    <x v="2"/>
    <n v="2720"/>
    <n v="18959"/>
    <n v="1"/>
    <x v="1"/>
    <n v="3"/>
    <n v="4"/>
    <n v="80"/>
    <n v="10"/>
    <x v="3"/>
    <x v="1"/>
    <n v="10"/>
    <x v="1"/>
    <n v="2"/>
    <n v="8"/>
  </r>
  <r>
    <n v="48"/>
    <x v="0"/>
    <x v="1"/>
    <s v="Travel_Rarely"/>
    <x v="0"/>
    <s v="Marketing"/>
    <x v="0"/>
    <n v="712"/>
    <n v="2"/>
    <x v="0"/>
    <s v="Male"/>
    <n v="2"/>
    <x v="1"/>
    <x v="1"/>
    <n v="8120"/>
    <n v="18597"/>
    <n v="3"/>
    <x v="1"/>
    <n v="3"/>
    <n v="4"/>
    <n v="80"/>
    <n v="12"/>
    <x v="1"/>
    <x v="1"/>
    <n v="2"/>
    <x v="3"/>
    <n v="2"/>
    <n v="2"/>
  </r>
  <r>
    <n v="27"/>
    <x v="2"/>
    <x v="1"/>
    <s v="Travel_Frequently"/>
    <x v="0"/>
    <s v="Medical"/>
    <x v="0"/>
    <n v="714"/>
    <n v="3"/>
    <x v="2"/>
    <s v="Female"/>
    <n v="2"/>
    <x v="0"/>
    <x v="2"/>
    <n v="4647"/>
    <n v="16673"/>
    <n v="1"/>
    <x v="0"/>
    <n v="4"/>
    <n v="2"/>
    <n v="80"/>
    <n v="6"/>
    <x v="1"/>
    <x v="1"/>
    <n v="6"/>
    <x v="4"/>
    <n v="0"/>
    <n v="4"/>
  </r>
  <r>
    <n v="37"/>
    <x v="1"/>
    <x v="1"/>
    <s v="Travel_Rarely"/>
    <x v="1"/>
    <s v="Life Sciences"/>
    <x v="1"/>
    <n v="715"/>
    <n v="10"/>
    <x v="2"/>
    <s v="Male"/>
    <n v="1"/>
    <x v="0"/>
    <x v="0"/>
    <n v="4680"/>
    <n v="15232"/>
    <n v="3"/>
    <x v="1"/>
    <n v="3"/>
    <n v="1"/>
    <n v="80"/>
    <n v="4"/>
    <x v="2"/>
    <x v="1"/>
    <n v="1"/>
    <x v="2"/>
    <n v="0"/>
    <n v="0"/>
  </r>
  <r>
    <n v="50"/>
    <x v="0"/>
    <x v="1"/>
    <s v="Travel_Rarely"/>
    <x v="1"/>
    <s v="Medical"/>
    <x v="2"/>
    <n v="716"/>
    <n v="28"/>
    <x v="2"/>
    <s v="Male"/>
    <n v="1"/>
    <x v="2"/>
    <x v="1"/>
    <n v="3221"/>
    <n v="3297"/>
    <n v="1"/>
    <x v="0"/>
    <n v="3"/>
    <n v="3"/>
    <n v="80"/>
    <n v="20"/>
    <x v="1"/>
    <x v="1"/>
    <n v="20"/>
    <x v="6"/>
    <n v="3"/>
    <n v="8"/>
  </r>
  <r>
    <n v="34"/>
    <x v="1"/>
    <x v="1"/>
    <s v="Travel_Rarely"/>
    <x v="1"/>
    <s v="Medical"/>
    <x v="4"/>
    <n v="717"/>
    <n v="9"/>
    <x v="2"/>
    <s v="Female"/>
    <n v="3"/>
    <x v="1"/>
    <x v="0"/>
    <n v="8621"/>
    <n v="17654"/>
    <n v="1"/>
    <x v="1"/>
    <n v="3"/>
    <n v="2"/>
    <n v="80"/>
    <n v="9"/>
    <x v="1"/>
    <x v="3"/>
    <n v="8"/>
    <x v="1"/>
    <n v="7"/>
    <n v="7"/>
  </r>
  <r>
    <n v="24"/>
    <x v="2"/>
    <x v="0"/>
    <s v="Travel_Rarely"/>
    <x v="0"/>
    <s v="Life Sciences"/>
    <x v="0"/>
    <n v="720"/>
    <n v="3"/>
    <x v="3"/>
    <s v="Female"/>
    <n v="2"/>
    <x v="2"/>
    <x v="0"/>
    <n v="4577"/>
    <n v="24785"/>
    <n v="9"/>
    <x v="1"/>
    <n v="3"/>
    <n v="1"/>
    <n v="80"/>
    <n v="4"/>
    <x v="1"/>
    <x v="1"/>
    <n v="2"/>
    <x v="3"/>
    <n v="2"/>
    <n v="0"/>
  </r>
  <r>
    <n v="39"/>
    <x v="1"/>
    <x v="1"/>
    <s v="Travel_Rarely"/>
    <x v="1"/>
    <s v="Technical Degree"/>
    <x v="4"/>
    <n v="721"/>
    <n v="2"/>
    <x v="2"/>
    <s v="Female"/>
    <n v="2"/>
    <x v="2"/>
    <x v="0"/>
    <n v="4553"/>
    <n v="20978"/>
    <n v="1"/>
    <x v="1"/>
    <n v="3"/>
    <n v="1"/>
    <n v="80"/>
    <n v="20"/>
    <x v="5"/>
    <x v="1"/>
    <n v="20"/>
    <x v="1"/>
    <n v="11"/>
    <n v="10"/>
  </r>
  <r>
    <n v="32"/>
    <x v="1"/>
    <x v="1"/>
    <s v="Travel_Rarely"/>
    <x v="0"/>
    <s v="Marketing"/>
    <x v="0"/>
    <n v="722"/>
    <n v="10"/>
    <x v="2"/>
    <s v="Male"/>
    <n v="2"/>
    <x v="0"/>
    <x v="0"/>
    <n v="5396"/>
    <n v="21703"/>
    <n v="1"/>
    <x v="1"/>
    <n v="3"/>
    <n v="4"/>
    <n v="80"/>
    <n v="10"/>
    <x v="2"/>
    <x v="2"/>
    <n v="10"/>
    <x v="1"/>
    <n v="0"/>
    <n v="8"/>
  </r>
  <r>
    <n v="50"/>
    <x v="0"/>
    <x v="0"/>
    <s v="Travel_Frequently"/>
    <x v="0"/>
    <s v="Technical Degree"/>
    <x v="0"/>
    <n v="723"/>
    <n v="8"/>
    <x v="0"/>
    <s v="Male"/>
    <n v="2"/>
    <x v="2"/>
    <x v="1"/>
    <n v="6796"/>
    <n v="23452"/>
    <n v="3"/>
    <x v="0"/>
    <n v="3"/>
    <n v="1"/>
    <n v="80"/>
    <n v="18"/>
    <x v="5"/>
    <x v="1"/>
    <n v="4"/>
    <x v="7"/>
    <n v="1"/>
    <n v="3"/>
  </r>
  <r>
    <n v="38"/>
    <x v="1"/>
    <x v="1"/>
    <s v="Travel_Rarely"/>
    <x v="1"/>
    <s v="Life Sciences"/>
    <x v="4"/>
    <n v="724"/>
    <n v="1"/>
    <x v="0"/>
    <s v="Female"/>
    <n v="2"/>
    <x v="0"/>
    <x v="0"/>
    <n v="7625"/>
    <n v="19383"/>
    <n v="0"/>
    <x v="1"/>
    <n v="3"/>
    <n v="3"/>
    <n v="80"/>
    <n v="10"/>
    <x v="5"/>
    <x v="2"/>
    <n v="9"/>
    <x v="1"/>
    <n v="1"/>
    <n v="8"/>
  </r>
  <r>
    <n v="27"/>
    <x v="2"/>
    <x v="1"/>
    <s v="Travel_Rarely"/>
    <x v="1"/>
    <s v="Life Sciences"/>
    <x v="3"/>
    <n v="725"/>
    <n v="1"/>
    <x v="1"/>
    <s v="Female"/>
    <n v="3"/>
    <x v="3"/>
    <x v="1"/>
    <n v="7412"/>
    <n v="6009"/>
    <n v="1"/>
    <x v="1"/>
    <n v="3"/>
    <n v="4"/>
    <n v="80"/>
    <n v="9"/>
    <x v="1"/>
    <x v="1"/>
    <n v="9"/>
    <x v="1"/>
    <n v="0"/>
    <n v="7"/>
  </r>
  <r>
    <n v="32"/>
    <x v="1"/>
    <x v="1"/>
    <s v="Travel_Rarely"/>
    <x v="1"/>
    <s v="Life Sciences"/>
    <x v="7"/>
    <n v="727"/>
    <n v="3"/>
    <x v="1"/>
    <s v="Female"/>
    <n v="3"/>
    <x v="0"/>
    <x v="0"/>
    <n v="11159"/>
    <n v="19373"/>
    <n v="3"/>
    <x v="1"/>
    <n v="3"/>
    <n v="4"/>
    <n v="80"/>
    <n v="10"/>
    <x v="6"/>
    <x v="1"/>
    <n v="7"/>
    <x v="1"/>
    <n v="7"/>
    <n v="7"/>
  </r>
  <r>
    <n v="47"/>
    <x v="0"/>
    <x v="1"/>
    <s v="Travel_Rarely"/>
    <x v="0"/>
    <s v="Marketing"/>
    <x v="0"/>
    <n v="728"/>
    <n v="14"/>
    <x v="2"/>
    <s v="Male"/>
    <n v="2"/>
    <x v="3"/>
    <x v="0"/>
    <n v="4960"/>
    <n v="11825"/>
    <n v="2"/>
    <x v="1"/>
    <n v="3"/>
    <n v="4"/>
    <n v="80"/>
    <n v="20"/>
    <x v="2"/>
    <x v="1"/>
    <n v="7"/>
    <x v="1"/>
    <n v="1"/>
    <n v="7"/>
  </r>
  <r>
    <n v="40"/>
    <x v="1"/>
    <x v="1"/>
    <s v="Travel_Frequently"/>
    <x v="0"/>
    <s v="Life Sciences"/>
    <x v="0"/>
    <n v="729"/>
    <n v="5"/>
    <x v="2"/>
    <s v="Male"/>
    <n v="3"/>
    <x v="3"/>
    <x v="1"/>
    <n v="10475"/>
    <n v="23772"/>
    <n v="5"/>
    <x v="0"/>
    <n v="4"/>
    <n v="3"/>
    <n v="80"/>
    <n v="20"/>
    <x v="2"/>
    <x v="1"/>
    <n v="18"/>
    <x v="9"/>
    <n v="1"/>
    <n v="12"/>
  </r>
  <r>
    <n v="53"/>
    <x v="3"/>
    <x v="1"/>
    <s v="Travel_Rarely"/>
    <x v="1"/>
    <s v="Life Sciences"/>
    <x v="7"/>
    <n v="730"/>
    <n v="7"/>
    <x v="1"/>
    <s v="Male"/>
    <n v="4"/>
    <x v="2"/>
    <x v="1"/>
    <n v="14814"/>
    <n v="13514"/>
    <n v="3"/>
    <x v="1"/>
    <n v="3"/>
    <n v="3"/>
    <n v="80"/>
    <n v="32"/>
    <x v="1"/>
    <x v="1"/>
    <n v="5"/>
    <x v="10"/>
    <n v="1"/>
    <n v="3"/>
  </r>
  <r>
    <n v="41"/>
    <x v="0"/>
    <x v="1"/>
    <s v="Travel_Rarely"/>
    <x v="2"/>
    <s v="Human Resources"/>
    <x v="5"/>
    <n v="731"/>
    <n v="10"/>
    <x v="0"/>
    <s v="Male"/>
    <n v="5"/>
    <x v="0"/>
    <x v="2"/>
    <n v="19141"/>
    <n v="8861"/>
    <n v="3"/>
    <x v="1"/>
    <n v="3"/>
    <n v="2"/>
    <n v="80"/>
    <n v="23"/>
    <x v="2"/>
    <x v="2"/>
    <n v="21"/>
    <x v="8"/>
    <n v="12"/>
    <n v="6"/>
  </r>
  <r>
    <n v="60"/>
    <x v="3"/>
    <x v="1"/>
    <s v="Travel_Rarely"/>
    <x v="0"/>
    <s v="Marketing"/>
    <x v="0"/>
    <n v="732"/>
    <n v="16"/>
    <x v="3"/>
    <s v="Male"/>
    <n v="2"/>
    <x v="3"/>
    <x v="0"/>
    <n v="5405"/>
    <n v="11924"/>
    <n v="8"/>
    <x v="1"/>
    <n v="3"/>
    <n v="4"/>
    <n v="80"/>
    <n v="10"/>
    <x v="4"/>
    <x v="1"/>
    <n v="2"/>
    <x v="3"/>
    <n v="2"/>
    <n v="2"/>
  </r>
  <r>
    <n v="27"/>
    <x v="2"/>
    <x v="1"/>
    <s v="Travel_Frequently"/>
    <x v="1"/>
    <s v="Life Sciences"/>
    <x v="3"/>
    <n v="733"/>
    <n v="10"/>
    <x v="2"/>
    <s v="Male"/>
    <n v="3"/>
    <x v="3"/>
    <x v="2"/>
    <n v="8793"/>
    <n v="4809"/>
    <n v="1"/>
    <x v="1"/>
    <n v="4"/>
    <n v="3"/>
    <n v="80"/>
    <n v="9"/>
    <x v="5"/>
    <x v="2"/>
    <n v="9"/>
    <x v="1"/>
    <n v="1"/>
    <n v="7"/>
  </r>
  <r>
    <n v="41"/>
    <x v="0"/>
    <x v="1"/>
    <s v="Travel_Rarely"/>
    <x v="2"/>
    <s v="Human Resources"/>
    <x v="5"/>
    <n v="734"/>
    <n v="1"/>
    <x v="2"/>
    <s v="Male"/>
    <n v="5"/>
    <x v="2"/>
    <x v="1"/>
    <n v="19189"/>
    <n v="19562"/>
    <n v="1"/>
    <x v="1"/>
    <n v="3"/>
    <n v="2"/>
    <n v="80"/>
    <n v="22"/>
    <x v="1"/>
    <x v="1"/>
    <n v="22"/>
    <x v="1"/>
    <n v="2"/>
    <n v="10"/>
  </r>
  <r>
    <n v="50"/>
    <x v="0"/>
    <x v="1"/>
    <s v="Travel_Rarely"/>
    <x v="0"/>
    <s v="Marketing"/>
    <x v="6"/>
    <n v="738"/>
    <n v="8"/>
    <x v="2"/>
    <s v="Male"/>
    <n v="1"/>
    <x v="1"/>
    <x v="1"/>
    <n v="3875"/>
    <n v="9983"/>
    <n v="7"/>
    <x v="1"/>
    <n v="3"/>
    <n v="4"/>
    <n v="80"/>
    <n v="4"/>
    <x v="2"/>
    <x v="1"/>
    <n v="2"/>
    <x v="3"/>
    <n v="2"/>
    <n v="2"/>
  </r>
  <r>
    <n v="28"/>
    <x v="2"/>
    <x v="0"/>
    <s v="Travel_Rarely"/>
    <x v="1"/>
    <s v="Life Sciences"/>
    <x v="1"/>
    <n v="741"/>
    <n v="1"/>
    <x v="3"/>
    <s v="Female"/>
    <n v="1"/>
    <x v="1"/>
    <x v="0"/>
    <n v="2216"/>
    <n v="3872"/>
    <n v="7"/>
    <x v="0"/>
    <n v="3"/>
    <n v="4"/>
    <n v="80"/>
    <n v="10"/>
    <x v="5"/>
    <x v="1"/>
    <n v="7"/>
    <x v="1"/>
    <n v="3"/>
    <n v="7"/>
  </r>
  <r>
    <n v="36"/>
    <x v="1"/>
    <x v="1"/>
    <s v="Non-Travel"/>
    <x v="1"/>
    <s v="Life Sciences"/>
    <x v="7"/>
    <n v="742"/>
    <n v="8"/>
    <x v="3"/>
    <s v="Female"/>
    <n v="3"/>
    <x v="3"/>
    <x v="1"/>
    <n v="11713"/>
    <n v="20335"/>
    <n v="9"/>
    <x v="1"/>
    <n v="3"/>
    <n v="1"/>
    <n v="80"/>
    <n v="10"/>
    <x v="2"/>
    <x v="1"/>
    <n v="8"/>
    <x v="1"/>
    <n v="0"/>
    <n v="5"/>
  </r>
  <r>
    <n v="38"/>
    <x v="1"/>
    <x v="1"/>
    <s v="Travel_Rarely"/>
    <x v="1"/>
    <s v="Life Sciences"/>
    <x v="3"/>
    <n v="743"/>
    <n v="1"/>
    <x v="1"/>
    <s v="Female"/>
    <n v="3"/>
    <x v="2"/>
    <x v="0"/>
    <n v="7861"/>
    <n v="15397"/>
    <n v="4"/>
    <x v="0"/>
    <n v="3"/>
    <n v="4"/>
    <n v="80"/>
    <n v="10"/>
    <x v="5"/>
    <x v="3"/>
    <n v="1"/>
    <x v="2"/>
    <n v="0"/>
    <n v="0"/>
  </r>
  <r>
    <n v="44"/>
    <x v="0"/>
    <x v="1"/>
    <s v="Non-Travel"/>
    <x v="1"/>
    <s v="Medical"/>
    <x v="2"/>
    <n v="744"/>
    <n v="24"/>
    <x v="3"/>
    <s v="Male"/>
    <n v="1"/>
    <x v="2"/>
    <x v="0"/>
    <n v="3708"/>
    <n v="2104"/>
    <n v="2"/>
    <x v="1"/>
    <n v="3"/>
    <n v="3"/>
    <n v="80"/>
    <n v="9"/>
    <x v="3"/>
    <x v="1"/>
    <n v="5"/>
    <x v="3"/>
    <n v="1"/>
    <n v="4"/>
  </r>
  <r>
    <n v="47"/>
    <x v="0"/>
    <x v="1"/>
    <s v="Travel_Frequently"/>
    <x v="0"/>
    <s v="Medical"/>
    <x v="0"/>
    <n v="746"/>
    <n v="3"/>
    <x v="2"/>
    <s v="Female"/>
    <n v="4"/>
    <x v="2"/>
    <x v="2"/>
    <n v="13770"/>
    <n v="10225"/>
    <n v="9"/>
    <x v="0"/>
    <n v="3"/>
    <n v="4"/>
    <n v="80"/>
    <n v="28"/>
    <x v="2"/>
    <x v="2"/>
    <n v="22"/>
    <x v="3"/>
    <n v="11"/>
    <n v="13"/>
  </r>
  <r>
    <n v="30"/>
    <x v="2"/>
    <x v="1"/>
    <s v="Travel_Rarely"/>
    <x v="0"/>
    <s v="Marketing"/>
    <x v="0"/>
    <n v="747"/>
    <n v="27"/>
    <x v="1"/>
    <s v="Male"/>
    <n v="2"/>
    <x v="0"/>
    <x v="2"/>
    <n v="5304"/>
    <n v="25275"/>
    <n v="7"/>
    <x v="1"/>
    <n v="4"/>
    <n v="4"/>
    <n v="80"/>
    <n v="10"/>
    <x v="2"/>
    <x v="2"/>
    <n v="8"/>
    <x v="1"/>
    <n v="7"/>
    <n v="7"/>
  </r>
  <r>
    <n v="29"/>
    <x v="2"/>
    <x v="1"/>
    <s v="Travel_Rarely"/>
    <x v="0"/>
    <s v="Life Sciences"/>
    <x v="6"/>
    <n v="749"/>
    <n v="10"/>
    <x v="1"/>
    <s v="Male"/>
    <n v="1"/>
    <x v="2"/>
    <x v="0"/>
    <n v="2642"/>
    <n v="2755"/>
    <n v="1"/>
    <x v="1"/>
    <n v="3"/>
    <n v="3"/>
    <n v="80"/>
    <n v="1"/>
    <x v="6"/>
    <x v="1"/>
    <n v="1"/>
    <x v="2"/>
    <n v="0"/>
    <n v="0"/>
  </r>
  <r>
    <n v="42"/>
    <x v="0"/>
    <x v="0"/>
    <s v="Travel_Frequently"/>
    <x v="1"/>
    <s v="Medical"/>
    <x v="1"/>
    <n v="752"/>
    <n v="19"/>
    <x v="1"/>
    <s v="Male"/>
    <n v="1"/>
    <x v="2"/>
    <x v="2"/>
    <n v="2759"/>
    <n v="20366"/>
    <n v="6"/>
    <x v="0"/>
    <n v="3"/>
    <n v="4"/>
    <n v="80"/>
    <n v="7"/>
    <x v="2"/>
    <x v="1"/>
    <n v="2"/>
    <x v="3"/>
    <n v="2"/>
    <n v="2"/>
  </r>
  <r>
    <n v="43"/>
    <x v="0"/>
    <x v="1"/>
    <s v="Travel_Frequently"/>
    <x v="0"/>
    <s v="Life Sciences"/>
    <x v="0"/>
    <n v="754"/>
    <n v="15"/>
    <x v="2"/>
    <s v="Male"/>
    <n v="2"/>
    <x v="0"/>
    <x v="1"/>
    <n v="6804"/>
    <n v="23683"/>
    <n v="3"/>
    <x v="1"/>
    <n v="3"/>
    <n v="3"/>
    <n v="80"/>
    <n v="7"/>
    <x v="3"/>
    <x v="1"/>
    <n v="2"/>
    <x v="3"/>
    <n v="2"/>
    <n v="2"/>
  </r>
  <r>
    <n v="34"/>
    <x v="1"/>
    <x v="1"/>
    <s v="Travel_Rarely"/>
    <x v="1"/>
    <s v="Medical"/>
    <x v="4"/>
    <n v="757"/>
    <n v="8"/>
    <x v="0"/>
    <s v="Female"/>
    <n v="2"/>
    <x v="2"/>
    <x v="0"/>
    <n v="6142"/>
    <n v="7360"/>
    <n v="3"/>
    <x v="1"/>
    <n v="3"/>
    <n v="4"/>
    <n v="80"/>
    <n v="10"/>
    <x v="2"/>
    <x v="1"/>
    <n v="5"/>
    <x v="10"/>
    <n v="4"/>
    <n v="3"/>
  </r>
  <r>
    <n v="23"/>
    <x v="2"/>
    <x v="1"/>
    <s v="Travel_Rarely"/>
    <x v="1"/>
    <s v="Medical"/>
    <x v="2"/>
    <n v="758"/>
    <n v="9"/>
    <x v="0"/>
    <s v="Male"/>
    <n v="1"/>
    <x v="3"/>
    <x v="1"/>
    <n v="2500"/>
    <n v="4344"/>
    <n v="1"/>
    <x v="1"/>
    <n v="3"/>
    <n v="4"/>
    <n v="80"/>
    <n v="5"/>
    <x v="2"/>
    <x v="3"/>
    <n v="4"/>
    <x v="7"/>
    <n v="0"/>
    <n v="2"/>
  </r>
  <r>
    <n v="39"/>
    <x v="1"/>
    <x v="1"/>
    <s v="Travel_Rarely"/>
    <x v="2"/>
    <s v="Human Resources"/>
    <x v="8"/>
    <n v="760"/>
    <n v="3"/>
    <x v="1"/>
    <s v="Female"/>
    <n v="2"/>
    <x v="1"/>
    <x v="1"/>
    <n v="6389"/>
    <n v="18767"/>
    <n v="9"/>
    <x v="1"/>
    <n v="3"/>
    <n v="3"/>
    <n v="80"/>
    <n v="12"/>
    <x v="1"/>
    <x v="0"/>
    <n v="8"/>
    <x v="7"/>
    <n v="3"/>
    <n v="6"/>
  </r>
  <r>
    <n v="56"/>
    <x v="3"/>
    <x v="1"/>
    <s v="Travel_Rarely"/>
    <x v="1"/>
    <s v="Medical"/>
    <x v="4"/>
    <n v="762"/>
    <n v="9"/>
    <x v="1"/>
    <s v="Male"/>
    <n v="4"/>
    <x v="0"/>
    <x v="1"/>
    <n v="11103"/>
    <n v="20420"/>
    <n v="7"/>
    <x v="1"/>
    <n v="3"/>
    <n v="3"/>
    <n v="80"/>
    <n v="30"/>
    <x v="4"/>
    <x v="2"/>
    <n v="10"/>
    <x v="1"/>
    <n v="1"/>
    <n v="1"/>
  </r>
  <r>
    <n v="40"/>
    <x v="1"/>
    <x v="1"/>
    <s v="Travel_Rarely"/>
    <x v="1"/>
    <s v="Medical"/>
    <x v="1"/>
    <n v="763"/>
    <n v="2"/>
    <x v="2"/>
    <s v="Female"/>
    <n v="1"/>
    <x v="0"/>
    <x v="0"/>
    <n v="2342"/>
    <n v="22929"/>
    <n v="0"/>
    <x v="0"/>
    <n v="4"/>
    <n v="4"/>
    <n v="80"/>
    <n v="5"/>
    <x v="2"/>
    <x v="2"/>
    <n v="4"/>
    <x v="3"/>
    <n v="2"/>
    <n v="3"/>
  </r>
  <r>
    <n v="27"/>
    <x v="2"/>
    <x v="1"/>
    <s v="Travel_Rarely"/>
    <x v="1"/>
    <s v="Medical"/>
    <x v="4"/>
    <n v="764"/>
    <n v="7"/>
    <x v="2"/>
    <s v="Female"/>
    <n v="2"/>
    <x v="3"/>
    <x v="0"/>
    <n v="6811"/>
    <n v="23398"/>
    <n v="8"/>
    <x v="1"/>
    <n v="3"/>
    <n v="1"/>
    <n v="80"/>
    <n v="9"/>
    <x v="2"/>
    <x v="0"/>
    <n v="7"/>
    <x v="8"/>
    <n v="0"/>
    <n v="7"/>
  </r>
  <r>
    <n v="29"/>
    <x v="2"/>
    <x v="1"/>
    <s v="Travel_Rarely"/>
    <x v="0"/>
    <s v="Marketing"/>
    <x v="6"/>
    <n v="766"/>
    <n v="10"/>
    <x v="2"/>
    <s v="Male"/>
    <n v="1"/>
    <x v="1"/>
    <x v="2"/>
    <n v="2297"/>
    <n v="17967"/>
    <n v="1"/>
    <x v="1"/>
    <n v="3"/>
    <n v="4"/>
    <n v="80"/>
    <n v="2"/>
    <x v="2"/>
    <x v="1"/>
    <n v="2"/>
    <x v="3"/>
    <n v="2"/>
    <n v="2"/>
  </r>
  <r>
    <n v="53"/>
    <x v="3"/>
    <x v="1"/>
    <s v="Travel_Rarely"/>
    <x v="1"/>
    <s v="Life Sciences"/>
    <x v="2"/>
    <n v="769"/>
    <n v="6"/>
    <x v="2"/>
    <s v="Male"/>
    <n v="2"/>
    <x v="0"/>
    <x v="0"/>
    <n v="2450"/>
    <n v="10919"/>
    <n v="2"/>
    <x v="1"/>
    <n v="3"/>
    <n v="4"/>
    <n v="80"/>
    <n v="19"/>
    <x v="5"/>
    <x v="1"/>
    <n v="2"/>
    <x v="3"/>
    <n v="2"/>
    <n v="2"/>
  </r>
  <r>
    <n v="35"/>
    <x v="1"/>
    <x v="1"/>
    <s v="Non-Travel"/>
    <x v="1"/>
    <s v="Life Sciences"/>
    <x v="4"/>
    <n v="771"/>
    <n v="2"/>
    <x v="2"/>
    <s v="Female"/>
    <n v="2"/>
    <x v="3"/>
    <x v="2"/>
    <n v="5093"/>
    <n v="4761"/>
    <n v="2"/>
    <x v="1"/>
    <n v="3"/>
    <n v="1"/>
    <n v="80"/>
    <n v="16"/>
    <x v="2"/>
    <x v="3"/>
    <n v="1"/>
    <x v="2"/>
    <n v="0"/>
    <n v="0"/>
  </r>
  <r>
    <n v="32"/>
    <x v="1"/>
    <x v="1"/>
    <s v="Travel_Frequently"/>
    <x v="1"/>
    <s v="Life Sciences"/>
    <x v="2"/>
    <n v="772"/>
    <n v="24"/>
    <x v="3"/>
    <s v="Male"/>
    <n v="2"/>
    <x v="0"/>
    <x v="1"/>
    <n v="5309"/>
    <n v="21146"/>
    <n v="1"/>
    <x v="1"/>
    <n v="3"/>
    <n v="4"/>
    <n v="80"/>
    <n v="10"/>
    <x v="2"/>
    <x v="1"/>
    <n v="10"/>
    <x v="6"/>
    <n v="4"/>
    <n v="7"/>
  </r>
  <r>
    <n v="38"/>
    <x v="1"/>
    <x v="1"/>
    <s v="Travel_Rarely"/>
    <x v="1"/>
    <s v="Medical"/>
    <x v="1"/>
    <n v="773"/>
    <n v="2"/>
    <x v="2"/>
    <s v="Male"/>
    <n v="1"/>
    <x v="2"/>
    <x v="1"/>
    <n v="3057"/>
    <n v="20471"/>
    <n v="6"/>
    <x v="0"/>
    <n v="3"/>
    <n v="2"/>
    <n v="80"/>
    <n v="6"/>
    <x v="0"/>
    <x v="0"/>
    <n v="1"/>
    <x v="2"/>
    <n v="0"/>
    <n v="1"/>
  </r>
  <r>
    <n v="34"/>
    <x v="1"/>
    <x v="1"/>
    <s v="Travel_Rarely"/>
    <x v="1"/>
    <s v="Life Sciences"/>
    <x v="3"/>
    <n v="775"/>
    <n v="8"/>
    <x v="0"/>
    <s v="Female"/>
    <n v="2"/>
    <x v="3"/>
    <x v="2"/>
    <n v="5121"/>
    <n v="4187"/>
    <n v="3"/>
    <x v="1"/>
    <n v="3"/>
    <n v="3"/>
    <n v="80"/>
    <n v="7"/>
    <x v="1"/>
    <x v="1"/>
    <n v="0"/>
    <x v="2"/>
    <n v="0"/>
    <n v="0"/>
  </r>
  <r>
    <n v="52"/>
    <x v="3"/>
    <x v="1"/>
    <s v="Travel_Rarely"/>
    <x v="0"/>
    <s v="Marketing"/>
    <x v="5"/>
    <n v="776"/>
    <n v="3"/>
    <x v="1"/>
    <s v="Male"/>
    <n v="4"/>
    <x v="3"/>
    <x v="1"/>
    <n v="16856"/>
    <n v="10084"/>
    <n v="1"/>
    <x v="1"/>
    <n v="3"/>
    <n v="1"/>
    <n v="80"/>
    <n v="34"/>
    <x v="1"/>
    <x v="3"/>
    <n v="34"/>
    <x v="8"/>
    <n v="1"/>
    <n v="16"/>
  </r>
  <r>
    <n v="33"/>
    <x v="1"/>
    <x v="0"/>
    <s v="Travel_Rarely"/>
    <x v="1"/>
    <s v="Other"/>
    <x v="1"/>
    <n v="780"/>
    <n v="1"/>
    <x v="2"/>
    <s v="Male"/>
    <n v="1"/>
    <x v="0"/>
    <x v="0"/>
    <n v="2686"/>
    <n v="5207"/>
    <n v="1"/>
    <x v="0"/>
    <n v="3"/>
    <n v="3"/>
    <n v="80"/>
    <n v="10"/>
    <x v="2"/>
    <x v="2"/>
    <n v="10"/>
    <x v="5"/>
    <n v="7"/>
    <n v="8"/>
  </r>
  <r>
    <n v="25"/>
    <x v="2"/>
    <x v="1"/>
    <s v="Travel_Rarely"/>
    <x v="0"/>
    <s v="Medical"/>
    <x v="0"/>
    <n v="781"/>
    <n v="26"/>
    <x v="1"/>
    <s v="Female"/>
    <n v="2"/>
    <x v="0"/>
    <x v="0"/>
    <n v="6180"/>
    <n v="22807"/>
    <n v="1"/>
    <x v="1"/>
    <n v="4"/>
    <n v="2"/>
    <n v="80"/>
    <n v="6"/>
    <x v="3"/>
    <x v="2"/>
    <n v="6"/>
    <x v="4"/>
    <n v="1"/>
    <n v="4"/>
  </r>
  <r>
    <n v="45"/>
    <x v="0"/>
    <x v="1"/>
    <s v="Travel_Rarely"/>
    <x v="0"/>
    <s v="Technical Degree"/>
    <x v="6"/>
    <n v="783"/>
    <n v="2"/>
    <x v="0"/>
    <s v="Male"/>
    <n v="2"/>
    <x v="2"/>
    <x v="0"/>
    <n v="6632"/>
    <n v="12388"/>
    <n v="0"/>
    <x v="1"/>
    <n v="3"/>
    <n v="1"/>
    <n v="80"/>
    <n v="9"/>
    <x v="1"/>
    <x v="1"/>
    <n v="8"/>
    <x v="1"/>
    <n v="3"/>
    <n v="1"/>
  </r>
  <r>
    <n v="23"/>
    <x v="2"/>
    <x v="1"/>
    <s v="Travel_Rarely"/>
    <x v="1"/>
    <s v="Medical"/>
    <x v="1"/>
    <n v="784"/>
    <n v="10"/>
    <x v="3"/>
    <s v="Male"/>
    <n v="1"/>
    <x v="2"/>
    <x v="0"/>
    <n v="3505"/>
    <n v="19630"/>
    <n v="1"/>
    <x v="1"/>
    <n v="3"/>
    <n v="4"/>
    <n v="80"/>
    <n v="2"/>
    <x v="1"/>
    <x v="1"/>
    <n v="2"/>
    <x v="3"/>
    <n v="0"/>
    <n v="2"/>
  </r>
  <r>
    <n v="47"/>
    <x v="0"/>
    <x v="0"/>
    <s v="Travel_Frequently"/>
    <x v="0"/>
    <s v="Life Sciences"/>
    <x v="0"/>
    <n v="785"/>
    <n v="27"/>
    <x v="0"/>
    <s v="Female"/>
    <n v="2"/>
    <x v="2"/>
    <x v="0"/>
    <n v="6397"/>
    <n v="10339"/>
    <n v="4"/>
    <x v="0"/>
    <n v="3"/>
    <n v="4"/>
    <n v="80"/>
    <n v="8"/>
    <x v="2"/>
    <x v="1"/>
    <n v="5"/>
    <x v="0"/>
    <n v="1"/>
    <n v="3"/>
  </r>
  <r>
    <n v="34"/>
    <x v="1"/>
    <x v="1"/>
    <s v="Travel_Rarely"/>
    <x v="0"/>
    <s v="Other"/>
    <x v="0"/>
    <n v="786"/>
    <n v="2"/>
    <x v="2"/>
    <s v="Male"/>
    <n v="2"/>
    <x v="0"/>
    <x v="0"/>
    <n v="6274"/>
    <n v="18686"/>
    <n v="1"/>
    <x v="1"/>
    <n v="4"/>
    <n v="3"/>
    <n v="80"/>
    <n v="6"/>
    <x v="3"/>
    <x v="1"/>
    <n v="6"/>
    <x v="4"/>
    <n v="1"/>
    <n v="4"/>
  </r>
  <r>
    <n v="55"/>
    <x v="3"/>
    <x v="0"/>
    <s v="Travel_Rarely"/>
    <x v="1"/>
    <s v="Medical"/>
    <x v="5"/>
    <n v="787"/>
    <n v="2"/>
    <x v="2"/>
    <s v="Male"/>
    <n v="5"/>
    <x v="3"/>
    <x v="1"/>
    <n v="19859"/>
    <n v="21199"/>
    <n v="5"/>
    <x v="0"/>
    <n v="3"/>
    <n v="4"/>
    <n v="80"/>
    <n v="24"/>
    <x v="2"/>
    <x v="1"/>
    <n v="5"/>
    <x v="3"/>
    <n v="1"/>
    <n v="4"/>
  </r>
  <r>
    <n v="36"/>
    <x v="1"/>
    <x v="1"/>
    <s v="Non-Travel"/>
    <x v="0"/>
    <s v="Life Sciences"/>
    <x v="0"/>
    <n v="789"/>
    <n v="8"/>
    <x v="3"/>
    <s v="Male"/>
    <n v="3"/>
    <x v="3"/>
    <x v="0"/>
    <n v="7587"/>
    <n v="14229"/>
    <n v="1"/>
    <x v="1"/>
    <n v="3"/>
    <n v="2"/>
    <n v="80"/>
    <n v="10"/>
    <x v="4"/>
    <x v="1"/>
    <n v="10"/>
    <x v="1"/>
    <n v="0"/>
    <n v="9"/>
  </r>
  <r>
    <n v="52"/>
    <x v="3"/>
    <x v="1"/>
    <s v="Non-Travel"/>
    <x v="1"/>
    <s v="Medical"/>
    <x v="1"/>
    <n v="791"/>
    <n v="19"/>
    <x v="2"/>
    <s v="Male"/>
    <n v="1"/>
    <x v="0"/>
    <x v="1"/>
    <n v="4258"/>
    <n v="26589"/>
    <n v="0"/>
    <x v="1"/>
    <n v="3"/>
    <n v="1"/>
    <n v="80"/>
    <n v="5"/>
    <x v="1"/>
    <x v="1"/>
    <n v="4"/>
    <x v="7"/>
    <n v="1"/>
    <n v="2"/>
  </r>
  <r>
    <n v="26"/>
    <x v="2"/>
    <x v="1"/>
    <s v="Travel_Frequently"/>
    <x v="1"/>
    <s v="Life Sciences"/>
    <x v="2"/>
    <n v="792"/>
    <n v="1"/>
    <x v="3"/>
    <s v="Female"/>
    <n v="1"/>
    <x v="0"/>
    <x v="2"/>
    <n v="4364"/>
    <n v="5288"/>
    <n v="3"/>
    <x v="1"/>
    <n v="3"/>
    <n v="1"/>
    <n v="80"/>
    <n v="5"/>
    <x v="2"/>
    <x v="1"/>
    <n v="2"/>
    <x v="3"/>
    <n v="2"/>
    <n v="0"/>
  </r>
  <r>
    <n v="29"/>
    <x v="2"/>
    <x v="1"/>
    <s v="Travel_Rarely"/>
    <x v="1"/>
    <s v="Medical"/>
    <x v="4"/>
    <n v="793"/>
    <n v="27"/>
    <x v="0"/>
    <s v="Female"/>
    <n v="2"/>
    <x v="2"/>
    <x v="1"/>
    <n v="4335"/>
    <n v="25549"/>
    <n v="4"/>
    <x v="1"/>
    <n v="3"/>
    <n v="1"/>
    <n v="80"/>
    <n v="11"/>
    <x v="1"/>
    <x v="2"/>
    <n v="8"/>
    <x v="1"/>
    <n v="1"/>
    <n v="1"/>
  </r>
  <r>
    <n v="26"/>
    <x v="2"/>
    <x v="0"/>
    <s v="Travel_Rarely"/>
    <x v="0"/>
    <s v="Technical Degree"/>
    <x v="0"/>
    <n v="796"/>
    <n v="8"/>
    <x v="2"/>
    <s v="Male"/>
    <n v="2"/>
    <x v="3"/>
    <x v="0"/>
    <n v="5326"/>
    <n v="3064"/>
    <n v="6"/>
    <x v="1"/>
    <n v="3"/>
    <n v="3"/>
    <n v="80"/>
    <n v="6"/>
    <x v="2"/>
    <x v="2"/>
    <n v="4"/>
    <x v="7"/>
    <n v="1"/>
    <n v="2"/>
  </r>
  <r>
    <n v="34"/>
    <x v="1"/>
    <x v="1"/>
    <s v="Travel_Rarely"/>
    <x v="1"/>
    <s v="Life Sciences"/>
    <x v="1"/>
    <n v="797"/>
    <n v="1"/>
    <x v="0"/>
    <s v="Female"/>
    <n v="1"/>
    <x v="0"/>
    <x v="0"/>
    <n v="3280"/>
    <n v="13551"/>
    <n v="2"/>
    <x v="1"/>
    <n v="3"/>
    <n v="3"/>
    <n v="80"/>
    <n v="10"/>
    <x v="2"/>
    <x v="1"/>
    <n v="4"/>
    <x v="3"/>
    <n v="1"/>
    <n v="3"/>
  </r>
  <r>
    <n v="54"/>
    <x v="3"/>
    <x v="1"/>
    <s v="Travel_Rarely"/>
    <x v="1"/>
    <s v="Medical"/>
    <x v="3"/>
    <n v="799"/>
    <n v="19"/>
    <x v="2"/>
    <s v="Female"/>
    <n v="2"/>
    <x v="3"/>
    <x v="2"/>
    <n v="5485"/>
    <n v="22670"/>
    <n v="9"/>
    <x v="0"/>
    <n v="3"/>
    <n v="2"/>
    <n v="80"/>
    <n v="9"/>
    <x v="5"/>
    <x v="1"/>
    <n v="5"/>
    <x v="7"/>
    <n v="1"/>
    <n v="4"/>
  </r>
  <r>
    <n v="27"/>
    <x v="2"/>
    <x v="1"/>
    <s v="Travel_Frequently"/>
    <x v="0"/>
    <s v="Marketing"/>
    <x v="0"/>
    <n v="800"/>
    <n v="8"/>
    <x v="1"/>
    <s v="Male"/>
    <n v="2"/>
    <x v="0"/>
    <x v="1"/>
    <n v="4342"/>
    <n v="24008"/>
    <n v="0"/>
    <x v="1"/>
    <n v="3"/>
    <n v="2"/>
    <n v="80"/>
    <n v="5"/>
    <x v="1"/>
    <x v="1"/>
    <n v="4"/>
    <x v="3"/>
    <n v="1"/>
    <n v="1"/>
  </r>
  <r>
    <n v="37"/>
    <x v="1"/>
    <x v="1"/>
    <s v="Travel_Rarely"/>
    <x v="1"/>
    <s v="Life Sciences"/>
    <x v="1"/>
    <n v="802"/>
    <n v="10"/>
    <x v="2"/>
    <s v="Female"/>
    <n v="1"/>
    <x v="3"/>
    <x v="2"/>
    <n v="2782"/>
    <n v="19905"/>
    <n v="0"/>
    <x v="0"/>
    <n v="3"/>
    <n v="2"/>
    <n v="80"/>
    <n v="6"/>
    <x v="1"/>
    <x v="2"/>
    <n v="5"/>
    <x v="7"/>
    <n v="4"/>
    <n v="3"/>
  </r>
  <r>
    <n v="38"/>
    <x v="1"/>
    <x v="1"/>
    <s v="Travel_Frequently"/>
    <x v="1"/>
    <s v="Life Sciences"/>
    <x v="3"/>
    <n v="803"/>
    <n v="2"/>
    <x v="3"/>
    <s v="Female"/>
    <n v="2"/>
    <x v="3"/>
    <x v="0"/>
    <n v="5980"/>
    <n v="26085"/>
    <n v="6"/>
    <x v="0"/>
    <n v="3"/>
    <n v="4"/>
    <n v="80"/>
    <n v="17"/>
    <x v="2"/>
    <x v="1"/>
    <n v="15"/>
    <x v="1"/>
    <n v="4"/>
    <n v="12"/>
  </r>
  <r>
    <n v="34"/>
    <x v="1"/>
    <x v="1"/>
    <s v="Travel_Rarely"/>
    <x v="1"/>
    <s v="Medical"/>
    <x v="1"/>
    <n v="804"/>
    <n v="2"/>
    <x v="1"/>
    <s v="Female"/>
    <n v="1"/>
    <x v="3"/>
    <x v="0"/>
    <n v="4381"/>
    <n v="7530"/>
    <n v="1"/>
    <x v="1"/>
    <n v="3"/>
    <n v="3"/>
    <n v="80"/>
    <n v="6"/>
    <x v="1"/>
    <x v="1"/>
    <n v="6"/>
    <x v="4"/>
    <n v="1"/>
    <n v="3"/>
  </r>
  <r>
    <n v="35"/>
    <x v="1"/>
    <x v="1"/>
    <s v="Travel_Rarely"/>
    <x v="0"/>
    <s v="Life Sciences"/>
    <x v="6"/>
    <n v="805"/>
    <n v="8"/>
    <x v="3"/>
    <s v="Female"/>
    <n v="1"/>
    <x v="0"/>
    <x v="1"/>
    <n v="2572"/>
    <n v="20317"/>
    <n v="1"/>
    <x v="1"/>
    <n v="3"/>
    <n v="2"/>
    <n v="80"/>
    <n v="3"/>
    <x v="4"/>
    <x v="2"/>
    <n v="3"/>
    <x v="3"/>
    <n v="0"/>
    <n v="2"/>
  </r>
  <r>
    <n v="30"/>
    <x v="2"/>
    <x v="1"/>
    <s v="Travel_Rarely"/>
    <x v="1"/>
    <s v="Life Sciences"/>
    <x v="2"/>
    <n v="806"/>
    <n v="1"/>
    <x v="2"/>
    <s v="Male"/>
    <n v="1"/>
    <x v="2"/>
    <x v="1"/>
    <n v="3833"/>
    <n v="24375"/>
    <n v="3"/>
    <x v="1"/>
    <n v="4"/>
    <n v="3"/>
    <n v="80"/>
    <n v="7"/>
    <x v="2"/>
    <x v="1"/>
    <n v="2"/>
    <x v="3"/>
    <n v="0"/>
    <n v="2"/>
  </r>
  <r>
    <n v="40"/>
    <x v="1"/>
    <x v="1"/>
    <s v="Travel_Frequently"/>
    <x v="1"/>
    <s v="Medical"/>
    <x v="4"/>
    <n v="807"/>
    <n v="2"/>
    <x v="1"/>
    <s v="Female"/>
    <n v="2"/>
    <x v="1"/>
    <x v="1"/>
    <n v="4244"/>
    <n v="9931"/>
    <n v="1"/>
    <x v="1"/>
    <n v="4"/>
    <n v="4"/>
    <n v="80"/>
    <n v="8"/>
    <x v="2"/>
    <x v="1"/>
    <n v="8"/>
    <x v="1"/>
    <n v="3"/>
    <n v="7"/>
  </r>
  <r>
    <n v="34"/>
    <x v="1"/>
    <x v="1"/>
    <s v="Travel_Rarely"/>
    <x v="0"/>
    <s v="Life Sciences"/>
    <x v="0"/>
    <n v="808"/>
    <n v="8"/>
    <x v="1"/>
    <s v="Female"/>
    <n v="2"/>
    <x v="3"/>
    <x v="1"/>
    <n v="6500"/>
    <n v="13305"/>
    <n v="5"/>
    <x v="1"/>
    <n v="3"/>
    <n v="2"/>
    <n v="80"/>
    <n v="6"/>
    <x v="4"/>
    <x v="1"/>
    <n v="3"/>
    <x v="3"/>
    <n v="1"/>
    <n v="2"/>
  </r>
  <r>
    <n v="42"/>
    <x v="0"/>
    <x v="1"/>
    <s v="Travel_Frequently"/>
    <x v="1"/>
    <s v="Life Sciences"/>
    <x v="5"/>
    <n v="809"/>
    <n v="8"/>
    <x v="0"/>
    <s v="Male"/>
    <n v="5"/>
    <x v="0"/>
    <x v="2"/>
    <n v="18430"/>
    <n v="16225"/>
    <n v="1"/>
    <x v="1"/>
    <n v="3"/>
    <n v="2"/>
    <n v="80"/>
    <n v="24"/>
    <x v="5"/>
    <x v="2"/>
    <n v="24"/>
    <x v="1"/>
    <n v="14"/>
    <n v="9"/>
  </r>
  <r>
    <n v="23"/>
    <x v="2"/>
    <x v="0"/>
    <s v="Travel_Rarely"/>
    <x v="1"/>
    <s v="Life Sciences"/>
    <x v="2"/>
    <n v="811"/>
    <n v="6"/>
    <x v="1"/>
    <s v="Male"/>
    <n v="1"/>
    <x v="3"/>
    <x v="1"/>
    <n v="1601"/>
    <n v="3445"/>
    <n v="1"/>
    <x v="0"/>
    <n v="4"/>
    <n v="3"/>
    <n v="80"/>
    <n v="1"/>
    <x v="2"/>
    <x v="1"/>
    <n v="0"/>
    <x v="2"/>
    <n v="0"/>
    <n v="0"/>
  </r>
  <r>
    <n v="24"/>
    <x v="2"/>
    <x v="1"/>
    <s v="Non-Travel"/>
    <x v="1"/>
    <s v="Life Sciences"/>
    <x v="2"/>
    <n v="812"/>
    <n v="9"/>
    <x v="1"/>
    <s v="Male"/>
    <n v="1"/>
    <x v="1"/>
    <x v="2"/>
    <n v="2694"/>
    <n v="26551"/>
    <n v="1"/>
    <x v="1"/>
    <n v="3"/>
    <n v="3"/>
    <n v="80"/>
    <n v="1"/>
    <x v="5"/>
    <x v="1"/>
    <n v="1"/>
    <x v="2"/>
    <n v="0"/>
    <n v="0"/>
  </r>
  <r>
    <n v="52"/>
    <x v="3"/>
    <x v="1"/>
    <s v="Travel_Rarely"/>
    <x v="1"/>
    <s v="Life Sciences"/>
    <x v="2"/>
    <n v="813"/>
    <n v="11"/>
    <x v="2"/>
    <s v="Female"/>
    <n v="2"/>
    <x v="2"/>
    <x v="1"/>
    <n v="3149"/>
    <n v="21821"/>
    <n v="8"/>
    <x v="1"/>
    <n v="4"/>
    <n v="2"/>
    <n v="80"/>
    <n v="9"/>
    <x v="1"/>
    <x v="1"/>
    <n v="5"/>
    <x v="3"/>
    <n v="1"/>
    <n v="4"/>
  </r>
  <r>
    <n v="50"/>
    <x v="0"/>
    <x v="1"/>
    <s v="Travel_Rarely"/>
    <x v="1"/>
    <s v="Medical"/>
    <x v="7"/>
    <n v="815"/>
    <n v="2"/>
    <x v="1"/>
    <s v="Male"/>
    <n v="4"/>
    <x v="2"/>
    <x v="1"/>
    <n v="17639"/>
    <n v="6881"/>
    <n v="5"/>
    <x v="1"/>
    <n v="3"/>
    <n v="4"/>
    <n v="80"/>
    <n v="30"/>
    <x v="1"/>
    <x v="1"/>
    <n v="4"/>
    <x v="7"/>
    <n v="0"/>
    <n v="3"/>
  </r>
  <r>
    <n v="29"/>
    <x v="2"/>
    <x v="0"/>
    <s v="Travel_Rarely"/>
    <x v="1"/>
    <s v="Life Sciences"/>
    <x v="2"/>
    <n v="816"/>
    <n v="1"/>
    <x v="0"/>
    <s v="Female"/>
    <n v="1"/>
    <x v="3"/>
    <x v="1"/>
    <n v="2319"/>
    <n v="6689"/>
    <n v="1"/>
    <x v="0"/>
    <n v="3"/>
    <n v="4"/>
    <n v="80"/>
    <n v="1"/>
    <x v="4"/>
    <x v="1"/>
    <n v="1"/>
    <x v="2"/>
    <n v="0"/>
    <n v="0"/>
  </r>
  <r>
    <n v="33"/>
    <x v="1"/>
    <x v="1"/>
    <s v="Travel_Rarely"/>
    <x v="1"/>
    <s v="Medical"/>
    <x v="7"/>
    <n v="817"/>
    <n v="7"/>
    <x v="1"/>
    <s v="Male"/>
    <n v="3"/>
    <x v="2"/>
    <x v="1"/>
    <n v="11691"/>
    <n v="25995"/>
    <n v="0"/>
    <x v="1"/>
    <n v="3"/>
    <n v="4"/>
    <n v="80"/>
    <n v="14"/>
    <x v="1"/>
    <x v="3"/>
    <n v="13"/>
    <x v="5"/>
    <n v="3"/>
    <n v="7"/>
  </r>
  <r>
    <n v="33"/>
    <x v="1"/>
    <x v="0"/>
    <s v="Travel_Rarely"/>
    <x v="0"/>
    <s v="Marketing"/>
    <x v="0"/>
    <n v="819"/>
    <n v="16"/>
    <x v="3"/>
    <s v="Female"/>
    <n v="2"/>
    <x v="3"/>
    <x v="0"/>
    <n v="5324"/>
    <n v="26507"/>
    <n v="5"/>
    <x v="1"/>
    <n v="3"/>
    <n v="3"/>
    <n v="80"/>
    <n v="6"/>
    <x v="1"/>
    <x v="1"/>
    <n v="3"/>
    <x v="3"/>
    <n v="0"/>
    <n v="2"/>
  </r>
  <r>
    <n v="47"/>
    <x v="0"/>
    <x v="1"/>
    <s v="Travel_Rarely"/>
    <x v="1"/>
    <s v="Other"/>
    <x v="5"/>
    <n v="820"/>
    <n v="2"/>
    <x v="1"/>
    <s v="Female"/>
    <n v="4"/>
    <x v="0"/>
    <x v="1"/>
    <n v="16752"/>
    <n v="12982"/>
    <n v="1"/>
    <x v="0"/>
    <n v="3"/>
    <n v="3"/>
    <n v="80"/>
    <n v="26"/>
    <x v="1"/>
    <x v="2"/>
    <n v="26"/>
    <x v="12"/>
    <n v="3"/>
    <n v="0"/>
  </r>
  <r>
    <n v="36"/>
    <x v="1"/>
    <x v="1"/>
    <s v="Travel_Rarely"/>
    <x v="1"/>
    <s v="Other"/>
    <x v="3"/>
    <n v="823"/>
    <n v="1"/>
    <x v="1"/>
    <s v="Female"/>
    <n v="2"/>
    <x v="1"/>
    <x v="1"/>
    <n v="5228"/>
    <n v="23361"/>
    <n v="0"/>
    <x v="1"/>
    <n v="3"/>
    <n v="1"/>
    <n v="80"/>
    <n v="10"/>
    <x v="2"/>
    <x v="1"/>
    <n v="9"/>
    <x v="1"/>
    <n v="0"/>
    <n v="5"/>
  </r>
  <r>
    <n v="29"/>
    <x v="2"/>
    <x v="1"/>
    <s v="Travel_Rarely"/>
    <x v="1"/>
    <s v="Life Sciences"/>
    <x v="1"/>
    <n v="824"/>
    <n v="23"/>
    <x v="1"/>
    <s v="Male"/>
    <n v="1"/>
    <x v="2"/>
    <x v="1"/>
    <n v="2700"/>
    <n v="23779"/>
    <n v="1"/>
    <x v="1"/>
    <n v="4"/>
    <n v="3"/>
    <n v="80"/>
    <n v="10"/>
    <x v="1"/>
    <x v="1"/>
    <n v="10"/>
    <x v="1"/>
    <n v="0"/>
    <n v="7"/>
  </r>
  <r>
    <n v="58"/>
    <x v="3"/>
    <x v="0"/>
    <s v="Travel_Rarely"/>
    <x v="1"/>
    <s v="Life Sciences"/>
    <x v="7"/>
    <n v="825"/>
    <n v="2"/>
    <x v="2"/>
    <s v="Male"/>
    <n v="5"/>
    <x v="1"/>
    <x v="0"/>
    <n v="19246"/>
    <n v="25761"/>
    <n v="7"/>
    <x v="0"/>
    <n v="3"/>
    <n v="4"/>
    <n v="80"/>
    <n v="40"/>
    <x v="2"/>
    <x v="1"/>
    <n v="31"/>
    <x v="11"/>
    <n v="13"/>
    <n v="8"/>
  </r>
  <r>
    <n v="35"/>
    <x v="1"/>
    <x v="1"/>
    <s v="Travel_Rarely"/>
    <x v="1"/>
    <s v="Life Sciences"/>
    <x v="1"/>
    <n v="826"/>
    <n v="1"/>
    <x v="2"/>
    <s v="Female"/>
    <n v="1"/>
    <x v="2"/>
    <x v="0"/>
    <n v="2506"/>
    <n v="13301"/>
    <n v="3"/>
    <x v="1"/>
    <n v="3"/>
    <n v="3"/>
    <n v="80"/>
    <n v="7"/>
    <x v="0"/>
    <x v="1"/>
    <n v="2"/>
    <x v="3"/>
    <n v="2"/>
    <n v="2"/>
  </r>
  <r>
    <n v="42"/>
    <x v="0"/>
    <x v="1"/>
    <s v="Travel_Rarely"/>
    <x v="1"/>
    <s v="Life Sciences"/>
    <x v="3"/>
    <n v="827"/>
    <n v="1"/>
    <x v="2"/>
    <s v="Female"/>
    <n v="2"/>
    <x v="0"/>
    <x v="1"/>
    <n v="6062"/>
    <n v="4051"/>
    <n v="9"/>
    <x v="0"/>
    <n v="3"/>
    <n v="4"/>
    <n v="80"/>
    <n v="8"/>
    <x v="5"/>
    <x v="1"/>
    <n v="4"/>
    <x v="7"/>
    <n v="0"/>
    <n v="2"/>
  </r>
  <r>
    <n v="28"/>
    <x v="2"/>
    <x v="0"/>
    <s v="Travel_Rarely"/>
    <x v="1"/>
    <s v="Medical"/>
    <x v="1"/>
    <n v="828"/>
    <n v="2"/>
    <x v="1"/>
    <s v="Male"/>
    <n v="1"/>
    <x v="2"/>
    <x v="0"/>
    <n v="4382"/>
    <n v="16374"/>
    <n v="6"/>
    <x v="1"/>
    <n v="3"/>
    <n v="4"/>
    <n v="80"/>
    <n v="5"/>
    <x v="1"/>
    <x v="2"/>
    <n v="2"/>
    <x v="3"/>
    <n v="2"/>
    <n v="1"/>
  </r>
  <r>
    <n v="36"/>
    <x v="1"/>
    <x v="1"/>
    <s v="Travel_Rarely"/>
    <x v="2"/>
    <s v="Human Resources"/>
    <x v="8"/>
    <n v="829"/>
    <n v="13"/>
    <x v="1"/>
    <s v="Male"/>
    <n v="1"/>
    <x v="1"/>
    <x v="1"/>
    <n v="2143"/>
    <n v="25527"/>
    <n v="4"/>
    <x v="1"/>
    <n v="3"/>
    <n v="2"/>
    <n v="80"/>
    <n v="8"/>
    <x v="2"/>
    <x v="1"/>
    <n v="5"/>
    <x v="3"/>
    <n v="0"/>
    <n v="4"/>
  </r>
  <r>
    <n v="32"/>
    <x v="1"/>
    <x v="1"/>
    <s v="Travel_Rarely"/>
    <x v="1"/>
    <s v="Life Sciences"/>
    <x v="3"/>
    <n v="830"/>
    <n v="4"/>
    <x v="1"/>
    <s v="Female"/>
    <n v="2"/>
    <x v="2"/>
    <x v="1"/>
    <n v="6162"/>
    <n v="19124"/>
    <n v="1"/>
    <x v="1"/>
    <n v="3"/>
    <n v="3"/>
    <n v="80"/>
    <n v="14"/>
    <x v="1"/>
    <x v="1"/>
    <n v="14"/>
    <x v="9"/>
    <n v="6"/>
    <n v="8"/>
  </r>
  <r>
    <n v="40"/>
    <x v="1"/>
    <x v="1"/>
    <s v="Travel_Frequently"/>
    <x v="1"/>
    <s v="Medical"/>
    <x v="2"/>
    <n v="832"/>
    <n v="16"/>
    <x v="3"/>
    <s v="Male"/>
    <n v="2"/>
    <x v="2"/>
    <x v="0"/>
    <n v="5094"/>
    <n v="11983"/>
    <n v="6"/>
    <x v="1"/>
    <n v="3"/>
    <n v="4"/>
    <n v="80"/>
    <n v="10"/>
    <x v="6"/>
    <x v="1"/>
    <n v="1"/>
    <x v="2"/>
    <n v="0"/>
    <n v="0"/>
  </r>
  <r>
    <n v="30"/>
    <x v="2"/>
    <x v="1"/>
    <s v="Travel_Rarely"/>
    <x v="1"/>
    <s v="Medical"/>
    <x v="3"/>
    <n v="833"/>
    <n v="2"/>
    <x v="1"/>
    <s v="Female"/>
    <n v="2"/>
    <x v="0"/>
    <x v="0"/>
    <n v="6877"/>
    <n v="20234"/>
    <n v="5"/>
    <x v="0"/>
    <n v="4"/>
    <n v="2"/>
    <n v="80"/>
    <n v="12"/>
    <x v="5"/>
    <x v="2"/>
    <n v="0"/>
    <x v="2"/>
    <n v="0"/>
    <n v="0"/>
  </r>
  <r>
    <n v="45"/>
    <x v="0"/>
    <x v="1"/>
    <s v="Travel_Rarely"/>
    <x v="1"/>
    <s v="Life Sciences"/>
    <x v="1"/>
    <n v="834"/>
    <n v="2"/>
    <x v="0"/>
    <s v="Female"/>
    <n v="1"/>
    <x v="2"/>
    <x v="0"/>
    <n v="2274"/>
    <n v="6153"/>
    <n v="1"/>
    <x v="1"/>
    <n v="3"/>
    <n v="4"/>
    <n v="80"/>
    <n v="1"/>
    <x v="1"/>
    <x v="1"/>
    <n v="1"/>
    <x v="2"/>
    <n v="0"/>
    <n v="0"/>
  </r>
  <r>
    <n v="42"/>
    <x v="0"/>
    <x v="1"/>
    <s v="Travel_Rarely"/>
    <x v="1"/>
    <s v="Life Sciences"/>
    <x v="3"/>
    <n v="836"/>
    <n v="29"/>
    <x v="0"/>
    <s v="Male"/>
    <n v="2"/>
    <x v="1"/>
    <x v="1"/>
    <n v="4434"/>
    <n v="11806"/>
    <n v="1"/>
    <x v="1"/>
    <n v="3"/>
    <n v="4"/>
    <n v="80"/>
    <n v="10"/>
    <x v="1"/>
    <x v="2"/>
    <n v="9"/>
    <x v="6"/>
    <n v="7"/>
    <n v="8"/>
  </r>
  <r>
    <n v="38"/>
    <x v="1"/>
    <x v="1"/>
    <s v="Travel_Frequently"/>
    <x v="1"/>
    <s v="Life Sciences"/>
    <x v="4"/>
    <n v="837"/>
    <n v="12"/>
    <x v="3"/>
    <s v="Male"/>
    <n v="2"/>
    <x v="3"/>
    <x v="2"/>
    <n v="6288"/>
    <n v="4284"/>
    <n v="2"/>
    <x v="1"/>
    <n v="3"/>
    <n v="3"/>
    <n v="80"/>
    <n v="13"/>
    <x v="1"/>
    <x v="2"/>
    <n v="4"/>
    <x v="7"/>
    <n v="1"/>
    <n v="2"/>
  </r>
  <r>
    <n v="34"/>
    <x v="1"/>
    <x v="1"/>
    <s v="Travel_Frequently"/>
    <x v="1"/>
    <s v="Life Sciences"/>
    <x v="1"/>
    <n v="838"/>
    <n v="16"/>
    <x v="1"/>
    <s v="Female"/>
    <n v="1"/>
    <x v="0"/>
    <x v="0"/>
    <n v="2553"/>
    <n v="8306"/>
    <n v="1"/>
    <x v="1"/>
    <n v="3"/>
    <n v="3"/>
    <n v="80"/>
    <n v="6"/>
    <x v="1"/>
    <x v="1"/>
    <n v="5"/>
    <x v="3"/>
    <n v="1"/>
    <n v="3"/>
  </r>
  <r>
    <n v="49"/>
    <x v="0"/>
    <x v="0"/>
    <s v="Travel_Rarely"/>
    <x v="0"/>
    <s v="Marketing"/>
    <x v="0"/>
    <n v="840"/>
    <n v="11"/>
    <x v="1"/>
    <s v="Female"/>
    <n v="3"/>
    <x v="0"/>
    <x v="1"/>
    <n v="7654"/>
    <n v="5860"/>
    <n v="1"/>
    <x v="1"/>
    <n v="3"/>
    <n v="1"/>
    <n v="80"/>
    <n v="9"/>
    <x v="1"/>
    <x v="3"/>
    <n v="9"/>
    <x v="6"/>
    <n v="7"/>
    <n v="7"/>
  </r>
  <r>
    <n v="55"/>
    <x v="3"/>
    <x v="0"/>
    <s v="Travel_Rarely"/>
    <x v="0"/>
    <s v="Medical"/>
    <x v="0"/>
    <n v="842"/>
    <n v="2"/>
    <x v="1"/>
    <s v="Male"/>
    <n v="2"/>
    <x v="0"/>
    <x v="0"/>
    <n v="5160"/>
    <n v="21519"/>
    <n v="4"/>
    <x v="1"/>
    <n v="3"/>
    <n v="3"/>
    <n v="80"/>
    <n v="12"/>
    <x v="1"/>
    <x v="2"/>
    <n v="9"/>
    <x v="1"/>
    <n v="7"/>
    <n v="3"/>
  </r>
  <r>
    <n v="43"/>
    <x v="0"/>
    <x v="1"/>
    <s v="Travel_Rarely"/>
    <x v="1"/>
    <s v="Life Sciences"/>
    <x v="7"/>
    <n v="843"/>
    <n v="14"/>
    <x v="0"/>
    <s v="Male"/>
    <n v="4"/>
    <x v="3"/>
    <x v="1"/>
    <n v="17159"/>
    <n v="5200"/>
    <n v="6"/>
    <x v="1"/>
    <n v="4"/>
    <n v="3"/>
    <n v="80"/>
    <n v="22"/>
    <x v="1"/>
    <x v="1"/>
    <n v="4"/>
    <x v="10"/>
    <n v="1"/>
    <n v="0"/>
  </r>
  <r>
    <n v="27"/>
    <x v="2"/>
    <x v="1"/>
    <s v="Travel_Rarely"/>
    <x v="1"/>
    <s v="Technical Degree"/>
    <x v="7"/>
    <n v="844"/>
    <n v="5"/>
    <x v="1"/>
    <s v="Male"/>
    <n v="3"/>
    <x v="0"/>
    <x v="2"/>
    <n v="12808"/>
    <n v="8842"/>
    <n v="1"/>
    <x v="0"/>
    <n v="3"/>
    <n v="2"/>
    <n v="80"/>
    <n v="9"/>
    <x v="1"/>
    <x v="1"/>
    <n v="9"/>
    <x v="6"/>
    <n v="0"/>
    <n v="8"/>
  </r>
  <r>
    <n v="35"/>
    <x v="1"/>
    <x v="1"/>
    <s v="Travel_Rarely"/>
    <x v="1"/>
    <s v="Other"/>
    <x v="3"/>
    <n v="845"/>
    <n v="7"/>
    <x v="1"/>
    <s v="Male"/>
    <n v="3"/>
    <x v="2"/>
    <x v="0"/>
    <n v="10221"/>
    <n v="18869"/>
    <n v="3"/>
    <x v="1"/>
    <n v="4"/>
    <n v="2"/>
    <n v="80"/>
    <n v="17"/>
    <x v="1"/>
    <x v="3"/>
    <n v="8"/>
    <x v="4"/>
    <n v="1"/>
    <n v="6"/>
  </r>
  <r>
    <n v="28"/>
    <x v="2"/>
    <x v="1"/>
    <s v="Travel_Rarely"/>
    <x v="0"/>
    <s v="Marketing"/>
    <x v="0"/>
    <n v="846"/>
    <n v="2"/>
    <x v="0"/>
    <s v="Female"/>
    <n v="2"/>
    <x v="1"/>
    <x v="1"/>
    <n v="4779"/>
    <n v="3698"/>
    <n v="1"/>
    <x v="0"/>
    <n v="4"/>
    <n v="1"/>
    <n v="80"/>
    <n v="8"/>
    <x v="2"/>
    <x v="1"/>
    <n v="8"/>
    <x v="1"/>
    <n v="7"/>
    <n v="5"/>
  </r>
  <r>
    <n v="34"/>
    <x v="1"/>
    <x v="1"/>
    <s v="Travel_Rarely"/>
    <x v="2"/>
    <s v="Human Resources"/>
    <x v="8"/>
    <n v="847"/>
    <n v="3"/>
    <x v="1"/>
    <s v="Male"/>
    <n v="1"/>
    <x v="0"/>
    <x v="1"/>
    <n v="3737"/>
    <n v="2243"/>
    <n v="0"/>
    <x v="1"/>
    <n v="3"/>
    <n v="3"/>
    <n v="80"/>
    <n v="4"/>
    <x v="4"/>
    <x v="0"/>
    <n v="3"/>
    <x v="3"/>
    <n v="0"/>
    <n v="2"/>
  </r>
  <r>
    <n v="26"/>
    <x v="2"/>
    <x v="0"/>
    <s v="Travel_Frequently"/>
    <x v="1"/>
    <s v="Medical"/>
    <x v="1"/>
    <n v="848"/>
    <n v="5"/>
    <x v="1"/>
    <s v="Female"/>
    <n v="1"/>
    <x v="2"/>
    <x v="1"/>
    <n v="2366"/>
    <n v="20898"/>
    <n v="1"/>
    <x v="0"/>
    <n v="3"/>
    <n v="1"/>
    <n v="80"/>
    <n v="8"/>
    <x v="2"/>
    <x v="1"/>
    <n v="8"/>
    <x v="1"/>
    <n v="1"/>
    <n v="7"/>
  </r>
  <r>
    <n v="27"/>
    <x v="2"/>
    <x v="1"/>
    <s v="Non-Travel"/>
    <x v="1"/>
    <s v="Medical"/>
    <x v="1"/>
    <n v="850"/>
    <n v="3"/>
    <x v="2"/>
    <s v="Male"/>
    <n v="1"/>
    <x v="0"/>
    <x v="1"/>
    <n v="1706"/>
    <n v="16571"/>
    <n v="1"/>
    <x v="1"/>
    <n v="3"/>
    <n v="3"/>
    <n v="80"/>
    <n v="0"/>
    <x v="6"/>
    <x v="2"/>
    <n v="0"/>
    <x v="2"/>
    <n v="0"/>
    <n v="0"/>
  </r>
  <r>
    <n v="51"/>
    <x v="3"/>
    <x v="1"/>
    <s v="Travel_Rarely"/>
    <x v="0"/>
    <s v="Marketing"/>
    <x v="5"/>
    <n v="851"/>
    <n v="26"/>
    <x v="3"/>
    <s v="Female"/>
    <n v="4"/>
    <x v="2"/>
    <x v="1"/>
    <n v="16307"/>
    <n v="5594"/>
    <n v="2"/>
    <x v="1"/>
    <n v="3"/>
    <n v="3"/>
    <n v="80"/>
    <n v="29"/>
    <x v="2"/>
    <x v="2"/>
    <n v="20"/>
    <x v="8"/>
    <n v="4"/>
    <n v="17"/>
  </r>
  <r>
    <n v="44"/>
    <x v="0"/>
    <x v="1"/>
    <s v="Travel_Rarely"/>
    <x v="1"/>
    <s v="Medical"/>
    <x v="4"/>
    <n v="852"/>
    <n v="4"/>
    <x v="2"/>
    <s v="Male"/>
    <n v="2"/>
    <x v="1"/>
    <x v="0"/>
    <n v="5933"/>
    <n v="5197"/>
    <n v="9"/>
    <x v="1"/>
    <n v="3"/>
    <n v="4"/>
    <n v="80"/>
    <n v="10"/>
    <x v="2"/>
    <x v="2"/>
    <n v="5"/>
    <x v="3"/>
    <n v="2"/>
    <n v="3"/>
  </r>
  <r>
    <n v="25"/>
    <x v="2"/>
    <x v="1"/>
    <s v="Travel_Rarely"/>
    <x v="1"/>
    <s v="Medical"/>
    <x v="1"/>
    <n v="854"/>
    <n v="2"/>
    <x v="3"/>
    <s v="Male"/>
    <n v="1"/>
    <x v="3"/>
    <x v="0"/>
    <n v="3424"/>
    <n v="21632"/>
    <n v="7"/>
    <x v="1"/>
    <n v="3"/>
    <n v="3"/>
    <n v="80"/>
    <n v="6"/>
    <x v="1"/>
    <x v="2"/>
    <n v="4"/>
    <x v="7"/>
    <n v="0"/>
    <n v="1"/>
  </r>
  <r>
    <n v="33"/>
    <x v="1"/>
    <x v="1"/>
    <s v="Travel_Rarely"/>
    <x v="0"/>
    <s v="Medical"/>
    <x v="0"/>
    <n v="855"/>
    <n v="1"/>
    <x v="3"/>
    <s v="Male"/>
    <n v="2"/>
    <x v="3"/>
    <x v="2"/>
    <n v="4037"/>
    <n v="21816"/>
    <n v="1"/>
    <x v="1"/>
    <n v="4"/>
    <n v="1"/>
    <n v="80"/>
    <n v="9"/>
    <x v="3"/>
    <x v="1"/>
    <n v="9"/>
    <x v="6"/>
    <n v="0"/>
    <n v="8"/>
  </r>
  <r>
    <n v="35"/>
    <x v="1"/>
    <x v="1"/>
    <s v="Travel_Rarely"/>
    <x v="1"/>
    <s v="Medical"/>
    <x v="1"/>
    <n v="856"/>
    <n v="27"/>
    <x v="1"/>
    <s v="Female"/>
    <n v="1"/>
    <x v="3"/>
    <x v="0"/>
    <n v="2559"/>
    <n v="17852"/>
    <n v="1"/>
    <x v="1"/>
    <n v="3"/>
    <n v="4"/>
    <n v="80"/>
    <n v="6"/>
    <x v="1"/>
    <x v="2"/>
    <n v="6"/>
    <x v="4"/>
    <n v="1"/>
    <n v="1"/>
  </r>
  <r>
    <n v="36"/>
    <x v="1"/>
    <x v="1"/>
    <s v="Travel_Rarely"/>
    <x v="0"/>
    <s v="Life Sciences"/>
    <x v="0"/>
    <n v="857"/>
    <n v="1"/>
    <x v="0"/>
    <s v="Male"/>
    <n v="2"/>
    <x v="0"/>
    <x v="1"/>
    <n v="6201"/>
    <n v="2823"/>
    <n v="1"/>
    <x v="0"/>
    <n v="3"/>
    <n v="4"/>
    <n v="80"/>
    <n v="18"/>
    <x v="4"/>
    <x v="2"/>
    <n v="18"/>
    <x v="12"/>
    <n v="4"/>
    <n v="11"/>
  </r>
  <r>
    <n v="32"/>
    <x v="1"/>
    <x v="1"/>
    <s v="Travel_Rarely"/>
    <x v="0"/>
    <s v="Life Sciences"/>
    <x v="0"/>
    <n v="859"/>
    <n v="13"/>
    <x v="0"/>
    <s v="Male"/>
    <n v="2"/>
    <x v="0"/>
    <x v="2"/>
    <n v="4403"/>
    <n v="9250"/>
    <n v="2"/>
    <x v="1"/>
    <n v="3"/>
    <n v="3"/>
    <n v="80"/>
    <n v="8"/>
    <x v="1"/>
    <x v="2"/>
    <n v="5"/>
    <x v="3"/>
    <n v="0"/>
    <n v="3"/>
  </r>
  <r>
    <n v="30"/>
    <x v="2"/>
    <x v="1"/>
    <s v="Travel_Frequently"/>
    <x v="1"/>
    <s v="Life Sciences"/>
    <x v="1"/>
    <n v="861"/>
    <n v="5"/>
    <x v="0"/>
    <s v="Male"/>
    <n v="1"/>
    <x v="0"/>
    <x v="2"/>
    <n v="3761"/>
    <n v="2373"/>
    <n v="9"/>
    <x v="1"/>
    <n v="3"/>
    <n v="2"/>
    <n v="80"/>
    <n v="10"/>
    <x v="1"/>
    <x v="2"/>
    <n v="5"/>
    <x v="0"/>
    <n v="0"/>
    <n v="3"/>
  </r>
  <r>
    <n v="53"/>
    <x v="3"/>
    <x v="1"/>
    <s v="Travel_Rarely"/>
    <x v="0"/>
    <s v="Marketing"/>
    <x v="0"/>
    <n v="862"/>
    <n v="7"/>
    <x v="3"/>
    <s v="Female"/>
    <n v="3"/>
    <x v="0"/>
    <x v="1"/>
    <n v="10934"/>
    <n v="20715"/>
    <n v="7"/>
    <x v="0"/>
    <n v="3"/>
    <n v="4"/>
    <n v="80"/>
    <n v="35"/>
    <x v="1"/>
    <x v="1"/>
    <n v="5"/>
    <x v="3"/>
    <n v="0"/>
    <n v="4"/>
  </r>
  <r>
    <n v="45"/>
    <x v="0"/>
    <x v="1"/>
    <s v="Travel_Rarely"/>
    <x v="0"/>
    <s v="Marketing"/>
    <x v="0"/>
    <n v="864"/>
    <n v="9"/>
    <x v="2"/>
    <s v="Male"/>
    <n v="3"/>
    <x v="3"/>
    <x v="2"/>
    <n v="10761"/>
    <n v="19239"/>
    <n v="4"/>
    <x v="0"/>
    <n v="3"/>
    <n v="3"/>
    <n v="80"/>
    <n v="18"/>
    <x v="2"/>
    <x v="1"/>
    <n v="5"/>
    <x v="0"/>
    <n v="0"/>
    <n v="2"/>
  </r>
  <r>
    <n v="32"/>
    <x v="1"/>
    <x v="1"/>
    <s v="Travel_Rarely"/>
    <x v="1"/>
    <s v="Medical"/>
    <x v="1"/>
    <n v="865"/>
    <n v="8"/>
    <x v="1"/>
    <s v="Female"/>
    <n v="2"/>
    <x v="2"/>
    <x v="1"/>
    <n v="5175"/>
    <n v="22162"/>
    <n v="5"/>
    <x v="1"/>
    <n v="3"/>
    <n v="3"/>
    <n v="80"/>
    <n v="9"/>
    <x v="1"/>
    <x v="2"/>
    <n v="5"/>
    <x v="7"/>
    <n v="1"/>
    <n v="3"/>
  </r>
  <r>
    <n v="52"/>
    <x v="3"/>
    <x v="1"/>
    <s v="Travel_Frequently"/>
    <x v="1"/>
    <s v="Medical"/>
    <x v="3"/>
    <n v="867"/>
    <n v="25"/>
    <x v="1"/>
    <s v="Female"/>
    <n v="4"/>
    <x v="0"/>
    <x v="1"/>
    <n v="13826"/>
    <n v="19028"/>
    <n v="3"/>
    <x v="1"/>
    <n v="4"/>
    <n v="3"/>
    <n v="80"/>
    <n v="31"/>
    <x v="1"/>
    <x v="1"/>
    <n v="9"/>
    <x v="6"/>
    <n v="0"/>
    <n v="0"/>
  </r>
  <r>
    <n v="37"/>
    <x v="1"/>
    <x v="1"/>
    <s v="Travel_Rarely"/>
    <x v="0"/>
    <s v="Marketing"/>
    <x v="0"/>
    <n v="868"/>
    <n v="16"/>
    <x v="2"/>
    <s v="Male"/>
    <n v="2"/>
    <x v="2"/>
    <x v="2"/>
    <n v="6334"/>
    <n v="24558"/>
    <n v="4"/>
    <x v="1"/>
    <n v="3"/>
    <n v="4"/>
    <n v="80"/>
    <n v="9"/>
    <x v="2"/>
    <x v="1"/>
    <n v="1"/>
    <x v="2"/>
    <n v="0"/>
    <n v="0"/>
  </r>
  <r>
    <n v="28"/>
    <x v="2"/>
    <x v="1"/>
    <s v="Travel_Rarely"/>
    <x v="2"/>
    <s v="Medical"/>
    <x v="8"/>
    <n v="869"/>
    <n v="8"/>
    <x v="0"/>
    <s v="Male"/>
    <n v="1"/>
    <x v="0"/>
    <x v="2"/>
    <n v="4936"/>
    <n v="23965"/>
    <n v="1"/>
    <x v="1"/>
    <n v="3"/>
    <n v="4"/>
    <n v="80"/>
    <n v="6"/>
    <x v="6"/>
    <x v="1"/>
    <n v="5"/>
    <x v="10"/>
    <n v="0"/>
    <n v="4"/>
  </r>
  <r>
    <n v="22"/>
    <x v="2"/>
    <x v="1"/>
    <s v="Travel_Rarely"/>
    <x v="1"/>
    <s v="Life Sciences"/>
    <x v="3"/>
    <n v="872"/>
    <n v="1"/>
    <x v="2"/>
    <s v="Male"/>
    <n v="2"/>
    <x v="0"/>
    <x v="1"/>
    <n v="4775"/>
    <n v="19146"/>
    <n v="6"/>
    <x v="1"/>
    <n v="4"/>
    <n v="1"/>
    <n v="80"/>
    <n v="4"/>
    <x v="2"/>
    <x v="0"/>
    <n v="2"/>
    <x v="3"/>
    <n v="2"/>
    <n v="2"/>
  </r>
  <r>
    <n v="44"/>
    <x v="0"/>
    <x v="1"/>
    <s v="Travel_Rarely"/>
    <x v="1"/>
    <s v="Life Sciences"/>
    <x v="2"/>
    <n v="874"/>
    <n v="8"/>
    <x v="3"/>
    <s v="Male"/>
    <n v="1"/>
    <x v="0"/>
    <x v="1"/>
    <n v="2818"/>
    <n v="5044"/>
    <n v="2"/>
    <x v="0"/>
    <n v="4"/>
    <n v="3"/>
    <n v="80"/>
    <n v="10"/>
    <x v="2"/>
    <x v="2"/>
    <n v="3"/>
    <x v="3"/>
    <n v="0"/>
    <n v="2"/>
  </r>
  <r>
    <n v="42"/>
    <x v="0"/>
    <x v="1"/>
    <s v="Travel_Frequently"/>
    <x v="1"/>
    <s v="Medical"/>
    <x v="1"/>
    <n v="875"/>
    <n v="2"/>
    <x v="0"/>
    <s v="Male"/>
    <n v="1"/>
    <x v="0"/>
    <x v="0"/>
    <n v="2515"/>
    <n v="9068"/>
    <n v="5"/>
    <x v="0"/>
    <n v="3"/>
    <n v="4"/>
    <n v="80"/>
    <n v="8"/>
    <x v="2"/>
    <x v="1"/>
    <n v="2"/>
    <x v="10"/>
    <n v="2"/>
    <n v="2"/>
  </r>
  <r>
    <n v="36"/>
    <x v="1"/>
    <x v="1"/>
    <s v="Travel_Rarely"/>
    <x v="2"/>
    <s v="Life Sciences"/>
    <x v="8"/>
    <n v="878"/>
    <n v="8"/>
    <x v="3"/>
    <s v="Male"/>
    <n v="1"/>
    <x v="3"/>
    <x v="1"/>
    <n v="2342"/>
    <n v="8635"/>
    <n v="0"/>
    <x v="1"/>
    <n v="4"/>
    <n v="3"/>
    <n v="80"/>
    <n v="6"/>
    <x v="1"/>
    <x v="1"/>
    <n v="5"/>
    <x v="0"/>
    <n v="0"/>
    <n v="3"/>
  </r>
  <r>
    <n v="25"/>
    <x v="2"/>
    <x v="1"/>
    <s v="Travel_Rarely"/>
    <x v="0"/>
    <s v="Other"/>
    <x v="0"/>
    <n v="879"/>
    <n v="3"/>
    <x v="1"/>
    <s v="Male"/>
    <n v="2"/>
    <x v="3"/>
    <x v="1"/>
    <n v="4194"/>
    <n v="14363"/>
    <n v="1"/>
    <x v="0"/>
    <n v="3"/>
    <n v="4"/>
    <n v="80"/>
    <n v="5"/>
    <x v="1"/>
    <x v="1"/>
    <n v="5"/>
    <x v="7"/>
    <n v="0"/>
    <n v="3"/>
  </r>
  <r>
    <n v="35"/>
    <x v="1"/>
    <x v="1"/>
    <s v="Travel_Rarely"/>
    <x v="1"/>
    <s v="Life Sciences"/>
    <x v="3"/>
    <n v="880"/>
    <n v="9"/>
    <x v="2"/>
    <s v="Female"/>
    <n v="3"/>
    <x v="2"/>
    <x v="1"/>
    <n v="10685"/>
    <n v="23457"/>
    <n v="1"/>
    <x v="0"/>
    <n v="4"/>
    <n v="2"/>
    <n v="80"/>
    <n v="17"/>
    <x v="2"/>
    <x v="1"/>
    <n v="17"/>
    <x v="12"/>
    <n v="5"/>
    <n v="15"/>
  </r>
  <r>
    <n v="35"/>
    <x v="1"/>
    <x v="0"/>
    <s v="Travel_Frequently"/>
    <x v="1"/>
    <s v="Life Sciences"/>
    <x v="1"/>
    <n v="881"/>
    <n v="25"/>
    <x v="2"/>
    <s v="Female"/>
    <n v="1"/>
    <x v="1"/>
    <x v="2"/>
    <n v="2022"/>
    <n v="16612"/>
    <n v="1"/>
    <x v="0"/>
    <n v="3"/>
    <n v="1"/>
    <n v="80"/>
    <n v="10"/>
    <x v="1"/>
    <x v="2"/>
    <n v="10"/>
    <x v="3"/>
    <n v="7"/>
    <n v="8"/>
  </r>
  <r>
    <n v="32"/>
    <x v="1"/>
    <x v="1"/>
    <s v="Non-Travel"/>
    <x v="1"/>
    <s v="Life Sciences"/>
    <x v="2"/>
    <n v="882"/>
    <n v="1"/>
    <x v="2"/>
    <s v="Male"/>
    <n v="1"/>
    <x v="0"/>
    <x v="2"/>
    <n v="2314"/>
    <n v="9148"/>
    <n v="0"/>
    <x v="1"/>
    <n v="3"/>
    <n v="2"/>
    <n v="80"/>
    <n v="4"/>
    <x v="2"/>
    <x v="1"/>
    <n v="3"/>
    <x v="2"/>
    <n v="0"/>
    <n v="2"/>
  </r>
  <r>
    <n v="25"/>
    <x v="2"/>
    <x v="1"/>
    <s v="Travel_Rarely"/>
    <x v="0"/>
    <s v="Marketing"/>
    <x v="0"/>
    <n v="885"/>
    <n v="4"/>
    <x v="1"/>
    <s v="Male"/>
    <n v="2"/>
    <x v="3"/>
    <x v="1"/>
    <n v="4256"/>
    <n v="18154"/>
    <n v="1"/>
    <x v="1"/>
    <n v="3"/>
    <n v="1"/>
    <n v="80"/>
    <n v="5"/>
    <x v="4"/>
    <x v="3"/>
    <n v="5"/>
    <x v="3"/>
    <n v="0"/>
    <n v="3"/>
  </r>
  <r>
    <n v="49"/>
    <x v="0"/>
    <x v="1"/>
    <s v="Travel_Rarely"/>
    <x v="1"/>
    <s v="Technical Degree"/>
    <x v="1"/>
    <n v="887"/>
    <n v="1"/>
    <x v="1"/>
    <s v="Female"/>
    <n v="1"/>
    <x v="3"/>
    <x v="1"/>
    <n v="3580"/>
    <n v="10554"/>
    <n v="2"/>
    <x v="1"/>
    <n v="3"/>
    <n v="2"/>
    <n v="80"/>
    <n v="7"/>
    <x v="2"/>
    <x v="1"/>
    <n v="4"/>
    <x v="3"/>
    <n v="0"/>
    <n v="2"/>
  </r>
  <r>
    <n v="24"/>
    <x v="2"/>
    <x v="1"/>
    <s v="Non-Travel"/>
    <x v="1"/>
    <s v="Life Sciences"/>
    <x v="2"/>
    <n v="888"/>
    <n v="4"/>
    <x v="3"/>
    <s v="Male"/>
    <n v="1"/>
    <x v="0"/>
    <x v="1"/>
    <n v="3162"/>
    <n v="10778"/>
    <n v="0"/>
    <x v="1"/>
    <n v="3"/>
    <n v="4"/>
    <n v="80"/>
    <n v="6"/>
    <x v="2"/>
    <x v="2"/>
    <n v="5"/>
    <x v="3"/>
    <n v="3"/>
    <n v="4"/>
  </r>
  <r>
    <n v="32"/>
    <x v="1"/>
    <x v="1"/>
    <s v="Travel_Frequently"/>
    <x v="0"/>
    <s v="Life Sciences"/>
    <x v="0"/>
    <n v="889"/>
    <n v="5"/>
    <x v="0"/>
    <s v="Male"/>
    <n v="2"/>
    <x v="1"/>
    <x v="1"/>
    <n v="6524"/>
    <n v="8891"/>
    <n v="1"/>
    <x v="1"/>
    <n v="3"/>
    <n v="4"/>
    <n v="80"/>
    <n v="10"/>
    <x v="1"/>
    <x v="1"/>
    <n v="10"/>
    <x v="6"/>
    <n v="5"/>
    <n v="3"/>
  </r>
  <r>
    <n v="38"/>
    <x v="1"/>
    <x v="1"/>
    <s v="Travel_Rarely"/>
    <x v="0"/>
    <s v="Marketing"/>
    <x v="6"/>
    <n v="893"/>
    <n v="9"/>
    <x v="0"/>
    <s v="Male"/>
    <n v="1"/>
    <x v="1"/>
    <x v="1"/>
    <n v="2899"/>
    <n v="12102"/>
    <n v="0"/>
    <x v="1"/>
    <n v="3"/>
    <n v="4"/>
    <n v="80"/>
    <n v="3"/>
    <x v="1"/>
    <x v="1"/>
    <n v="2"/>
    <x v="3"/>
    <n v="1"/>
    <n v="2"/>
  </r>
  <r>
    <n v="42"/>
    <x v="0"/>
    <x v="1"/>
    <s v="Travel_Rarely"/>
    <x v="1"/>
    <s v="Life Sciences"/>
    <x v="2"/>
    <n v="894"/>
    <n v="3"/>
    <x v="1"/>
    <s v="Female"/>
    <n v="2"/>
    <x v="0"/>
    <x v="1"/>
    <n v="5231"/>
    <n v="23726"/>
    <n v="2"/>
    <x v="0"/>
    <n v="3"/>
    <n v="2"/>
    <n v="80"/>
    <n v="17"/>
    <x v="4"/>
    <x v="2"/>
    <n v="5"/>
    <x v="7"/>
    <n v="1"/>
    <n v="3"/>
  </r>
  <r>
    <n v="31"/>
    <x v="1"/>
    <x v="1"/>
    <s v="Travel_Rarely"/>
    <x v="1"/>
    <s v="Life Sciences"/>
    <x v="1"/>
    <n v="895"/>
    <n v="11"/>
    <x v="2"/>
    <s v="Male"/>
    <n v="1"/>
    <x v="0"/>
    <x v="1"/>
    <n v="2356"/>
    <n v="14871"/>
    <n v="3"/>
    <x v="0"/>
    <n v="3"/>
    <n v="2"/>
    <n v="80"/>
    <n v="8"/>
    <x v="2"/>
    <x v="1"/>
    <n v="6"/>
    <x v="0"/>
    <n v="0"/>
    <n v="2"/>
  </r>
  <r>
    <n v="29"/>
    <x v="2"/>
    <x v="0"/>
    <s v="Travel_Rarely"/>
    <x v="0"/>
    <s v="Medical"/>
    <x v="6"/>
    <n v="896"/>
    <n v="1"/>
    <x v="0"/>
    <s v="Female"/>
    <n v="1"/>
    <x v="2"/>
    <x v="2"/>
    <n v="2800"/>
    <n v="23522"/>
    <n v="6"/>
    <x v="0"/>
    <n v="3"/>
    <n v="3"/>
    <n v="80"/>
    <n v="5"/>
    <x v="1"/>
    <x v="1"/>
    <n v="3"/>
    <x v="3"/>
    <n v="0"/>
    <n v="2"/>
  </r>
  <r>
    <n v="53"/>
    <x v="3"/>
    <x v="1"/>
    <s v="Travel_Rarely"/>
    <x v="0"/>
    <s v="Marketing"/>
    <x v="0"/>
    <n v="897"/>
    <n v="8"/>
    <x v="3"/>
    <s v="Male"/>
    <n v="4"/>
    <x v="0"/>
    <x v="1"/>
    <n v="11836"/>
    <n v="22789"/>
    <n v="5"/>
    <x v="1"/>
    <n v="3"/>
    <n v="3"/>
    <n v="80"/>
    <n v="28"/>
    <x v="1"/>
    <x v="1"/>
    <n v="2"/>
    <x v="2"/>
    <n v="2"/>
    <n v="2"/>
  </r>
  <r>
    <n v="35"/>
    <x v="1"/>
    <x v="1"/>
    <s v="Travel_Rarely"/>
    <x v="1"/>
    <s v="Technical Degree"/>
    <x v="3"/>
    <n v="899"/>
    <n v="25"/>
    <x v="2"/>
    <s v="Male"/>
    <n v="3"/>
    <x v="1"/>
    <x v="1"/>
    <n v="10903"/>
    <n v="9129"/>
    <n v="3"/>
    <x v="1"/>
    <n v="3"/>
    <n v="1"/>
    <n v="80"/>
    <n v="16"/>
    <x v="2"/>
    <x v="1"/>
    <n v="13"/>
    <x v="15"/>
    <n v="4"/>
    <n v="8"/>
  </r>
  <r>
    <n v="37"/>
    <x v="1"/>
    <x v="1"/>
    <s v="Travel_Frequently"/>
    <x v="0"/>
    <s v="Medical"/>
    <x v="6"/>
    <n v="900"/>
    <n v="21"/>
    <x v="1"/>
    <s v="Female"/>
    <n v="1"/>
    <x v="0"/>
    <x v="1"/>
    <n v="2973"/>
    <n v="21222"/>
    <n v="5"/>
    <x v="1"/>
    <n v="3"/>
    <n v="2"/>
    <n v="80"/>
    <n v="10"/>
    <x v="1"/>
    <x v="1"/>
    <n v="5"/>
    <x v="0"/>
    <n v="0"/>
    <n v="0"/>
  </r>
  <r>
    <n v="53"/>
    <x v="3"/>
    <x v="1"/>
    <s v="Travel_Rarely"/>
    <x v="1"/>
    <s v="Life Sciences"/>
    <x v="7"/>
    <n v="901"/>
    <n v="23"/>
    <x v="2"/>
    <s v="Female"/>
    <n v="4"/>
    <x v="0"/>
    <x v="0"/>
    <n v="14275"/>
    <n v="20206"/>
    <n v="6"/>
    <x v="1"/>
    <n v="3"/>
    <n v="3"/>
    <n v="80"/>
    <n v="33"/>
    <x v="0"/>
    <x v="1"/>
    <n v="12"/>
    <x v="5"/>
    <n v="3"/>
    <n v="8"/>
  </r>
  <r>
    <n v="43"/>
    <x v="0"/>
    <x v="1"/>
    <s v="Travel_Frequently"/>
    <x v="1"/>
    <s v="Life Sciences"/>
    <x v="4"/>
    <n v="902"/>
    <n v="1"/>
    <x v="2"/>
    <s v="Female"/>
    <n v="2"/>
    <x v="0"/>
    <x v="1"/>
    <n v="5562"/>
    <n v="21782"/>
    <n v="4"/>
    <x v="1"/>
    <n v="3"/>
    <n v="2"/>
    <n v="80"/>
    <n v="12"/>
    <x v="2"/>
    <x v="2"/>
    <n v="5"/>
    <x v="3"/>
    <n v="2"/>
    <n v="2"/>
  </r>
  <r>
    <n v="47"/>
    <x v="0"/>
    <x v="1"/>
    <s v="Travel_Rarely"/>
    <x v="0"/>
    <s v="Marketing"/>
    <x v="0"/>
    <n v="903"/>
    <n v="2"/>
    <x v="1"/>
    <s v="Female"/>
    <n v="2"/>
    <x v="0"/>
    <x v="1"/>
    <n v="4537"/>
    <n v="17783"/>
    <n v="0"/>
    <x v="0"/>
    <n v="4"/>
    <n v="1"/>
    <n v="80"/>
    <n v="8"/>
    <x v="2"/>
    <x v="1"/>
    <n v="7"/>
    <x v="8"/>
    <n v="7"/>
    <n v="7"/>
  </r>
  <r>
    <n v="37"/>
    <x v="1"/>
    <x v="1"/>
    <s v="Non-Travel"/>
    <x v="0"/>
    <s v="Medical"/>
    <x v="0"/>
    <n v="904"/>
    <n v="19"/>
    <x v="3"/>
    <s v="Male"/>
    <n v="3"/>
    <x v="1"/>
    <x v="0"/>
    <n v="7642"/>
    <n v="4814"/>
    <n v="1"/>
    <x v="0"/>
    <n v="3"/>
    <n v="4"/>
    <n v="80"/>
    <n v="10"/>
    <x v="2"/>
    <x v="1"/>
    <n v="10"/>
    <x v="2"/>
    <n v="0"/>
    <n v="9"/>
  </r>
  <r>
    <n v="50"/>
    <x v="0"/>
    <x v="1"/>
    <s v="Non-Travel"/>
    <x v="1"/>
    <s v="Life Sciences"/>
    <x v="5"/>
    <n v="905"/>
    <n v="2"/>
    <x v="3"/>
    <s v="Male"/>
    <n v="4"/>
    <x v="3"/>
    <x v="2"/>
    <n v="17924"/>
    <n v="4544"/>
    <n v="1"/>
    <x v="1"/>
    <n v="3"/>
    <n v="4"/>
    <n v="80"/>
    <n v="31"/>
    <x v="1"/>
    <x v="1"/>
    <n v="31"/>
    <x v="8"/>
    <n v="14"/>
    <n v="7"/>
  </r>
  <r>
    <n v="39"/>
    <x v="1"/>
    <x v="1"/>
    <s v="Travel_Rarely"/>
    <x v="2"/>
    <s v="Life Sciences"/>
    <x v="8"/>
    <n v="909"/>
    <n v="2"/>
    <x v="2"/>
    <s v="Female"/>
    <n v="2"/>
    <x v="0"/>
    <x v="1"/>
    <n v="5204"/>
    <n v="7790"/>
    <n v="8"/>
    <x v="1"/>
    <n v="3"/>
    <n v="3"/>
    <n v="80"/>
    <n v="13"/>
    <x v="2"/>
    <x v="1"/>
    <n v="5"/>
    <x v="0"/>
    <n v="0"/>
    <n v="4"/>
  </r>
  <r>
    <n v="33"/>
    <x v="1"/>
    <x v="1"/>
    <s v="Travel_Rarely"/>
    <x v="2"/>
    <s v="Human Resources"/>
    <x v="8"/>
    <n v="910"/>
    <n v="3"/>
    <x v="2"/>
    <s v="Male"/>
    <n v="1"/>
    <x v="1"/>
    <x v="2"/>
    <n v="2277"/>
    <n v="22650"/>
    <n v="3"/>
    <x v="0"/>
    <n v="3"/>
    <n v="3"/>
    <n v="80"/>
    <n v="7"/>
    <x v="5"/>
    <x v="3"/>
    <n v="4"/>
    <x v="7"/>
    <n v="0"/>
    <n v="3"/>
  </r>
  <r>
    <n v="32"/>
    <x v="1"/>
    <x v="0"/>
    <s v="Travel_Rarely"/>
    <x v="1"/>
    <s v="Life Sciences"/>
    <x v="2"/>
    <n v="911"/>
    <n v="25"/>
    <x v="3"/>
    <s v="Male"/>
    <n v="1"/>
    <x v="0"/>
    <x v="0"/>
    <n v="2795"/>
    <n v="18016"/>
    <n v="1"/>
    <x v="0"/>
    <n v="4"/>
    <n v="3"/>
    <n v="80"/>
    <n v="1"/>
    <x v="2"/>
    <x v="0"/>
    <n v="1"/>
    <x v="2"/>
    <n v="0"/>
    <n v="1"/>
  </r>
  <r>
    <n v="29"/>
    <x v="2"/>
    <x v="1"/>
    <s v="Travel_Rarely"/>
    <x v="1"/>
    <s v="Medical"/>
    <x v="2"/>
    <n v="912"/>
    <n v="7"/>
    <x v="3"/>
    <s v="Female"/>
    <n v="1"/>
    <x v="0"/>
    <x v="2"/>
    <n v="2532"/>
    <n v="6054"/>
    <n v="6"/>
    <x v="1"/>
    <n v="3"/>
    <n v="3"/>
    <n v="80"/>
    <n v="8"/>
    <x v="3"/>
    <x v="1"/>
    <n v="4"/>
    <x v="7"/>
    <n v="0"/>
    <n v="3"/>
  </r>
  <r>
    <n v="44"/>
    <x v="0"/>
    <x v="1"/>
    <s v="Travel_Rarely"/>
    <x v="1"/>
    <s v="Life Sciences"/>
    <x v="1"/>
    <n v="913"/>
    <n v="9"/>
    <x v="0"/>
    <s v="Male"/>
    <n v="1"/>
    <x v="3"/>
    <x v="1"/>
    <n v="2559"/>
    <n v="7508"/>
    <n v="1"/>
    <x v="0"/>
    <n v="3"/>
    <n v="4"/>
    <n v="80"/>
    <n v="8"/>
    <x v="0"/>
    <x v="1"/>
    <n v="8"/>
    <x v="1"/>
    <n v="7"/>
    <n v="1"/>
  </r>
  <r>
    <n v="28"/>
    <x v="2"/>
    <x v="1"/>
    <s v="Travel_Rarely"/>
    <x v="0"/>
    <s v="Medical"/>
    <x v="0"/>
    <n v="916"/>
    <n v="5"/>
    <x v="3"/>
    <s v="Male"/>
    <n v="2"/>
    <x v="0"/>
    <x v="0"/>
    <n v="4908"/>
    <n v="24252"/>
    <n v="1"/>
    <x v="1"/>
    <n v="3"/>
    <n v="2"/>
    <n v="80"/>
    <n v="4"/>
    <x v="1"/>
    <x v="1"/>
    <n v="4"/>
    <x v="3"/>
    <n v="0"/>
    <n v="2"/>
  </r>
  <r>
    <n v="58"/>
    <x v="3"/>
    <x v="0"/>
    <s v="Travel_Frequently"/>
    <x v="1"/>
    <s v="Life Sciences"/>
    <x v="2"/>
    <n v="918"/>
    <n v="2"/>
    <x v="2"/>
    <s v="Male"/>
    <n v="1"/>
    <x v="0"/>
    <x v="2"/>
    <n v="2380"/>
    <n v="13384"/>
    <n v="9"/>
    <x v="0"/>
    <n v="3"/>
    <n v="4"/>
    <n v="80"/>
    <n v="3"/>
    <x v="1"/>
    <x v="2"/>
    <n v="1"/>
    <x v="2"/>
    <n v="0"/>
    <n v="0"/>
  </r>
  <r>
    <n v="43"/>
    <x v="0"/>
    <x v="1"/>
    <s v="Travel_Rarely"/>
    <x v="1"/>
    <s v="Life Sciences"/>
    <x v="3"/>
    <n v="920"/>
    <n v="8"/>
    <x v="3"/>
    <s v="Female"/>
    <n v="2"/>
    <x v="1"/>
    <x v="2"/>
    <n v="4765"/>
    <n v="23814"/>
    <n v="4"/>
    <x v="1"/>
    <n v="4"/>
    <n v="3"/>
    <n v="80"/>
    <n v="4"/>
    <x v="2"/>
    <x v="3"/>
    <n v="1"/>
    <x v="2"/>
    <n v="0"/>
    <n v="0"/>
  </r>
  <r>
    <n v="20"/>
    <x v="4"/>
    <x v="0"/>
    <s v="Travel_Rarely"/>
    <x v="0"/>
    <s v="Medical"/>
    <x v="6"/>
    <n v="922"/>
    <n v="2"/>
    <x v="1"/>
    <s v="Female"/>
    <n v="1"/>
    <x v="2"/>
    <x v="0"/>
    <n v="2044"/>
    <n v="22052"/>
    <n v="1"/>
    <x v="1"/>
    <n v="3"/>
    <n v="4"/>
    <n v="80"/>
    <n v="2"/>
    <x v="1"/>
    <x v="2"/>
    <n v="2"/>
    <x v="3"/>
    <n v="0"/>
    <n v="2"/>
  </r>
  <r>
    <n v="21"/>
    <x v="2"/>
    <x v="0"/>
    <s v="Travel_Rarely"/>
    <x v="1"/>
    <s v="Other"/>
    <x v="1"/>
    <n v="923"/>
    <n v="18"/>
    <x v="2"/>
    <s v="Female"/>
    <n v="1"/>
    <x v="0"/>
    <x v="0"/>
    <n v="2693"/>
    <n v="8870"/>
    <n v="1"/>
    <x v="1"/>
    <n v="3"/>
    <n v="1"/>
    <n v="80"/>
    <n v="1"/>
    <x v="1"/>
    <x v="2"/>
    <n v="1"/>
    <x v="2"/>
    <n v="0"/>
    <n v="0"/>
  </r>
  <r>
    <n v="36"/>
    <x v="1"/>
    <x v="1"/>
    <s v="Travel_Rarely"/>
    <x v="1"/>
    <s v="Life Sciences"/>
    <x v="4"/>
    <n v="924"/>
    <n v="14"/>
    <x v="1"/>
    <s v="Male"/>
    <n v="2"/>
    <x v="0"/>
    <x v="1"/>
    <n v="6586"/>
    <n v="4821"/>
    <n v="0"/>
    <x v="0"/>
    <n v="3"/>
    <n v="1"/>
    <n v="80"/>
    <n v="17"/>
    <x v="2"/>
    <x v="2"/>
    <n v="16"/>
    <x v="6"/>
    <n v="4"/>
    <n v="11"/>
  </r>
  <r>
    <n v="47"/>
    <x v="0"/>
    <x v="1"/>
    <s v="Travel_Rarely"/>
    <x v="0"/>
    <s v="Life Sciences"/>
    <x v="6"/>
    <n v="925"/>
    <n v="2"/>
    <x v="2"/>
    <s v="Female"/>
    <n v="1"/>
    <x v="0"/>
    <x v="0"/>
    <n v="3294"/>
    <n v="13137"/>
    <n v="1"/>
    <x v="0"/>
    <n v="3"/>
    <n v="1"/>
    <n v="80"/>
    <n v="3"/>
    <x v="1"/>
    <x v="2"/>
    <n v="3"/>
    <x v="3"/>
    <n v="1"/>
    <n v="2"/>
  </r>
  <r>
    <n v="22"/>
    <x v="2"/>
    <x v="0"/>
    <s v="Travel_Rarely"/>
    <x v="1"/>
    <s v="Life Sciences"/>
    <x v="3"/>
    <n v="926"/>
    <n v="3"/>
    <x v="0"/>
    <s v="Female"/>
    <n v="2"/>
    <x v="2"/>
    <x v="1"/>
    <n v="4171"/>
    <n v="10022"/>
    <n v="0"/>
    <x v="0"/>
    <n v="3"/>
    <n v="1"/>
    <n v="80"/>
    <n v="4"/>
    <x v="1"/>
    <x v="3"/>
    <n v="3"/>
    <x v="3"/>
    <n v="0"/>
    <n v="2"/>
  </r>
  <r>
    <n v="41"/>
    <x v="0"/>
    <x v="0"/>
    <s v="Travel_Rarely"/>
    <x v="1"/>
    <s v="Life Sciences"/>
    <x v="2"/>
    <n v="927"/>
    <n v="2"/>
    <x v="0"/>
    <s v="Female"/>
    <n v="1"/>
    <x v="0"/>
    <x v="2"/>
    <n v="2778"/>
    <n v="17725"/>
    <n v="4"/>
    <x v="0"/>
    <n v="3"/>
    <n v="3"/>
    <n v="80"/>
    <n v="10"/>
    <x v="4"/>
    <x v="2"/>
    <n v="7"/>
    <x v="1"/>
    <n v="1"/>
    <n v="0"/>
  </r>
  <r>
    <n v="28"/>
    <x v="2"/>
    <x v="1"/>
    <s v="Travel_Rarely"/>
    <x v="1"/>
    <s v="Medical"/>
    <x v="1"/>
    <n v="930"/>
    <n v="9"/>
    <x v="1"/>
    <s v="Female"/>
    <n v="1"/>
    <x v="2"/>
    <x v="2"/>
    <n v="2377"/>
    <n v="9834"/>
    <n v="5"/>
    <x v="1"/>
    <n v="3"/>
    <n v="2"/>
    <n v="80"/>
    <n v="6"/>
    <x v="2"/>
    <x v="1"/>
    <n v="2"/>
    <x v="3"/>
    <n v="2"/>
    <n v="2"/>
  </r>
  <r>
    <n v="39"/>
    <x v="1"/>
    <x v="0"/>
    <s v="Travel_Rarely"/>
    <x v="1"/>
    <s v="Medical"/>
    <x v="2"/>
    <n v="932"/>
    <n v="6"/>
    <x v="2"/>
    <s v="Male"/>
    <n v="1"/>
    <x v="3"/>
    <x v="1"/>
    <n v="2404"/>
    <n v="4303"/>
    <n v="7"/>
    <x v="0"/>
    <n v="4"/>
    <n v="4"/>
    <n v="80"/>
    <n v="8"/>
    <x v="2"/>
    <x v="0"/>
    <n v="2"/>
    <x v="3"/>
    <n v="2"/>
    <n v="2"/>
  </r>
  <r>
    <n v="27"/>
    <x v="2"/>
    <x v="1"/>
    <s v="Travel_Rarely"/>
    <x v="1"/>
    <s v="Life Sciences"/>
    <x v="1"/>
    <n v="933"/>
    <n v="4"/>
    <x v="0"/>
    <s v="Female"/>
    <n v="1"/>
    <x v="2"/>
    <x v="0"/>
    <n v="2318"/>
    <n v="17808"/>
    <n v="1"/>
    <x v="1"/>
    <n v="3"/>
    <n v="3"/>
    <n v="80"/>
    <n v="1"/>
    <x v="2"/>
    <x v="1"/>
    <n v="1"/>
    <x v="10"/>
    <n v="0"/>
    <n v="0"/>
  </r>
  <r>
    <n v="34"/>
    <x v="1"/>
    <x v="1"/>
    <s v="Travel_Rarely"/>
    <x v="1"/>
    <s v="Life Sciences"/>
    <x v="2"/>
    <n v="934"/>
    <n v="10"/>
    <x v="0"/>
    <s v="Male"/>
    <n v="1"/>
    <x v="1"/>
    <x v="2"/>
    <n v="2008"/>
    <n v="6896"/>
    <n v="1"/>
    <x v="1"/>
    <n v="3"/>
    <n v="2"/>
    <n v="80"/>
    <n v="1"/>
    <x v="1"/>
    <x v="1"/>
    <n v="1"/>
    <x v="2"/>
    <n v="1"/>
    <n v="0"/>
  </r>
  <r>
    <n v="42"/>
    <x v="0"/>
    <x v="1"/>
    <s v="Travel_Rarely"/>
    <x v="0"/>
    <s v="Medical"/>
    <x v="0"/>
    <n v="936"/>
    <n v="14"/>
    <x v="1"/>
    <s v="Female"/>
    <n v="2"/>
    <x v="2"/>
    <x v="0"/>
    <n v="6244"/>
    <n v="7824"/>
    <n v="7"/>
    <x v="1"/>
    <n v="3"/>
    <n v="1"/>
    <n v="80"/>
    <n v="10"/>
    <x v="6"/>
    <x v="1"/>
    <n v="5"/>
    <x v="0"/>
    <n v="0"/>
    <n v="3"/>
  </r>
  <r>
    <n v="33"/>
    <x v="1"/>
    <x v="1"/>
    <s v="Travel_Rarely"/>
    <x v="1"/>
    <s v="Other"/>
    <x v="1"/>
    <n v="939"/>
    <n v="1"/>
    <x v="1"/>
    <s v="Male"/>
    <n v="1"/>
    <x v="3"/>
    <x v="0"/>
    <n v="2799"/>
    <n v="3339"/>
    <n v="3"/>
    <x v="0"/>
    <n v="3"/>
    <n v="2"/>
    <n v="80"/>
    <n v="6"/>
    <x v="4"/>
    <x v="1"/>
    <n v="3"/>
    <x v="3"/>
    <n v="0"/>
    <n v="2"/>
  </r>
  <r>
    <n v="58"/>
    <x v="3"/>
    <x v="1"/>
    <s v="Travel_Rarely"/>
    <x v="1"/>
    <s v="Technical Degree"/>
    <x v="4"/>
    <n v="940"/>
    <n v="5"/>
    <x v="1"/>
    <s v="Female"/>
    <n v="3"/>
    <x v="1"/>
    <x v="2"/>
    <n v="10552"/>
    <n v="9255"/>
    <n v="2"/>
    <x v="0"/>
    <n v="3"/>
    <n v="4"/>
    <n v="80"/>
    <n v="24"/>
    <x v="1"/>
    <x v="1"/>
    <n v="6"/>
    <x v="2"/>
    <n v="0"/>
    <n v="4"/>
  </r>
  <r>
    <n v="31"/>
    <x v="1"/>
    <x v="1"/>
    <s v="Travel_Rarely"/>
    <x v="0"/>
    <s v="Life Sciences"/>
    <x v="6"/>
    <n v="941"/>
    <n v="7"/>
    <x v="0"/>
    <s v="Male"/>
    <n v="1"/>
    <x v="2"/>
    <x v="1"/>
    <n v="2329"/>
    <n v="11737"/>
    <n v="3"/>
    <x v="1"/>
    <n v="3"/>
    <n v="2"/>
    <n v="80"/>
    <n v="13"/>
    <x v="2"/>
    <x v="3"/>
    <n v="7"/>
    <x v="1"/>
    <n v="5"/>
    <n v="2"/>
  </r>
  <r>
    <n v="35"/>
    <x v="1"/>
    <x v="1"/>
    <s v="Travel_Rarely"/>
    <x v="1"/>
    <s v="Life Sciences"/>
    <x v="4"/>
    <n v="942"/>
    <n v="21"/>
    <x v="2"/>
    <s v="Female"/>
    <n v="2"/>
    <x v="0"/>
    <x v="1"/>
    <n v="4014"/>
    <n v="19170"/>
    <n v="1"/>
    <x v="0"/>
    <n v="4"/>
    <n v="4"/>
    <n v="80"/>
    <n v="10"/>
    <x v="2"/>
    <x v="0"/>
    <n v="10"/>
    <x v="8"/>
    <n v="0"/>
    <n v="7"/>
  </r>
  <r>
    <n v="49"/>
    <x v="0"/>
    <x v="1"/>
    <s v="Travel_Rarely"/>
    <x v="1"/>
    <s v="Other"/>
    <x v="2"/>
    <n v="944"/>
    <n v="8"/>
    <x v="3"/>
    <s v="Female"/>
    <n v="3"/>
    <x v="1"/>
    <x v="1"/>
    <n v="7403"/>
    <n v="22477"/>
    <n v="4"/>
    <x v="1"/>
    <n v="3"/>
    <n v="3"/>
    <n v="80"/>
    <n v="29"/>
    <x v="1"/>
    <x v="2"/>
    <n v="26"/>
    <x v="5"/>
    <n v="1"/>
    <n v="7"/>
  </r>
  <r>
    <n v="48"/>
    <x v="0"/>
    <x v="1"/>
    <s v="Travel_Rarely"/>
    <x v="1"/>
    <s v="Medical"/>
    <x v="1"/>
    <n v="945"/>
    <n v="20"/>
    <x v="2"/>
    <s v="Male"/>
    <n v="1"/>
    <x v="2"/>
    <x v="1"/>
    <n v="2259"/>
    <n v="5543"/>
    <n v="4"/>
    <x v="1"/>
    <n v="3"/>
    <n v="1"/>
    <n v="80"/>
    <n v="13"/>
    <x v="2"/>
    <x v="2"/>
    <n v="0"/>
    <x v="2"/>
    <n v="0"/>
    <n v="0"/>
  </r>
  <r>
    <n v="31"/>
    <x v="1"/>
    <x v="1"/>
    <s v="Non-Travel"/>
    <x v="0"/>
    <s v="Marketing"/>
    <x v="0"/>
    <n v="947"/>
    <n v="20"/>
    <x v="2"/>
    <s v="Female"/>
    <n v="2"/>
    <x v="2"/>
    <x v="1"/>
    <n v="6932"/>
    <n v="24406"/>
    <n v="1"/>
    <x v="1"/>
    <n v="3"/>
    <n v="4"/>
    <n v="80"/>
    <n v="9"/>
    <x v="2"/>
    <x v="2"/>
    <n v="9"/>
    <x v="6"/>
    <n v="0"/>
    <n v="0"/>
  </r>
  <r>
    <n v="36"/>
    <x v="1"/>
    <x v="1"/>
    <s v="Travel_Rarely"/>
    <x v="1"/>
    <s v="Other"/>
    <x v="1"/>
    <n v="949"/>
    <n v="7"/>
    <x v="0"/>
    <s v="Male"/>
    <n v="1"/>
    <x v="0"/>
    <x v="0"/>
    <n v="4678"/>
    <n v="23293"/>
    <n v="2"/>
    <x v="1"/>
    <n v="3"/>
    <n v="3"/>
    <n v="80"/>
    <n v="8"/>
    <x v="6"/>
    <x v="1"/>
    <n v="6"/>
    <x v="3"/>
    <n v="0"/>
    <n v="1"/>
  </r>
  <r>
    <n v="38"/>
    <x v="1"/>
    <x v="1"/>
    <s v="Travel_Rarely"/>
    <x v="1"/>
    <s v="Technical Degree"/>
    <x v="7"/>
    <n v="950"/>
    <n v="1"/>
    <x v="2"/>
    <s v="Female"/>
    <n v="3"/>
    <x v="3"/>
    <x v="1"/>
    <n v="13582"/>
    <n v="16292"/>
    <n v="1"/>
    <x v="1"/>
    <n v="3"/>
    <n v="2"/>
    <n v="80"/>
    <n v="15"/>
    <x v="1"/>
    <x v="1"/>
    <n v="15"/>
    <x v="16"/>
    <n v="5"/>
    <n v="11"/>
  </r>
  <r>
    <n v="32"/>
    <x v="1"/>
    <x v="1"/>
    <s v="Non-Travel"/>
    <x v="1"/>
    <s v="Life Sciences"/>
    <x v="2"/>
    <n v="951"/>
    <n v="1"/>
    <x v="1"/>
    <s v="Female"/>
    <n v="1"/>
    <x v="1"/>
    <x v="1"/>
    <n v="2332"/>
    <n v="3974"/>
    <n v="6"/>
    <x v="1"/>
    <n v="4"/>
    <n v="3"/>
    <n v="80"/>
    <n v="5"/>
    <x v="1"/>
    <x v="1"/>
    <n v="3"/>
    <x v="2"/>
    <n v="0"/>
    <n v="2"/>
  </r>
  <r>
    <n v="25"/>
    <x v="2"/>
    <x v="0"/>
    <s v="Travel_Rarely"/>
    <x v="0"/>
    <s v="Marketing"/>
    <x v="6"/>
    <n v="952"/>
    <n v="19"/>
    <x v="1"/>
    <s v="Male"/>
    <n v="1"/>
    <x v="1"/>
    <x v="1"/>
    <n v="2413"/>
    <n v="18798"/>
    <n v="1"/>
    <x v="0"/>
    <n v="3"/>
    <n v="3"/>
    <n v="80"/>
    <n v="1"/>
    <x v="2"/>
    <x v="1"/>
    <n v="1"/>
    <x v="2"/>
    <n v="0"/>
    <n v="0"/>
  </r>
  <r>
    <n v="40"/>
    <x v="1"/>
    <x v="1"/>
    <s v="Travel_Rarely"/>
    <x v="0"/>
    <s v="Marketing"/>
    <x v="0"/>
    <n v="954"/>
    <n v="10"/>
    <x v="3"/>
    <s v="Male"/>
    <n v="3"/>
    <x v="1"/>
    <x v="2"/>
    <n v="9705"/>
    <n v="20652"/>
    <n v="2"/>
    <x v="1"/>
    <n v="3"/>
    <n v="2"/>
    <n v="80"/>
    <n v="11"/>
    <x v="2"/>
    <x v="2"/>
    <n v="1"/>
    <x v="2"/>
    <n v="0"/>
    <n v="0"/>
  </r>
  <r>
    <n v="26"/>
    <x v="2"/>
    <x v="1"/>
    <s v="Travel_Frequently"/>
    <x v="0"/>
    <s v="Medical"/>
    <x v="0"/>
    <n v="956"/>
    <n v="1"/>
    <x v="1"/>
    <s v="Male"/>
    <n v="2"/>
    <x v="3"/>
    <x v="0"/>
    <n v="4294"/>
    <n v="11148"/>
    <n v="1"/>
    <x v="1"/>
    <n v="3"/>
    <n v="2"/>
    <n v="80"/>
    <n v="7"/>
    <x v="2"/>
    <x v="1"/>
    <n v="7"/>
    <x v="1"/>
    <n v="0"/>
    <n v="7"/>
  </r>
  <r>
    <n v="41"/>
    <x v="0"/>
    <x v="1"/>
    <s v="Travel_Rarely"/>
    <x v="1"/>
    <s v="Medical"/>
    <x v="2"/>
    <n v="957"/>
    <n v="6"/>
    <x v="2"/>
    <s v="Male"/>
    <n v="1"/>
    <x v="3"/>
    <x v="0"/>
    <n v="4721"/>
    <n v="3119"/>
    <n v="2"/>
    <x v="0"/>
    <n v="3"/>
    <n v="3"/>
    <n v="80"/>
    <n v="20"/>
    <x v="1"/>
    <x v="1"/>
    <n v="18"/>
    <x v="9"/>
    <n v="2"/>
    <n v="17"/>
  </r>
  <r>
    <n v="36"/>
    <x v="1"/>
    <x v="1"/>
    <s v="Travel_Rarely"/>
    <x v="1"/>
    <s v="Medical"/>
    <x v="2"/>
    <n v="958"/>
    <n v="2"/>
    <x v="1"/>
    <s v="Male"/>
    <n v="1"/>
    <x v="2"/>
    <x v="0"/>
    <n v="2519"/>
    <n v="12287"/>
    <n v="4"/>
    <x v="1"/>
    <n v="4"/>
    <n v="3"/>
    <n v="80"/>
    <n v="16"/>
    <x v="6"/>
    <x v="1"/>
    <n v="11"/>
    <x v="6"/>
    <n v="3"/>
    <n v="9"/>
  </r>
  <r>
    <n v="19"/>
    <x v="4"/>
    <x v="0"/>
    <s v="Travel_Rarely"/>
    <x v="0"/>
    <s v="Other"/>
    <x v="6"/>
    <n v="959"/>
    <n v="21"/>
    <x v="2"/>
    <s v="Male"/>
    <n v="1"/>
    <x v="1"/>
    <x v="0"/>
    <n v="2121"/>
    <n v="9947"/>
    <n v="1"/>
    <x v="0"/>
    <n v="3"/>
    <n v="2"/>
    <n v="80"/>
    <n v="1"/>
    <x v="1"/>
    <x v="3"/>
    <n v="1"/>
    <x v="2"/>
    <n v="0"/>
    <n v="0"/>
  </r>
  <r>
    <n v="20"/>
    <x v="4"/>
    <x v="0"/>
    <s v="Travel_Rarely"/>
    <x v="1"/>
    <s v="Technical Degree"/>
    <x v="2"/>
    <n v="960"/>
    <n v="4"/>
    <x v="3"/>
    <s v="Male"/>
    <n v="1"/>
    <x v="3"/>
    <x v="0"/>
    <n v="2973"/>
    <n v="13008"/>
    <n v="1"/>
    <x v="1"/>
    <n v="3"/>
    <n v="2"/>
    <n v="80"/>
    <n v="1"/>
    <x v="2"/>
    <x v="1"/>
    <n v="1"/>
    <x v="2"/>
    <n v="0"/>
    <n v="0"/>
  </r>
  <r>
    <n v="31"/>
    <x v="1"/>
    <x v="1"/>
    <s v="Travel_Rarely"/>
    <x v="1"/>
    <s v="Medical"/>
    <x v="4"/>
    <n v="961"/>
    <n v="12"/>
    <x v="2"/>
    <s v="Female"/>
    <n v="2"/>
    <x v="0"/>
    <x v="1"/>
    <n v="5855"/>
    <n v="17369"/>
    <n v="0"/>
    <x v="0"/>
    <n v="3"/>
    <n v="3"/>
    <n v="80"/>
    <n v="10"/>
    <x v="2"/>
    <x v="0"/>
    <n v="9"/>
    <x v="1"/>
    <n v="8"/>
    <n v="5"/>
  </r>
  <r>
    <n v="40"/>
    <x v="1"/>
    <x v="1"/>
    <s v="Travel_Frequently"/>
    <x v="1"/>
    <s v="Medical"/>
    <x v="1"/>
    <n v="964"/>
    <n v="9"/>
    <x v="2"/>
    <s v="Male"/>
    <n v="1"/>
    <x v="1"/>
    <x v="2"/>
    <n v="3617"/>
    <n v="25063"/>
    <n v="8"/>
    <x v="0"/>
    <n v="3"/>
    <n v="4"/>
    <n v="80"/>
    <n v="3"/>
    <x v="2"/>
    <x v="1"/>
    <n v="1"/>
    <x v="10"/>
    <n v="0"/>
    <n v="0"/>
  </r>
  <r>
    <n v="32"/>
    <x v="1"/>
    <x v="1"/>
    <s v="Travel_Rarely"/>
    <x v="1"/>
    <s v="Medical"/>
    <x v="3"/>
    <n v="966"/>
    <n v="3"/>
    <x v="1"/>
    <s v="Female"/>
    <n v="2"/>
    <x v="3"/>
    <x v="1"/>
    <n v="6725"/>
    <n v="13554"/>
    <n v="1"/>
    <x v="1"/>
    <n v="3"/>
    <n v="3"/>
    <n v="80"/>
    <n v="8"/>
    <x v="2"/>
    <x v="3"/>
    <n v="8"/>
    <x v="1"/>
    <n v="6"/>
    <n v="3"/>
  </r>
  <r>
    <n v="36"/>
    <x v="1"/>
    <x v="0"/>
    <s v="Travel_Rarely"/>
    <x v="0"/>
    <s v="Life Sciences"/>
    <x v="0"/>
    <n v="967"/>
    <n v="3"/>
    <x v="1"/>
    <s v="Male"/>
    <n v="3"/>
    <x v="0"/>
    <x v="1"/>
    <n v="10325"/>
    <n v="5518"/>
    <n v="1"/>
    <x v="0"/>
    <n v="3"/>
    <n v="1"/>
    <n v="80"/>
    <n v="16"/>
    <x v="6"/>
    <x v="1"/>
    <n v="16"/>
    <x v="1"/>
    <n v="3"/>
    <n v="7"/>
  </r>
  <r>
    <n v="33"/>
    <x v="1"/>
    <x v="1"/>
    <s v="Travel_Rarely"/>
    <x v="1"/>
    <s v="Life Sciences"/>
    <x v="4"/>
    <n v="969"/>
    <n v="1"/>
    <x v="0"/>
    <s v="Female"/>
    <n v="2"/>
    <x v="0"/>
    <x v="0"/>
    <n v="6949"/>
    <n v="12291"/>
    <n v="0"/>
    <x v="1"/>
    <n v="3"/>
    <n v="1"/>
    <n v="80"/>
    <n v="6"/>
    <x v="1"/>
    <x v="1"/>
    <n v="5"/>
    <x v="2"/>
    <n v="1"/>
    <n v="4"/>
  </r>
  <r>
    <n v="37"/>
    <x v="1"/>
    <x v="0"/>
    <s v="Travel_Rarely"/>
    <x v="0"/>
    <s v="Life Sciences"/>
    <x v="0"/>
    <n v="970"/>
    <n v="1"/>
    <x v="3"/>
    <s v="Male"/>
    <n v="3"/>
    <x v="2"/>
    <x v="1"/>
    <n v="10609"/>
    <n v="14922"/>
    <n v="5"/>
    <x v="1"/>
    <n v="3"/>
    <n v="3"/>
    <n v="80"/>
    <n v="17"/>
    <x v="2"/>
    <x v="0"/>
    <n v="14"/>
    <x v="10"/>
    <n v="11"/>
    <n v="7"/>
  </r>
  <r>
    <n v="45"/>
    <x v="0"/>
    <x v="1"/>
    <s v="Non-Travel"/>
    <x v="1"/>
    <s v="Life Sciences"/>
    <x v="2"/>
    <n v="972"/>
    <n v="4"/>
    <x v="1"/>
    <s v="Male"/>
    <n v="2"/>
    <x v="1"/>
    <x v="1"/>
    <n v="4447"/>
    <n v="23163"/>
    <n v="1"/>
    <x v="1"/>
    <n v="3"/>
    <n v="2"/>
    <n v="80"/>
    <n v="9"/>
    <x v="3"/>
    <x v="2"/>
    <n v="9"/>
    <x v="1"/>
    <n v="0"/>
    <n v="8"/>
  </r>
  <r>
    <n v="29"/>
    <x v="2"/>
    <x v="1"/>
    <s v="Travel_Frequently"/>
    <x v="0"/>
    <s v="Technical Degree"/>
    <x v="6"/>
    <n v="974"/>
    <n v="20"/>
    <x v="1"/>
    <s v="Female"/>
    <n v="1"/>
    <x v="0"/>
    <x v="1"/>
    <n v="2157"/>
    <n v="18203"/>
    <n v="1"/>
    <x v="1"/>
    <n v="3"/>
    <n v="2"/>
    <n v="80"/>
    <n v="3"/>
    <x v="3"/>
    <x v="1"/>
    <n v="3"/>
    <x v="10"/>
    <n v="0"/>
    <n v="2"/>
  </r>
  <r>
    <n v="35"/>
    <x v="1"/>
    <x v="1"/>
    <s v="Travel_Rarely"/>
    <x v="0"/>
    <s v="Medical"/>
    <x v="0"/>
    <n v="975"/>
    <n v="18"/>
    <x v="1"/>
    <s v="Female"/>
    <n v="2"/>
    <x v="2"/>
    <x v="1"/>
    <n v="4601"/>
    <n v="6179"/>
    <n v="1"/>
    <x v="1"/>
    <n v="3"/>
    <n v="2"/>
    <n v="80"/>
    <n v="5"/>
    <x v="1"/>
    <x v="1"/>
    <n v="5"/>
    <x v="3"/>
    <n v="1"/>
    <n v="0"/>
  </r>
  <r>
    <n v="52"/>
    <x v="3"/>
    <x v="1"/>
    <s v="Travel_Rarely"/>
    <x v="1"/>
    <s v="Life Sciences"/>
    <x v="5"/>
    <n v="976"/>
    <n v="1"/>
    <x v="2"/>
    <s v="Male"/>
    <n v="4"/>
    <x v="0"/>
    <x v="1"/>
    <n v="17099"/>
    <n v="13829"/>
    <n v="2"/>
    <x v="1"/>
    <n v="3"/>
    <n v="2"/>
    <n v="80"/>
    <n v="26"/>
    <x v="2"/>
    <x v="2"/>
    <n v="9"/>
    <x v="6"/>
    <n v="7"/>
    <n v="8"/>
  </r>
  <r>
    <n v="58"/>
    <x v="3"/>
    <x v="0"/>
    <s v="Travel_Rarely"/>
    <x v="1"/>
    <s v="Technical Degree"/>
    <x v="1"/>
    <n v="977"/>
    <n v="2"/>
    <x v="2"/>
    <s v="Male"/>
    <n v="1"/>
    <x v="2"/>
    <x v="0"/>
    <n v="2479"/>
    <n v="26227"/>
    <n v="4"/>
    <x v="1"/>
    <n v="4"/>
    <n v="1"/>
    <n v="80"/>
    <n v="7"/>
    <x v="5"/>
    <x v="1"/>
    <n v="1"/>
    <x v="2"/>
    <n v="0"/>
    <n v="0"/>
  </r>
  <r>
    <n v="53"/>
    <x v="3"/>
    <x v="1"/>
    <s v="Travel_Rarely"/>
    <x v="0"/>
    <s v="Medical"/>
    <x v="5"/>
    <n v="981"/>
    <n v="2"/>
    <x v="1"/>
    <s v="Male"/>
    <n v="4"/>
    <x v="2"/>
    <x v="2"/>
    <n v="14852"/>
    <n v="13938"/>
    <n v="6"/>
    <x v="1"/>
    <n v="3"/>
    <n v="3"/>
    <n v="80"/>
    <n v="22"/>
    <x v="1"/>
    <x v="3"/>
    <n v="17"/>
    <x v="9"/>
    <n v="15"/>
    <n v="2"/>
  </r>
  <r>
    <n v="30"/>
    <x v="2"/>
    <x v="1"/>
    <s v="Travel_Rarely"/>
    <x v="0"/>
    <s v="Other"/>
    <x v="0"/>
    <n v="982"/>
    <n v="8"/>
    <x v="1"/>
    <s v="Male"/>
    <n v="3"/>
    <x v="2"/>
    <x v="2"/>
    <n v="7264"/>
    <n v="9977"/>
    <n v="5"/>
    <x v="1"/>
    <n v="3"/>
    <n v="1"/>
    <n v="80"/>
    <n v="10"/>
    <x v="2"/>
    <x v="3"/>
    <n v="8"/>
    <x v="0"/>
    <n v="7"/>
    <n v="7"/>
  </r>
  <r>
    <n v="38"/>
    <x v="1"/>
    <x v="1"/>
    <s v="Non-Travel"/>
    <x v="0"/>
    <s v="Technical Degree"/>
    <x v="0"/>
    <n v="983"/>
    <n v="10"/>
    <x v="1"/>
    <s v="Female"/>
    <n v="2"/>
    <x v="0"/>
    <x v="0"/>
    <n v="5666"/>
    <n v="19899"/>
    <n v="1"/>
    <x v="0"/>
    <n v="3"/>
    <n v="2"/>
    <n v="80"/>
    <n v="6"/>
    <x v="4"/>
    <x v="1"/>
    <n v="5"/>
    <x v="7"/>
    <n v="1"/>
    <n v="3"/>
  </r>
  <r>
    <n v="35"/>
    <x v="1"/>
    <x v="1"/>
    <s v="Travel_Rarely"/>
    <x v="0"/>
    <s v="Life Sciences"/>
    <x v="0"/>
    <n v="984"/>
    <n v="3"/>
    <x v="2"/>
    <s v="Male"/>
    <n v="3"/>
    <x v="0"/>
    <x v="2"/>
    <n v="7823"/>
    <n v="6812"/>
    <n v="6"/>
    <x v="1"/>
    <n v="3"/>
    <n v="2"/>
    <n v="80"/>
    <n v="12"/>
    <x v="2"/>
    <x v="1"/>
    <n v="10"/>
    <x v="5"/>
    <n v="0"/>
    <n v="8"/>
  </r>
  <r>
    <n v="39"/>
    <x v="1"/>
    <x v="1"/>
    <s v="Travel_Rarely"/>
    <x v="0"/>
    <s v="Life Sciences"/>
    <x v="0"/>
    <n v="985"/>
    <n v="2"/>
    <x v="3"/>
    <s v="Male"/>
    <n v="3"/>
    <x v="2"/>
    <x v="0"/>
    <n v="7880"/>
    <n v="2560"/>
    <n v="0"/>
    <x v="1"/>
    <n v="3"/>
    <n v="4"/>
    <n v="80"/>
    <n v="9"/>
    <x v="1"/>
    <x v="1"/>
    <n v="8"/>
    <x v="1"/>
    <n v="0"/>
    <n v="7"/>
  </r>
  <r>
    <n v="40"/>
    <x v="1"/>
    <x v="0"/>
    <s v="Non-Travel"/>
    <x v="0"/>
    <s v="Life Sciences"/>
    <x v="0"/>
    <n v="986"/>
    <n v="24"/>
    <x v="0"/>
    <s v="Female"/>
    <n v="4"/>
    <x v="1"/>
    <x v="0"/>
    <n v="13194"/>
    <n v="17071"/>
    <n v="4"/>
    <x v="0"/>
    <n v="3"/>
    <n v="4"/>
    <n v="80"/>
    <n v="22"/>
    <x v="2"/>
    <x v="2"/>
    <n v="1"/>
    <x v="2"/>
    <n v="0"/>
    <n v="0"/>
  </r>
  <r>
    <n v="47"/>
    <x v="0"/>
    <x v="1"/>
    <s v="Travel_Frequently"/>
    <x v="1"/>
    <s v="Medical"/>
    <x v="3"/>
    <n v="987"/>
    <n v="16"/>
    <x v="1"/>
    <s v="Male"/>
    <n v="2"/>
    <x v="2"/>
    <x v="2"/>
    <n v="5067"/>
    <n v="6759"/>
    <n v="1"/>
    <x v="0"/>
    <n v="3"/>
    <n v="3"/>
    <n v="80"/>
    <n v="20"/>
    <x v="1"/>
    <x v="3"/>
    <n v="19"/>
    <x v="15"/>
    <n v="2"/>
    <n v="7"/>
  </r>
  <r>
    <n v="36"/>
    <x v="1"/>
    <x v="1"/>
    <s v="Non-Travel"/>
    <x v="0"/>
    <s v="Technical Degree"/>
    <x v="0"/>
    <n v="990"/>
    <n v="8"/>
    <x v="3"/>
    <s v="Male"/>
    <n v="2"/>
    <x v="0"/>
    <x v="2"/>
    <n v="5079"/>
    <n v="25952"/>
    <n v="4"/>
    <x v="1"/>
    <n v="3"/>
    <n v="4"/>
    <n v="80"/>
    <n v="12"/>
    <x v="1"/>
    <x v="1"/>
    <n v="7"/>
    <x v="1"/>
    <n v="0"/>
    <n v="7"/>
  </r>
  <r>
    <n v="31"/>
    <x v="1"/>
    <x v="0"/>
    <s v="Non-Travel"/>
    <x v="1"/>
    <s v="Medical"/>
    <x v="1"/>
    <n v="991"/>
    <n v="9"/>
    <x v="1"/>
    <s v="Male"/>
    <n v="1"/>
    <x v="3"/>
    <x v="0"/>
    <n v="2321"/>
    <n v="10322"/>
    <n v="0"/>
    <x v="0"/>
    <n v="4"/>
    <n v="1"/>
    <n v="80"/>
    <n v="4"/>
    <x v="0"/>
    <x v="1"/>
    <n v="3"/>
    <x v="3"/>
    <n v="1"/>
    <n v="2"/>
  </r>
  <r>
    <n v="33"/>
    <x v="1"/>
    <x v="1"/>
    <s v="Non-Travel"/>
    <x v="0"/>
    <s v="Life Sciences"/>
    <x v="5"/>
    <n v="992"/>
    <n v="17"/>
    <x v="2"/>
    <s v="Male"/>
    <n v="4"/>
    <x v="2"/>
    <x v="0"/>
    <n v="17444"/>
    <n v="20489"/>
    <n v="1"/>
    <x v="1"/>
    <n v="3"/>
    <n v="4"/>
    <n v="80"/>
    <n v="10"/>
    <x v="2"/>
    <x v="1"/>
    <n v="10"/>
    <x v="6"/>
    <n v="6"/>
    <n v="0"/>
  </r>
  <r>
    <n v="29"/>
    <x v="2"/>
    <x v="0"/>
    <s v="Travel_Rarely"/>
    <x v="1"/>
    <s v="Life Sciences"/>
    <x v="1"/>
    <n v="994"/>
    <n v="10"/>
    <x v="2"/>
    <s v="Female"/>
    <n v="1"/>
    <x v="3"/>
    <x v="0"/>
    <n v="2404"/>
    <n v="11479"/>
    <n v="6"/>
    <x v="0"/>
    <n v="4"/>
    <n v="3"/>
    <n v="80"/>
    <n v="3"/>
    <x v="3"/>
    <x v="1"/>
    <n v="0"/>
    <x v="2"/>
    <n v="0"/>
    <n v="0"/>
  </r>
  <r>
    <n v="33"/>
    <x v="1"/>
    <x v="1"/>
    <s v="Travel_Rarely"/>
    <x v="1"/>
    <s v="Life Sciences"/>
    <x v="1"/>
    <n v="995"/>
    <n v="13"/>
    <x v="0"/>
    <s v="Female"/>
    <n v="1"/>
    <x v="0"/>
    <x v="0"/>
    <n v="3452"/>
    <n v="17241"/>
    <n v="3"/>
    <x v="1"/>
    <n v="3"/>
    <n v="1"/>
    <n v="80"/>
    <n v="5"/>
    <x v="5"/>
    <x v="1"/>
    <n v="3"/>
    <x v="3"/>
    <n v="0"/>
    <n v="2"/>
  </r>
  <r>
    <n v="45"/>
    <x v="0"/>
    <x v="1"/>
    <s v="Travel_Rarely"/>
    <x v="1"/>
    <s v="Medical"/>
    <x v="2"/>
    <n v="996"/>
    <n v="1"/>
    <x v="2"/>
    <s v="Female"/>
    <n v="1"/>
    <x v="0"/>
    <x v="2"/>
    <n v="2270"/>
    <n v="11005"/>
    <n v="3"/>
    <x v="1"/>
    <n v="3"/>
    <n v="4"/>
    <n v="80"/>
    <n v="8"/>
    <x v="2"/>
    <x v="1"/>
    <n v="5"/>
    <x v="7"/>
    <n v="0"/>
    <n v="2"/>
  </r>
  <r>
    <n v="50"/>
    <x v="0"/>
    <x v="1"/>
    <s v="Travel_Rarely"/>
    <x v="1"/>
    <s v="Medical"/>
    <x v="7"/>
    <n v="997"/>
    <n v="1"/>
    <x v="2"/>
    <s v="Male"/>
    <n v="4"/>
    <x v="0"/>
    <x v="2"/>
    <n v="17399"/>
    <n v="6615"/>
    <n v="9"/>
    <x v="1"/>
    <n v="4"/>
    <n v="3"/>
    <n v="80"/>
    <n v="32"/>
    <x v="4"/>
    <x v="2"/>
    <n v="5"/>
    <x v="0"/>
    <n v="1"/>
    <n v="3"/>
  </r>
  <r>
    <n v="33"/>
    <x v="1"/>
    <x v="1"/>
    <s v="Travel_Frequently"/>
    <x v="1"/>
    <s v="Other"/>
    <x v="4"/>
    <n v="998"/>
    <n v="1"/>
    <x v="1"/>
    <s v="Female"/>
    <n v="2"/>
    <x v="1"/>
    <x v="1"/>
    <n v="5488"/>
    <n v="20161"/>
    <n v="1"/>
    <x v="0"/>
    <n v="3"/>
    <n v="1"/>
    <n v="80"/>
    <n v="6"/>
    <x v="2"/>
    <x v="1"/>
    <n v="6"/>
    <x v="4"/>
    <n v="1"/>
    <n v="2"/>
  </r>
  <r>
    <n v="41"/>
    <x v="0"/>
    <x v="1"/>
    <s v="Travel_Frequently"/>
    <x v="1"/>
    <s v="Medical"/>
    <x v="7"/>
    <n v="999"/>
    <n v="9"/>
    <x v="3"/>
    <s v="Male"/>
    <n v="5"/>
    <x v="2"/>
    <x v="2"/>
    <n v="19419"/>
    <n v="3735"/>
    <n v="2"/>
    <x v="1"/>
    <n v="3"/>
    <n v="2"/>
    <n v="80"/>
    <n v="21"/>
    <x v="2"/>
    <x v="3"/>
    <n v="18"/>
    <x v="13"/>
    <n v="0"/>
    <n v="11"/>
  </r>
  <r>
    <n v="27"/>
    <x v="2"/>
    <x v="1"/>
    <s v="Travel_Rarely"/>
    <x v="1"/>
    <s v="Technical Degree"/>
    <x v="2"/>
    <n v="1001"/>
    <n v="16"/>
    <x v="1"/>
    <s v="Female"/>
    <n v="1"/>
    <x v="1"/>
    <x v="1"/>
    <n v="2811"/>
    <n v="12086"/>
    <n v="9"/>
    <x v="1"/>
    <n v="3"/>
    <n v="2"/>
    <n v="80"/>
    <n v="4"/>
    <x v="2"/>
    <x v="1"/>
    <n v="2"/>
    <x v="3"/>
    <n v="2"/>
    <n v="2"/>
  </r>
  <r>
    <n v="45"/>
    <x v="0"/>
    <x v="1"/>
    <s v="Non-Travel"/>
    <x v="1"/>
    <s v="Life Sciences"/>
    <x v="2"/>
    <n v="1002"/>
    <n v="23"/>
    <x v="2"/>
    <s v="Male"/>
    <n v="2"/>
    <x v="3"/>
    <x v="1"/>
    <n v="3633"/>
    <n v="14039"/>
    <n v="1"/>
    <x v="0"/>
    <n v="3"/>
    <n v="3"/>
    <n v="80"/>
    <n v="9"/>
    <x v="2"/>
    <x v="1"/>
    <n v="9"/>
    <x v="6"/>
    <n v="0"/>
    <n v="8"/>
  </r>
  <r>
    <n v="47"/>
    <x v="0"/>
    <x v="1"/>
    <s v="Travel_Rarely"/>
    <x v="0"/>
    <s v="Life Sciences"/>
    <x v="0"/>
    <n v="1003"/>
    <n v="4"/>
    <x v="2"/>
    <s v="Female"/>
    <n v="2"/>
    <x v="0"/>
    <x v="0"/>
    <n v="4163"/>
    <n v="8571"/>
    <n v="1"/>
    <x v="0"/>
    <n v="3"/>
    <n v="3"/>
    <n v="80"/>
    <n v="9"/>
    <x v="0"/>
    <x v="1"/>
    <n v="9"/>
    <x v="2"/>
    <n v="0"/>
    <n v="7"/>
  </r>
  <r>
    <n v="30"/>
    <x v="2"/>
    <x v="0"/>
    <s v="Travel_Rarely"/>
    <x v="1"/>
    <s v="Life Sciences"/>
    <x v="1"/>
    <n v="1004"/>
    <n v="22"/>
    <x v="3"/>
    <s v="Female"/>
    <n v="1"/>
    <x v="2"/>
    <x v="1"/>
    <n v="2132"/>
    <n v="11539"/>
    <n v="4"/>
    <x v="0"/>
    <n v="3"/>
    <n v="2"/>
    <n v="80"/>
    <n v="7"/>
    <x v="2"/>
    <x v="1"/>
    <n v="5"/>
    <x v="3"/>
    <n v="0"/>
    <n v="1"/>
  </r>
  <r>
    <n v="50"/>
    <x v="0"/>
    <x v="1"/>
    <s v="Travel_Rarely"/>
    <x v="1"/>
    <s v="Life Sciences"/>
    <x v="3"/>
    <n v="1005"/>
    <n v="24"/>
    <x v="2"/>
    <s v="Male"/>
    <n v="4"/>
    <x v="2"/>
    <x v="1"/>
    <n v="13973"/>
    <n v="4161"/>
    <n v="3"/>
    <x v="0"/>
    <n v="3"/>
    <n v="4"/>
    <n v="80"/>
    <n v="22"/>
    <x v="2"/>
    <x v="1"/>
    <n v="12"/>
    <x v="14"/>
    <n v="1"/>
    <n v="5"/>
  </r>
  <r>
    <n v="38"/>
    <x v="1"/>
    <x v="1"/>
    <s v="Travel_Frequently"/>
    <x v="1"/>
    <s v="Medical"/>
    <x v="1"/>
    <n v="1006"/>
    <n v="10"/>
    <x v="1"/>
    <s v="Male"/>
    <n v="1"/>
    <x v="2"/>
    <x v="1"/>
    <n v="2684"/>
    <n v="12127"/>
    <n v="0"/>
    <x v="1"/>
    <n v="3"/>
    <n v="2"/>
    <n v="80"/>
    <n v="3"/>
    <x v="0"/>
    <x v="2"/>
    <n v="2"/>
    <x v="10"/>
    <n v="0"/>
    <n v="2"/>
  </r>
  <r>
    <n v="46"/>
    <x v="0"/>
    <x v="1"/>
    <s v="Travel_Rarely"/>
    <x v="1"/>
    <s v="Medical"/>
    <x v="3"/>
    <n v="1007"/>
    <n v="7"/>
    <x v="2"/>
    <s v="Male"/>
    <n v="3"/>
    <x v="2"/>
    <x v="2"/>
    <n v="10845"/>
    <n v="24208"/>
    <n v="6"/>
    <x v="1"/>
    <n v="3"/>
    <n v="2"/>
    <n v="80"/>
    <n v="13"/>
    <x v="1"/>
    <x v="1"/>
    <n v="8"/>
    <x v="1"/>
    <n v="0"/>
    <n v="7"/>
  </r>
  <r>
    <n v="24"/>
    <x v="2"/>
    <x v="1"/>
    <s v="Travel_Rarely"/>
    <x v="1"/>
    <s v="Medical"/>
    <x v="3"/>
    <n v="1009"/>
    <n v="17"/>
    <x v="2"/>
    <s v="Female"/>
    <n v="2"/>
    <x v="2"/>
    <x v="2"/>
    <n v="4377"/>
    <n v="24117"/>
    <n v="1"/>
    <x v="1"/>
    <n v="3"/>
    <n v="2"/>
    <n v="80"/>
    <n v="5"/>
    <x v="6"/>
    <x v="1"/>
    <n v="4"/>
    <x v="3"/>
    <n v="3"/>
    <n v="2"/>
  </r>
  <r>
    <n v="35"/>
    <x v="1"/>
    <x v="0"/>
    <s v="Travel_Rarely"/>
    <x v="1"/>
    <s v="Other"/>
    <x v="2"/>
    <n v="1010"/>
    <n v="14"/>
    <x v="1"/>
    <s v="Male"/>
    <n v="1"/>
    <x v="1"/>
    <x v="2"/>
    <n v="3743"/>
    <n v="10074"/>
    <n v="1"/>
    <x v="0"/>
    <n v="4"/>
    <n v="4"/>
    <n v="80"/>
    <n v="5"/>
    <x v="2"/>
    <x v="0"/>
    <n v="4"/>
    <x v="3"/>
    <n v="0"/>
    <n v="2"/>
  </r>
  <r>
    <n v="31"/>
    <x v="1"/>
    <x v="1"/>
    <s v="Travel_Frequently"/>
    <x v="1"/>
    <s v="Life Sciences"/>
    <x v="3"/>
    <n v="1011"/>
    <n v="1"/>
    <x v="1"/>
    <s v="Female"/>
    <n v="2"/>
    <x v="3"/>
    <x v="1"/>
    <n v="4148"/>
    <n v="11275"/>
    <n v="1"/>
    <x v="1"/>
    <n v="3"/>
    <n v="3"/>
    <n v="80"/>
    <n v="4"/>
    <x v="4"/>
    <x v="1"/>
    <n v="4"/>
    <x v="7"/>
    <n v="0"/>
    <n v="3"/>
  </r>
  <r>
    <n v="18"/>
    <x v="4"/>
    <x v="1"/>
    <s v="Non-Travel"/>
    <x v="1"/>
    <s v="Life Sciences"/>
    <x v="1"/>
    <n v="1012"/>
    <n v="5"/>
    <x v="0"/>
    <s v="Male"/>
    <n v="1"/>
    <x v="0"/>
    <x v="0"/>
    <n v="1051"/>
    <n v="13493"/>
    <n v="1"/>
    <x v="1"/>
    <n v="3"/>
    <n v="4"/>
    <n v="80"/>
    <n v="0"/>
    <x v="2"/>
    <x v="1"/>
    <n v="0"/>
    <x v="2"/>
    <n v="0"/>
    <n v="0"/>
  </r>
  <r>
    <n v="54"/>
    <x v="3"/>
    <x v="1"/>
    <s v="Travel_Rarely"/>
    <x v="1"/>
    <s v="Technical Degree"/>
    <x v="3"/>
    <n v="1013"/>
    <n v="17"/>
    <x v="1"/>
    <s v="Female"/>
    <n v="3"/>
    <x v="2"/>
    <x v="1"/>
    <n v="10739"/>
    <n v="13943"/>
    <n v="8"/>
    <x v="1"/>
    <n v="3"/>
    <n v="3"/>
    <n v="80"/>
    <n v="22"/>
    <x v="2"/>
    <x v="1"/>
    <n v="10"/>
    <x v="1"/>
    <n v="0"/>
    <n v="8"/>
  </r>
  <r>
    <n v="35"/>
    <x v="1"/>
    <x v="1"/>
    <s v="Travel_Rarely"/>
    <x v="1"/>
    <s v="Medical"/>
    <x v="4"/>
    <n v="1014"/>
    <n v="25"/>
    <x v="1"/>
    <s v="Female"/>
    <n v="3"/>
    <x v="2"/>
    <x v="2"/>
    <n v="10388"/>
    <n v="6975"/>
    <n v="1"/>
    <x v="0"/>
    <n v="3"/>
    <n v="3"/>
    <n v="80"/>
    <n v="16"/>
    <x v="1"/>
    <x v="2"/>
    <n v="16"/>
    <x v="15"/>
    <n v="10"/>
    <n v="1"/>
  </r>
  <r>
    <n v="30"/>
    <x v="2"/>
    <x v="1"/>
    <s v="Travel_Rarely"/>
    <x v="1"/>
    <s v="Life Sciences"/>
    <x v="7"/>
    <n v="1015"/>
    <n v="8"/>
    <x v="0"/>
    <s v="Female"/>
    <n v="3"/>
    <x v="3"/>
    <x v="1"/>
    <n v="11416"/>
    <n v="17802"/>
    <n v="0"/>
    <x v="0"/>
    <n v="3"/>
    <n v="3"/>
    <n v="80"/>
    <n v="9"/>
    <x v="5"/>
    <x v="2"/>
    <n v="8"/>
    <x v="1"/>
    <n v="1"/>
    <n v="7"/>
  </r>
  <r>
    <n v="20"/>
    <x v="4"/>
    <x v="0"/>
    <s v="Travel_Rarely"/>
    <x v="1"/>
    <s v="Medical"/>
    <x v="1"/>
    <n v="1016"/>
    <n v="11"/>
    <x v="2"/>
    <s v="Female"/>
    <n v="1"/>
    <x v="3"/>
    <x v="0"/>
    <n v="2600"/>
    <n v="18275"/>
    <n v="1"/>
    <x v="0"/>
    <n v="3"/>
    <n v="1"/>
    <n v="80"/>
    <n v="1"/>
    <x v="2"/>
    <x v="1"/>
    <n v="1"/>
    <x v="2"/>
    <n v="0"/>
    <n v="0"/>
  </r>
  <r>
    <n v="30"/>
    <x v="2"/>
    <x v="0"/>
    <s v="Travel_Frequently"/>
    <x v="1"/>
    <s v="Medical"/>
    <x v="2"/>
    <n v="1017"/>
    <n v="5"/>
    <x v="0"/>
    <s v="Female"/>
    <n v="1"/>
    <x v="1"/>
    <x v="0"/>
    <n v="2422"/>
    <n v="25725"/>
    <n v="0"/>
    <x v="1"/>
    <n v="3"/>
    <n v="1"/>
    <n v="80"/>
    <n v="4"/>
    <x v="1"/>
    <x v="1"/>
    <n v="3"/>
    <x v="3"/>
    <n v="1"/>
    <n v="2"/>
  </r>
  <r>
    <n v="26"/>
    <x v="2"/>
    <x v="1"/>
    <s v="Travel_Rarely"/>
    <x v="1"/>
    <s v="Medical"/>
    <x v="3"/>
    <n v="1018"/>
    <n v="2"/>
    <x v="2"/>
    <s v="Male"/>
    <n v="2"/>
    <x v="0"/>
    <x v="1"/>
    <n v="5472"/>
    <n v="3334"/>
    <n v="1"/>
    <x v="1"/>
    <n v="3"/>
    <n v="2"/>
    <n v="80"/>
    <n v="8"/>
    <x v="2"/>
    <x v="1"/>
    <n v="8"/>
    <x v="1"/>
    <n v="1"/>
    <n v="3"/>
  </r>
  <r>
    <n v="22"/>
    <x v="2"/>
    <x v="1"/>
    <s v="Travel_Rarely"/>
    <x v="1"/>
    <s v="Life Sciences"/>
    <x v="2"/>
    <n v="1019"/>
    <n v="8"/>
    <x v="0"/>
    <s v="Male"/>
    <n v="1"/>
    <x v="3"/>
    <x v="1"/>
    <n v="2451"/>
    <n v="6881"/>
    <n v="1"/>
    <x v="1"/>
    <n v="3"/>
    <n v="1"/>
    <n v="80"/>
    <n v="4"/>
    <x v="1"/>
    <x v="2"/>
    <n v="4"/>
    <x v="7"/>
    <n v="1"/>
    <n v="1"/>
  </r>
  <r>
    <n v="48"/>
    <x v="0"/>
    <x v="1"/>
    <s v="Travel_Rarely"/>
    <x v="1"/>
    <s v="Life Sciences"/>
    <x v="4"/>
    <n v="1022"/>
    <n v="6"/>
    <x v="3"/>
    <s v="Male"/>
    <n v="2"/>
    <x v="2"/>
    <x v="0"/>
    <n v="4240"/>
    <n v="13119"/>
    <n v="2"/>
    <x v="1"/>
    <n v="3"/>
    <n v="4"/>
    <n v="80"/>
    <n v="19"/>
    <x v="0"/>
    <x v="1"/>
    <n v="2"/>
    <x v="3"/>
    <n v="2"/>
    <n v="2"/>
  </r>
  <r>
    <n v="48"/>
    <x v="0"/>
    <x v="1"/>
    <s v="Travel_Rarely"/>
    <x v="1"/>
    <s v="Life Sciences"/>
    <x v="4"/>
    <n v="1024"/>
    <n v="4"/>
    <x v="1"/>
    <s v="Male"/>
    <n v="3"/>
    <x v="2"/>
    <x v="0"/>
    <n v="10999"/>
    <n v="22245"/>
    <n v="7"/>
    <x v="1"/>
    <n v="3"/>
    <n v="2"/>
    <n v="80"/>
    <n v="27"/>
    <x v="1"/>
    <x v="1"/>
    <n v="15"/>
    <x v="14"/>
    <n v="4"/>
    <n v="8"/>
  </r>
  <r>
    <n v="41"/>
    <x v="0"/>
    <x v="1"/>
    <s v="Travel_Rarely"/>
    <x v="1"/>
    <s v="Medical"/>
    <x v="3"/>
    <n v="1025"/>
    <n v="7"/>
    <x v="2"/>
    <s v="Female"/>
    <n v="2"/>
    <x v="2"/>
    <x v="0"/>
    <n v="5003"/>
    <n v="23371"/>
    <n v="6"/>
    <x v="1"/>
    <n v="3"/>
    <n v="2"/>
    <n v="80"/>
    <n v="8"/>
    <x v="6"/>
    <x v="1"/>
    <n v="2"/>
    <x v="3"/>
    <n v="2"/>
    <n v="1"/>
  </r>
  <r>
    <n v="39"/>
    <x v="1"/>
    <x v="1"/>
    <s v="Travel_Rarely"/>
    <x v="1"/>
    <s v="Life Sciences"/>
    <x v="3"/>
    <n v="1026"/>
    <n v="1"/>
    <x v="2"/>
    <s v="Female"/>
    <n v="4"/>
    <x v="0"/>
    <x v="1"/>
    <n v="12742"/>
    <n v="7060"/>
    <n v="1"/>
    <x v="1"/>
    <n v="3"/>
    <n v="3"/>
    <n v="80"/>
    <n v="21"/>
    <x v="1"/>
    <x v="1"/>
    <n v="21"/>
    <x v="8"/>
    <n v="11"/>
    <n v="8"/>
  </r>
  <r>
    <n v="27"/>
    <x v="2"/>
    <x v="1"/>
    <s v="Travel_Rarely"/>
    <x v="1"/>
    <s v="Life Sciences"/>
    <x v="3"/>
    <n v="1027"/>
    <n v="2"/>
    <x v="3"/>
    <s v="Female"/>
    <n v="2"/>
    <x v="0"/>
    <x v="1"/>
    <n v="4227"/>
    <n v="4658"/>
    <n v="0"/>
    <x v="1"/>
    <n v="3"/>
    <n v="2"/>
    <n v="80"/>
    <n v="4"/>
    <x v="2"/>
    <x v="1"/>
    <n v="3"/>
    <x v="3"/>
    <n v="2"/>
    <n v="2"/>
  </r>
  <r>
    <n v="35"/>
    <x v="1"/>
    <x v="1"/>
    <s v="Travel_Rarely"/>
    <x v="1"/>
    <s v="Other"/>
    <x v="2"/>
    <n v="1028"/>
    <n v="10"/>
    <x v="0"/>
    <s v="Male"/>
    <n v="1"/>
    <x v="0"/>
    <x v="2"/>
    <n v="3917"/>
    <n v="9541"/>
    <n v="1"/>
    <x v="1"/>
    <n v="4"/>
    <n v="1"/>
    <n v="80"/>
    <n v="3"/>
    <x v="5"/>
    <x v="2"/>
    <n v="3"/>
    <x v="3"/>
    <n v="1"/>
    <n v="2"/>
  </r>
  <r>
    <n v="42"/>
    <x v="0"/>
    <x v="1"/>
    <s v="Travel_Rarely"/>
    <x v="0"/>
    <s v="Marketing"/>
    <x v="5"/>
    <n v="1029"/>
    <n v="5"/>
    <x v="2"/>
    <s v="Male"/>
    <n v="5"/>
    <x v="2"/>
    <x v="1"/>
    <n v="18303"/>
    <n v="7770"/>
    <n v="6"/>
    <x v="1"/>
    <n v="3"/>
    <n v="2"/>
    <n v="80"/>
    <n v="21"/>
    <x v="1"/>
    <x v="3"/>
    <n v="1"/>
    <x v="2"/>
    <n v="0"/>
    <n v="0"/>
  </r>
  <r>
    <n v="50"/>
    <x v="0"/>
    <x v="1"/>
    <s v="Travel_Rarely"/>
    <x v="1"/>
    <s v="Life Sciences"/>
    <x v="2"/>
    <n v="1030"/>
    <n v="9"/>
    <x v="3"/>
    <s v="Male"/>
    <n v="1"/>
    <x v="0"/>
    <x v="1"/>
    <n v="2380"/>
    <n v="20165"/>
    <n v="4"/>
    <x v="1"/>
    <n v="3"/>
    <n v="2"/>
    <n v="80"/>
    <n v="8"/>
    <x v="3"/>
    <x v="1"/>
    <n v="1"/>
    <x v="2"/>
    <n v="0"/>
    <n v="0"/>
  </r>
  <r>
    <n v="59"/>
    <x v="3"/>
    <x v="1"/>
    <s v="Travel_Rarely"/>
    <x v="1"/>
    <s v="Life Sciences"/>
    <x v="3"/>
    <n v="1032"/>
    <n v="2"/>
    <x v="1"/>
    <s v="Female"/>
    <n v="4"/>
    <x v="0"/>
    <x v="0"/>
    <n v="13726"/>
    <n v="21829"/>
    <n v="3"/>
    <x v="0"/>
    <n v="3"/>
    <n v="1"/>
    <n v="80"/>
    <n v="30"/>
    <x v="5"/>
    <x v="1"/>
    <n v="5"/>
    <x v="7"/>
    <n v="4"/>
    <n v="3"/>
  </r>
  <r>
    <n v="37"/>
    <x v="1"/>
    <x v="0"/>
    <s v="Travel_Rarely"/>
    <x v="1"/>
    <s v="Medical"/>
    <x v="4"/>
    <n v="1033"/>
    <n v="11"/>
    <x v="3"/>
    <s v="Female"/>
    <n v="2"/>
    <x v="1"/>
    <x v="1"/>
    <n v="4777"/>
    <n v="14382"/>
    <n v="5"/>
    <x v="1"/>
    <n v="3"/>
    <n v="1"/>
    <n v="80"/>
    <n v="15"/>
    <x v="2"/>
    <x v="0"/>
    <n v="1"/>
    <x v="2"/>
    <n v="0"/>
    <n v="0"/>
  </r>
  <r>
    <n v="55"/>
    <x v="3"/>
    <x v="1"/>
    <s v="Travel_Frequently"/>
    <x v="1"/>
    <s v="Medical"/>
    <x v="4"/>
    <n v="1034"/>
    <n v="18"/>
    <x v="1"/>
    <s v="Male"/>
    <n v="2"/>
    <x v="1"/>
    <x v="1"/>
    <n v="6385"/>
    <n v="12992"/>
    <n v="3"/>
    <x v="0"/>
    <n v="3"/>
    <n v="4"/>
    <n v="80"/>
    <n v="17"/>
    <x v="1"/>
    <x v="1"/>
    <n v="8"/>
    <x v="1"/>
    <n v="6"/>
    <n v="7"/>
  </r>
  <r>
    <n v="41"/>
    <x v="0"/>
    <x v="1"/>
    <s v="Non-Travel"/>
    <x v="1"/>
    <s v="Life Sciences"/>
    <x v="7"/>
    <n v="1035"/>
    <n v="7"/>
    <x v="0"/>
    <s v="Female"/>
    <n v="5"/>
    <x v="2"/>
    <x v="2"/>
    <n v="19973"/>
    <n v="20284"/>
    <n v="1"/>
    <x v="1"/>
    <n v="4"/>
    <n v="2"/>
    <n v="80"/>
    <n v="21"/>
    <x v="1"/>
    <x v="1"/>
    <n v="21"/>
    <x v="13"/>
    <n v="5"/>
    <n v="10"/>
  </r>
  <r>
    <n v="38"/>
    <x v="1"/>
    <x v="1"/>
    <s v="Travel_Rarely"/>
    <x v="0"/>
    <s v="Life Sciences"/>
    <x v="0"/>
    <n v="1036"/>
    <n v="3"/>
    <x v="0"/>
    <s v="Male"/>
    <n v="2"/>
    <x v="0"/>
    <x v="0"/>
    <n v="6861"/>
    <n v="4981"/>
    <n v="8"/>
    <x v="0"/>
    <n v="3"/>
    <n v="3"/>
    <n v="80"/>
    <n v="19"/>
    <x v="4"/>
    <x v="1"/>
    <n v="1"/>
    <x v="2"/>
    <n v="0"/>
    <n v="0"/>
  </r>
  <r>
    <n v="26"/>
    <x v="2"/>
    <x v="0"/>
    <s v="Non-Travel"/>
    <x v="0"/>
    <s v="Medical"/>
    <x v="0"/>
    <n v="1037"/>
    <n v="29"/>
    <x v="0"/>
    <s v="Male"/>
    <n v="2"/>
    <x v="3"/>
    <x v="0"/>
    <n v="4969"/>
    <n v="21813"/>
    <n v="8"/>
    <x v="1"/>
    <n v="3"/>
    <n v="4"/>
    <n v="80"/>
    <n v="7"/>
    <x v="6"/>
    <x v="1"/>
    <n v="2"/>
    <x v="3"/>
    <n v="2"/>
    <n v="2"/>
  </r>
  <r>
    <n v="52"/>
    <x v="3"/>
    <x v="0"/>
    <s v="Travel_Rarely"/>
    <x v="0"/>
    <s v="Marketing"/>
    <x v="5"/>
    <n v="1038"/>
    <n v="2"/>
    <x v="3"/>
    <s v="Female"/>
    <n v="5"/>
    <x v="0"/>
    <x v="1"/>
    <n v="19845"/>
    <n v="25846"/>
    <n v="1"/>
    <x v="1"/>
    <n v="3"/>
    <n v="4"/>
    <n v="80"/>
    <n v="33"/>
    <x v="1"/>
    <x v="1"/>
    <n v="32"/>
    <x v="12"/>
    <n v="6"/>
    <n v="9"/>
  </r>
  <r>
    <n v="44"/>
    <x v="0"/>
    <x v="1"/>
    <s v="Travel_Rarely"/>
    <x v="0"/>
    <s v="Medical"/>
    <x v="0"/>
    <n v="1039"/>
    <n v="28"/>
    <x v="2"/>
    <s v="Female"/>
    <n v="4"/>
    <x v="0"/>
    <x v="1"/>
    <n v="13320"/>
    <n v="11737"/>
    <n v="3"/>
    <x v="0"/>
    <n v="3"/>
    <n v="3"/>
    <n v="80"/>
    <n v="23"/>
    <x v="2"/>
    <x v="1"/>
    <n v="12"/>
    <x v="14"/>
    <n v="11"/>
    <n v="11"/>
  </r>
  <r>
    <n v="50"/>
    <x v="0"/>
    <x v="1"/>
    <s v="Non-Travel"/>
    <x v="0"/>
    <s v="Life Sciences"/>
    <x v="0"/>
    <n v="1040"/>
    <n v="1"/>
    <x v="2"/>
    <s v="Female"/>
    <n v="2"/>
    <x v="2"/>
    <x v="1"/>
    <n v="6347"/>
    <n v="24920"/>
    <n v="0"/>
    <x v="1"/>
    <n v="3"/>
    <n v="1"/>
    <n v="80"/>
    <n v="19"/>
    <x v="1"/>
    <x v="1"/>
    <n v="18"/>
    <x v="1"/>
    <n v="0"/>
    <n v="13"/>
  </r>
  <r>
    <n v="36"/>
    <x v="1"/>
    <x v="0"/>
    <s v="Travel_Rarely"/>
    <x v="1"/>
    <s v="Life Sciences"/>
    <x v="2"/>
    <n v="1042"/>
    <n v="16"/>
    <x v="1"/>
    <s v="Female"/>
    <n v="1"/>
    <x v="3"/>
    <x v="0"/>
    <n v="2743"/>
    <n v="8269"/>
    <n v="1"/>
    <x v="1"/>
    <n v="3"/>
    <n v="3"/>
    <n v="80"/>
    <n v="18"/>
    <x v="4"/>
    <x v="1"/>
    <n v="17"/>
    <x v="9"/>
    <n v="15"/>
    <n v="14"/>
  </r>
  <r>
    <n v="39"/>
    <x v="1"/>
    <x v="1"/>
    <s v="Travel_Frequently"/>
    <x v="1"/>
    <s v="Medical"/>
    <x v="3"/>
    <n v="1043"/>
    <n v="22"/>
    <x v="2"/>
    <s v="Female"/>
    <n v="3"/>
    <x v="3"/>
    <x v="0"/>
    <n v="10880"/>
    <n v="5083"/>
    <n v="1"/>
    <x v="0"/>
    <n v="3"/>
    <n v="3"/>
    <n v="80"/>
    <n v="21"/>
    <x v="2"/>
    <x v="1"/>
    <n v="21"/>
    <x v="8"/>
    <n v="2"/>
    <n v="8"/>
  </r>
  <r>
    <n v="33"/>
    <x v="1"/>
    <x v="1"/>
    <s v="Non-Travel"/>
    <x v="0"/>
    <s v="Life Sciences"/>
    <x v="6"/>
    <n v="1044"/>
    <n v="8"/>
    <x v="0"/>
    <s v="Female"/>
    <n v="1"/>
    <x v="0"/>
    <x v="0"/>
    <n v="2342"/>
    <n v="21437"/>
    <n v="0"/>
    <x v="1"/>
    <n v="3"/>
    <n v="4"/>
    <n v="80"/>
    <n v="3"/>
    <x v="2"/>
    <x v="2"/>
    <n v="2"/>
    <x v="3"/>
    <n v="2"/>
    <n v="2"/>
  </r>
  <r>
    <n v="45"/>
    <x v="0"/>
    <x v="1"/>
    <s v="Travel_Rarely"/>
    <x v="0"/>
    <s v="Life Sciences"/>
    <x v="5"/>
    <n v="1045"/>
    <n v="11"/>
    <x v="2"/>
    <s v="Female"/>
    <n v="4"/>
    <x v="0"/>
    <x v="1"/>
    <n v="17650"/>
    <n v="5404"/>
    <n v="3"/>
    <x v="1"/>
    <n v="3"/>
    <n v="2"/>
    <n v="80"/>
    <n v="26"/>
    <x v="5"/>
    <x v="3"/>
    <n v="9"/>
    <x v="7"/>
    <n v="1"/>
    <n v="1"/>
  </r>
  <r>
    <n v="32"/>
    <x v="1"/>
    <x v="1"/>
    <s v="Non-Travel"/>
    <x v="1"/>
    <s v="Medical"/>
    <x v="2"/>
    <n v="1046"/>
    <n v="29"/>
    <x v="2"/>
    <s v="Female"/>
    <n v="1"/>
    <x v="2"/>
    <x v="0"/>
    <n v="4025"/>
    <n v="11135"/>
    <n v="9"/>
    <x v="1"/>
    <n v="3"/>
    <n v="2"/>
    <n v="80"/>
    <n v="10"/>
    <x v="2"/>
    <x v="1"/>
    <n v="8"/>
    <x v="1"/>
    <n v="7"/>
    <n v="7"/>
  </r>
  <r>
    <n v="34"/>
    <x v="1"/>
    <x v="1"/>
    <s v="Travel_Rarely"/>
    <x v="0"/>
    <s v="Marketing"/>
    <x v="0"/>
    <n v="1047"/>
    <n v="1"/>
    <x v="0"/>
    <s v="Male"/>
    <n v="2"/>
    <x v="0"/>
    <x v="2"/>
    <n v="9725"/>
    <n v="12278"/>
    <n v="0"/>
    <x v="1"/>
    <n v="3"/>
    <n v="4"/>
    <n v="80"/>
    <n v="16"/>
    <x v="2"/>
    <x v="2"/>
    <n v="15"/>
    <x v="10"/>
    <n v="0"/>
    <n v="9"/>
  </r>
  <r>
    <n v="59"/>
    <x v="3"/>
    <x v="1"/>
    <s v="Travel_Rarely"/>
    <x v="0"/>
    <s v="Technical Degree"/>
    <x v="5"/>
    <n v="1048"/>
    <n v="1"/>
    <x v="0"/>
    <s v="Male"/>
    <n v="3"/>
    <x v="0"/>
    <x v="1"/>
    <n v="11904"/>
    <n v="11038"/>
    <n v="3"/>
    <x v="0"/>
    <n v="3"/>
    <n v="3"/>
    <n v="80"/>
    <n v="14"/>
    <x v="4"/>
    <x v="0"/>
    <n v="6"/>
    <x v="0"/>
    <n v="0"/>
    <n v="4"/>
  </r>
  <r>
    <n v="45"/>
    <x v="0"/>
    <x v="1"/>
    <s v="Travel_Rarely"/>
    <x v="2"/>
    <s v="Medical"/>
    <x v="8"/>
    <n v="1049"/>
    <n v="24"/>
    <x v="0"/>
    <s v="Male"/>
    <n v="1"/>
    <x v="1"/>
    <x v="0"/>
    <n v="2177"/>
    <n v="8318"/>
    <n v="1"/>
    <x v="1"/>
    <n v="3"/>
    <n v="1"/>
    <n v="80"/>
    <n v="6"/>
    <x v="1"/>
    <x v="1"/>
    <n v="6"/>
    <x v="7"/>
    <n v="0"/>
    <n v="4"/>
  </r>
  <r>
    <n v="53"/>
    <x v="3"/>
    <x v="1"/>
    <s v="Travel_Frequently"/>
    <x v="0"/>
    <s v="Marketing"/>
    <x v="0"/>
    <n v="1050"/>
    <n v="2"/>
    <x v="1"/>
    <s v="Female"/>
    <n v="3"/>
    <x v="1"/>
    <x v="1"/>
    <n v="7525"/>
    <n v="23537"/>
    <n v="2"/>
    <x v="1"/>
    <n v="3"/>
    <n v="1"/>
    <n v="80"/>
    <n v="30"/>
    <x v="2"/>
    <x v="1"/>
    <n v="15"/>
    <x v="1"/>
    <n v="6"/>
    <n v="12"/>
  </r>
  <r>
    <n v="36"/>
    <x v="1"/>
    <x v="0"/>
    <s v="Travel_Rarely"/>
    <x v="1"/>
    <s v="Other"/>
    <x v="2"/>
    <n v="1052"/>
    <n v="15"/>
    <x v="3"/>
    <s v="Male"/>
    <n v="2"/>
    <x v="2"/>
    <x v="2"/>
    <n v="4834"/>
    <n v="7858"/>
    <n v="7"/>
    <x v="1"/>
    <n v="3"/>
    <n v="2"/>
    <n v="80"/>
    <n v="9"/>
    <x v="1"/>
    <x v="2"/>
    <n v="1"/>
    <x v="2"/>
    <n v="0"/>
    <n v="0"/>
  </r>
  <r>
    <n v="26"/>
    <x v="2"/>
    <x v="0"/>
    <s v="Travel_Frequently"/>
    <x v="1"/>
    <s v="Life Sciences"/>
    <x v="1"/>
    <n v="1053"/>
    <n v="2"/>
    <x v="3"/>
    <s v="Male"/>
    <n v="1"/>
    <x v="3"/>
    <x v="1"/>
    <n v="2042"/>
    <n v="15346"/>
    <n v="6"/>
    <x v="0"/>
    <n v="3"/>
    <n v="2"/>
    <n v="80"/>
    <n v="6"/>
    <x v="2"/>
    <x v="1"/>
    <n v="3"/>
    <x v="3"/>
    <n v="1"/>
    <n v="2"/>
  </r>
  <r>
    <n v="34"/>
    <x v="1"/>
    <x v="1"/>
    <s v="Travel_Rarely"/>
    <x v="0"/>
    <s v="Life Sciences"/>
    <x v="6"/>
    <n v="1055"/>
    <n v="10"/>
    <x v="1"/>
    <s v="Female"/>
    <n v="1"/>
    <x v="2"/>
    <x v="1"/>
    <n v="2220"/>
    <n v="18410"/>
    <n v="1"/>
    <x v="0"/>
    <n v="3"/>
    <n v="4"/>
    <n v="80"/>
    <n v="1"/>
    <x v="2"/>
    <x v="1"/>
    <n v="1"/>
    <x v="10"/>
    <n v="0"/>
    <n v="0"/>
  </r>
  <r>
    <n v="28"/>
    <x v="2"/>
    <x v="1"/>
    <s v="Travel_Rarely"/>
    <x v="0"/>
    <s v="Medical"/>
    <x v="6"/>
    <n v="1056"/>
    <n v="10"/>
    <x v="2"/>
    <s v="Male"/>
    <n v="1"/>
    <x v="1"/>
    <x v="1"/>
    <n v="1052"/>
    <n v="23384"/>
    <n v="1"/>
    <x v="1"/>
    <n v="4"/>
    <n v="2"/>
    <n v="80"/>
    <n v="1"/>
    <x v="3"/>
    <x v="1"/>
    <n v="1"/>
    <x v="2"/>
    <n v="0"/>
    <n v="0"/>
  </r>
  <r>
    <n v="38"/>
    <x v="1"/>
    <x v="1"/>
    <s v="Travel_Frequently"/>
    <x v="1"/>
    <s v="Other"/>
    <x v="1"/>
    <n v="1060"/>
    <n v="3"/>
    <x v="1"/>
    <s v="Male"/>
    <n v="1"/>
    <x v="2"/>
    <x v="1"/>
    <n v="2821"/>
    <n v="2997"/>
    <n v="3"/>
    <x v="1"/>
    <n v="3"/>
    <n v="1"/>
    <n v="80"/>
    <n v="8"/>
    <x v="2"/>
    <x v="1"/>
    <n v="2"/>
    <x v="3"/>
    <n v="2"/>
    <n v="2"/>
  </r>
  <r>
    <n v="50"/>
    <x v="0"/>
    <x v="1"/>
    <s v="Travel_Rarely"/>
    <x v="1"/>
    <s v="Medical"/>
    <x v="7"/>
    <n v="1061"/>
    <n v="2"/>
    <x v="0"/>
    <s v="Male"/>
    <n v="5"/>
    <x v="2"/>
    <x v="1"/>
    <n v="19237"/>
    <n v="12853"/>
    <n v="2"/>
    <x v="0"/>
    <n v="3"/>
    <n v="4"/>
    <n v="80"/>
    <n v="29"/>
    <x v="2"/>
    <x v="2"/>
    <n v="8"/>
    <x v="10"/>
    <n v="7"/>
    <n v="7"/>
  </r>
  <r>
    <n v="37"/>
    <x v="1"/>
    <x v="1"/>
    <s v="Travel_Rarely"/>
    <x v="1"/>
    <s v="Other"/>
    <x v="4"/>
    <n v="1062"/>
    <n v="3"/>
    <x v="2"/>
    <s v="Female"/>
    <n v="2"/>
    <x v="1"/>
    <x v="0"/>
    <n v="4107"/>
    <n v="13848"/>
    <n v="3"/>
    <x v="1"/>
    <n v="3"/>
    <n v="1"/>
    <n v="80"/>
    <n v="8"/>
    <x v="1"/>
    <x v="2"/>
    <n v="4"/>
    <x v="7"/>
    <n v="0"/>
    <n v="1"/>
  </r>
  <r>
    <n v="40"/>
    <x v="1"/>
    <x v="1"/>
    <s v="Travel_Rarely"/>
    <x v="0"/>
    <s v="Marketing"/>
    <x v="0"/>
    <n v="1066"/>
    <n v="26"/>
    <x v="1"/>
    <s v="Male"/>
    <n v="2"/>
    <x v="3"/>
    <x v="1"/>
    <n v="8396"/>
    <n v="22217"/>
    <n v="1"/>
    <x v="1"/>
    <n v="3"/>
    <n v="2"/>
    <n v="80"/>
    <n v="8"/>
    <x v="1"/>
    <x v="2"/>
    <n v="7"/>
    <x v="1"/>
    <n v="7"/>
    <n v="5"/>
  </r>
  <r>
    <n v="26"/>
    <x v="2"/>
    <x v="1"/>
    <s v="Travel_Frequently"/>
    <x v="1"/>
    <s v="Medical"/>
    <x v="1"/>
    <n v="1068"/>
    <n v="1"/>
    <x v="3"/>
    <s v="Female"/>
    <n v="1"/>
    <x v="2"/>
    <x v="2"/>
    <n v="2007"/>
    <n v="25265"/>
    <n v="1"/>
    <x v="1"/>
    <n v="3"/>
    <n v="3"/>
    <n v="80"/>
    <n v="5"/>
    <x v="3"/>
    <x v="1"/>
    <n v="5"/>
    <x v="7"/>
    <n v="1"/>
    <n v="3"/>
  </r>
  <r>
    <n v="46"/>
    <x v="0"/>
    <x v="1"/>
    <s v="Travel_Rarely"/>
    <x v="1"/>
    <s v="Medical"/>
    <x v="7"/>
    <n v="1069"/>
    <n v="1"/>
    <x v="2"/>
    <s v="Male"/>
    <n v="5"/>
    <x v="0"/>
    <x v="2"/>
    <n v="19627"/>
    <n v="21445"/>
    <n v="9"/>
    <x v="1"/>
    <n v="3"/>
    <n v="4"/>
    <n v="80"/>
    <n v="23"/>
    <x v="0"/>
    <x v="1"/>
    <n v="2"/>
    <x v="3"/>
    <n v="2"/>
    <n v="2"/>
  </r>
  <r>
    <n v="54"/>
    <x v="3"/>
    <x v="1"/>
    <s v="Travel_Rarely"/>
    <x v="0"/>
    <s v="Life Sciences"/>
    <x v="0"/>
    <n v="1070"/>
    <n v="2"/>
    <x v="1"/>
    <s v="Female"/>
    <n v="3"/>
    <x v="2"/>
    <x v="1"/>
    <n v="10686"/>
    <n v="8392"/>
    <n v="6"/>
    <x v="1"/>
    <n v="3"/>
    <n v="2"/>
    <n v="80"/>
    <n v="13"/>
    <x v="5"/>
    <x v="1"/>
    <n v="9"/>
    <x v="0"/>
    <n v="7"/>
    <n v="0"/>
  </r>
  <r>
    <n v="56"/>
    <x v="3"/>
    <x v="1"/>
    <s v="Travel_Frequently"/>
    <x v="1"/>
    <s v="Medical"/>
    <x v="1"/>
    <n v="1071"/>
    <n v="9"/>
    <x v="3"/>
    <s v="Female"/>
    <n v="1"/>
    <x v="2"/>
    <x v="1"/>
    <n v="2942"/>
    <n v="12154"/>
    <n v="2"/>
    <x v="1"/>
    <n v="3"/>
    <n v="2"/>
    <n v="80"/>
    <n v="18"/>
    <x v="5"/>
    <x v="1"/>
    <n v="5"/>
    <x v="0"/>
    <n v="0"/>
    <n v="3"/>
  </r>
  <r>
    <n v="36"/>
    <x v="1"/>
    <x v="1"/>
    <s v="Travel_Rarely"/>
    <x v="1"/>
    <s v="Medical"/>
    <x v="3"/>
    <n v="1073"/>
    <n v="12"/>
    <x v="2"/>
    <s v="Female"/>
    <n v="3"/>
    <x v="0"/>
    <x v="0"/>
    <n v="8858"/>
    <n v="15669"/>
    <n v="0"/>
    <x v="1"/>
    <n v="3"/>
    <n v="2"/>
    <n v="80"/>
    <n v="15"/>
    <x v="2"/>
    <x v="2"/>
    <n v="14"/>
    <x v="6"/>
    <n v="7"/>
    <n v="8"/>
  </r>
  <r>
    <n v="55"/>
    <x v="3"/>
    <x v="1"/>
    <s v="Non-Travel"/>
    <x v="1"/>
    <s v="Medical"/>
    <x v="5"/>
    <n v="1074"/>
    <n v="2"/>
    <x v="1"/>
    <s v="Male"/>
    <n v="4"/>
    <x v="3"/>
    <x v="0"/>
    <n v="16756"/>
    <n v="17323"/>
    <n v="7"/>
    <x v="1"/>
    <n v="3"/>
    <n v="2"/>
    <n v="80"/>
    <n v="31"/>
    <x v="1"/>
    <x v="3"/>
    <n v="9"/>
    <x v="1"/>
    <n v="6"/>
    <n v="2"/>
  </r>
  <r>
    <n v="43"/>
    <x v="0"/>
    <x v="1"/>
    <s v="Travel_Rarely"/>
    <x v="0"/>
    <s v="Medical"/>
    <x v="0"/>
    <n v="1076"/>
    <n v="25"/>
    <x v="1"/>
    <s v="Male"/>
    <n v="3"/>
    <x v="0"/>
    <x v="2"/>
    <n v="10798"/>
    <n v="5268"/>
    <n v="5"/>
    <x v="1"/>
    <n v="3"/>
    <n v="3"/>
    <n v="80"/>
    <n v="18"/>
    <x v="3"/>
    <x v="1"/>
    <n v="1"/>
    <x v="2"/>
    <n v="0"/>
    <n v="0"/>
  </r>
  <r>
    <n v="20"/>
    <x v="4"/>
    <x v="0"/>
    <s v="Travel_Frequently"/>
    <x v="0"/>
    <s v="Marketing"/>
    <x v="6"/>
    <n v="1077"/>
    <n v="9"/>
    <x v="2"/>
    <s v="Female"/>
    <n v="1"/>
    <x v="0"/>
    <x v="0"/>
    <n v="2323"/>
    <n v="17205"/>
    <n v="1"/>
    <x v="0"/>
    <n v="3"/>
    <n v="2"/>
    <n v="80"/>
    <n v="2"/>
    <x v="1"/>
    <x v="1"/>
    <n v="2"/>
    <x v="3"/>
    <n v="0"/>
    <n v="2"/>
  </r>
  <r>
    <n v="21"/>
    <x v="2"/>
    <x v="0"/>
    <s v="Travel_Rarely"/>
    <x v="1"/>
    <s v="Life Sciences"/>
    <x v="2"/>
    <n v="1079"/>
    <n v="10"/>
    <x v="1"/>
    <s v="Female"/>
    <n v="1"/>
    <x v="3"/>
    <x v="0"/>
    <n v="1416"/>
    <n v="17258"/>
    <n v="1"/>
    <x v="1"/>
    <n v="3"/>
    <n v="1"/>
    <n v="80"/>
    <n v="1"/>
    <x v="6"/>
    <x v="2"/>
    <n v="1"/>
    <x v="2"/>
    <n v="1"/>
    <n v="0"/>
  </r>
  <r>
    <n v="46"/>
    <x v="0"/>
    <x v="1"/>
    <s v="Travel_Rarely"/>
    <x v="1"/>
    <s v="Life Sciences"/>
    <x v="1"/>
    <n v="1080"/>
    <n v="8"/>
    <x v="2"/>
    <s v="Female"/>
    <n v="2"/>
    <x v="3"/>
    <x v="2"/>
    <n v="4615"/>
    <n v="21029"/>
    <n v="8"/>
    <x v="0"/>
    <n v="4"/>
    <n v="1"/>
    <n v="80"/>
    <n v="19"/>
    <x v="2"/>
    <x v="1"/>
    <n v="16"/>
    <x v="9"/>
    <n v="1"/>
    <n v="7"/>
  </r>
  <r>
    <n v="51"/>
    <x v="3"/>
    <x v="0"/>
    <s v="Travel_Rarely"/>
    <x v="1"/>
    <s v="Life Sciences"/>
    <x v="1"/>
    <n v="1081"/>
    <n v="4"/>
    <x v="3"/>
    <s v="Male"/>
    <n v="1"/>
    <x v="2"/>
    <x v="1"/>
    <n v="2461"/>
    <n v="10332"/>
    <n v="9"/>
    <x v="0"/>
    <n v="3"/>
    <n v="3"/>
    <n v="80"/>
    <n v="18"/>
    <x v="2"/>
    <x v="3"/>
    <n v="10"/>
    <x v="2"/>
    <n v="2"/>
    <n v="7"/>
  </r>
  <r>
    <n v="28"/>
    <x v="2"/>
    <x v="0"/>
    <s v="Non-Travel"/>
    <x v="1"/>
    <s v="Technical Degree"/>
    <x v="4"/>
    <n v="1082"/>
    <n v="24"/>
    <x v="0"/>
    <s v="Male"/>
    <n v="3"/>
    <x v="3"/>
    <x v="0"/>
    <n v="8722"/>
    <n v="12355"/>
    <n v="1"/>
    <x v="1"/>
    <n v="3"/>
    <n v="1"/>
    <n v="80"/>
    <n v="10"/>
    <x v="2"/>
    <x v="2"/>
    <n v="10"/>
    <x v="1"/>
    <n v="1"/>
    <n v="9"/>
  </r>
  <r>
    <n v="26"/>
    <x v="2"/>
    <x v="1"/>
    <s v="Travel_Rarely"/>
    <x v="1"/>
    <s v="Medical"/>
    <x v="2"/>
    <n v="1083"/>
    <n v="1"/>
    <x v="3"/>
    <s v="Male"/>
    <n v="1"/>
    <x v="3"/>
    <x v="1"/>
    <n v="3955"/>
    <n v="11141"/>
    <n v="1"/>
    <x v="1"/>
    <n v="3"/>
    <n v="1"/>
    <n v="80"/>
    <n v="6"/>
    <x v="2"/>
    <x v="1"/>
    <n v="5"/>
    <x v="7"/>
    <n v="1"/>
    <n v="3"/>
  </r>
  <r>
    <n v="30"/>
    <x v="2"/>
    <x v="1"/>
    <s v="Travel_Rarely"/>
    <x v="1"/>
    <s v="Other"/>
    <x v="3"/>
    <n v="1084"/>
    <n v="20"/>
    <x v="1"/>
    <s v="Male"/>
    <n v="2"/>
    <x v="3"/>
    <x v="1"/>
    <n v="9957"/>
    <n v="9096"/>
    <n v="0"/>
    <x v="1"/>
    <n v="3"/>
    <n v="3"/>
    <n v="80"/>
    <n v="7"/>
    <x v="4"/>
    <x v="2"/>
    <n v="6"/>
    <x v="3"/>
    <n v="0"/>
    <n v="2"/>
  </r>
  <r>
    <n v="41"/>
    <x v="0"/>
    <x v="1"/>
    <s v="Travel_Rarely"/>
    <x v="1"/>
    <s v="Technical Degree"/>
    <x v="1"/>
    <n v="1085"/>
    <n v="7"/>
    <x v="0"/>
    <s v="Female"/>
    <n v="1"/>
    <x v="2"/>
    <x v="1"/>
    <n v="3376"/>
    <n v="18863"/>
    <n v="1"/>
    <x v="1"/>
    <n v="3"/>
    <n v="3"/>
    <n v="80"/>
    <n v="10"/>
    <x v="1"/>
    <x v="1"/>
    <n v="10"/>
    <x v="8"/>
    <n v="0"/>
    <n v="8"/>
  </r>
  <r>
    <n v="38"/>
    <x v="1"/>
    <x v="1"/>
    <s v="Travel_Rarely"/>
    <x v="1"/>
    <s v="Life Sciences"/>
    <x v="4"/>
    <n v="1088"/>
    <n v="17"/>
    <x v="1"/>
    <s v="Female"/>
    <n v="3"/>
    <x v="2"/>
    <x v="1"/>
    <n v="8823"/>
    <n v="24608"/>
    <n v="0"/>
    <x v="1"/>
    <n v="3"/>
    <n v="1"/>
    <n v="80"/>
    <n v="20"/>
    <x v="5"/>
    <x v="2"/>
    <n v="19"/>
    <x v="5"/>
    <n v="1"/>
    <n v="9"/>
  </r>
  <r>
    <n v="40"/>
    <x v="1"/>
    <x v="1"/>
    <s v="Travel_Rarely"/>
    <x v="1"/>
    <s v="Technical Degree"/>
    <x v="4"/>
    <n v="1092"/>
    <n v="20"/>
    <x v="3"/>
    <s v="Male"/>
    <n v="3"/>
    <x v="0"/>
    <x v="1"/>
    <n v="10322"/>
    <n v="26542"/>
    <n v="4"/>
    <x v="1"/>
    <n v="4"/>
    <n v="4"/>
    <n v="80"/>
    <n v="14"/>
    <x v="6"/>
    <x v="1"/>
    <n v="11"/>
    <x v="15"/>
    <n v="11"/>
    <n v="1"/>
  </r>
  <r>
    <n v="27"/>
    <x v="2"/>
    <x v="1"/>
    <s v="Non-Travel"/>
    <x v="1"/>
    <s v="Life Sciences"/>
    <x v="2"/>
    <n v="1094"/>
    <n v="8"/>
    <x v="3"/>
    <s v="Male"/>
    <n v="1"/>
    <x v="2"/>
    <x v="1"/>
    <n v="4621"/>
    <n v="5869"/>
    <n v="1"/>
    <x v="1"/>
    <n v="3"/>
    <n v="4"/>
    <n v="80"/>
    <n v="3"/>
    <x v="5"/>
    <x v="1"/>
    <n v="3"/>
    <x v="3"/>
    <n v="1"/>
    <n v="2"/>
  </r>
  <r>
    <n v="55"/>
    <x v="3"/>
    <x v="1"/>
    <s v="Travel_Frequently"/>
    <x v="1"/>
    <s v="Life Sciences"/>
    <x v="3"/>
    <n v="1096"/>
    <n v="2"/>
    <x v="2"/>
    <s v="Male"/>
    <n v="3"/>
    <x v="1"/>
    <x v="1"/>
    <n v="10976"/>
    <n v="15813"/>
    <n v="3"/>
    <x v="1"/>
    <n v="3"/>
    <n v="2"/>
    <n v="80"/>
    <n v="23"/>
    <x v="5"/>
    <x v="1"/>
    <n v="3"/>
    <x v="3"/>
    <n v="1"/>
    <n v="2"/>
  </r>
  <r>
    <n v="28"/>
    <x v="2"/>
    <x v="1"/>
    <s v="Travel_Rarely"/>
    <x v="1"/>
    <s v="Other"/>
    <x v="1"/>
    <n v="1097"/>
    <n v="10"/>
    <x v="1"/>
    <s v="Female"/>
    <n v="2"/>
    <x v="2"/>
    <x v="0"/>
    <n v="3660"/>
    <n v="7909"/>
    <n v="3"/>
    <x v="1"/>
    <n v="3"/>
    <n v="4"/>
    <n v="80"/>
    <n v="10"/>
    <x v="5"/>
    <x v="3"/>
    <n v="8"/>
    <x v="1"/>
    <n v="1"/>
    <n v="7"/>
  </r>
  <r>
    <n v="44"/>
    <x v="0"/>
    <x v="0"/>
    <s v="Travel_Rarely"/>
    <x v="2"/>
    <s v="Medical"/>
    <x v="8"/>
    <n v="1098"/>
    <n v="1"/>
    <x v="0"/>
    <s v="Male"/>
    <n v="3"/>
    <x v="3"/>
    <x v="1"/>
    <n v="10482"/>
    <n v="2326"/>
    <n v="9"/>
    <x v="1"/>
    <n v="3"/>
    <n v="4"/>
    <n v="80"/>
    <n v="24"/>
    <x v="4"/>
    <x v="1"/>
    <n v="20"/>
    <x v="8"/>
    <n v="3"/>
    <n v="6"/>
  </r>
  <r>
    <n v="33"/>
    <x v="1"/>
    <x v="1"/>
    <s v="Travel_Rarely"/>
    <x v="1"/>
    <s v="Life Sciences"/>
    <x v="4"/>
    <n v="1099"/>
    <n v="5"/>
    <x v="2"/>
    <s v="Male"/>
    <n v="3"/>
    <x v="0"/>
    <x v="2"/>
    <n v="7119"/>
    <n v="21214"/>
    <n v="4"/>
    <x v="1"/>
    <n v="3"/>
    <n v="3"/>
    <n v="80"/>
    <n v="9"/>
    <x v="2"/>
    <x v="1"/>
    <n v="3"/>
    <x v="3"/>
    <n v="1"/>
    <n v="2"/>
  </r>
  <r>
    <n v="35"/>
    <x v="1"/>
    <x v="0"/>
    <s v="Travel_Rarely"/>
    <x v="0"/>
    <s v="Technical Degree"/>
    <x v="0"/>
    <n v="1100"/>
    <n v="4"/>
    <x v="2"/>
    <s v="Male"/>
    <n v="3"/>
    <x v="3"/>
    <x v="0"/>
    <n v="9582"/>
    <n v="10333"/>
    <n v="0"/>
    <x v="0"/>
    <n v="4"/>
    <n v="1"/>
    <n v="80"/>
    <n v="9"/>
    <x v="2"/>
    <x v="1"/>
    <n v="8"/>
    <x v="1"/>
    <n v="4"/>
    <n v="7"/>
  </r>
  <r>
    <n v="33"/>
    <x v="1"/>
    <x v="0"/>
    <s v="Travel_Frequently"/>
    <x v="1"/>
    <s v="Medical"/>
    <x v="1"/>
    <n v="1101"/>
    <n v="29"/>
    <x v="3"/>
    <s v="Female"/>
    <n v="2"/>
    <x v="2"/>
    <x v="0"/>
    <n v="4508"/>
    <n v="3129"/>
    <n v="1"/>
    <x v="1"/>
    <n v="4"/>
    <n v="2"/>
    <n v="80"/>
    <n v="14"/>
    <x v="5"/>
    <x v="1"/>
    <n v="13"/>
    <x v="1"/>
    <n v="3"/>
    <n v="8"/>
  </r>
  <r>
    <n v="28"/>
    <x v="2"/>
    <x v="1"/>
    <s v="Travel_Rarely"/>
    <x v="1"/>
    <s v="Life Sciences"/>
    <x v="2"/>
    <n v="1102"/>
    <n v="15"/>
    <x v="3"/>
    <s v="Male"/>
    <n v="1"/>
    <x v="2"/>
    <x v="2"/>
    <n v="2207"/>
    <n v="22482"/>
    <n v="1"/>
    <x v="1"/>
    <n v="3"/>
    <n v="4"/>
    <n v="80"/>
    <n v="4"/>
    <x v="3"/>
    <x v="2"/>
    <n v="4"/>
    <x v="3"/>
    <n v="2"/>
    <n v="2"/>
  </r>
  <r>
    <n v="34"/>
    <x v="1"/>
    <x v="1"/>
    <s v="Travel_Frequently"/>
    <x v="1"/>
    <s v="Life Sciences"/>
    <x v="4"/>
    <n v="1103"/>
    <n v="3"/>
    <x v="3"/>
    <s v="Male"/>
    <n v="2"/>
    <x v="0"/>
    <x v="0"/>
    <n v="7756"/>
    <n v="22266"/>
    <n v="0"/>
    <x v="1"/>
    <n v="3"/>
    <n v="3"/>
    <n v="80"/>
    <n v="7"/>
    <x v="4"/>
    <x v="2"/>
    <n v="6"/>
    <x v="3"/>
    <n v="0"/>
    <n v="4"/>
  </r>
  <r>
    <n v="37"/>
    <x v="1"/>
    <x v="1"/>
    <s v="Travel_Rarely"/>
    <x v="0"/>
    <s v="Life Sciences"/>
    <x v="0"/>
    <n v="1105"/>
    <n v="10"/>
    <x v="2"/>
    <s v="Female"/>
    <n v="2"/>
    <x v="0"/>
    <x v="2"/>
    <n v="6694"/>
    <n v="24223"/>
    <n v="2"/>
    <x v="0"/>
    <n v="3"/>
    <n v="3"/>
    <n v="80"/>
    <n v="8"/>
    <x v="3"/>
    <x v="1"/>
    <n v="1"/>
    <x v="2"/>
    <n v="0"/>
    <n v="0"/>
  </r>
  <r>
    <n v="25"/>
    <x v="2"/>
    <x v="0"/>
    <s v="Travel_Rarely"/>
    <x v="1"/>
    <s v="Technical Degree"/>
    <x v="2"/>
    <n v="1106"/>
    <n v="4"/>
    <x v="2"/>
    <s v="Male"/>
    <n v="1"/>
    <x v="0"/>
    <x v="1"/>
    <n v="3691"/>
    <n v="4605"/>
    <n v="1"/>
    <x v="0"/>
    <n v="3"/>
    <n v="2"/>
    <n v="80"/>
    <n v="7"/>
    <x v="1"/>
    <x v="3"/>
    <n v="7"/>
    <x v="1"/>
    <n v="5"/>
    <n v="6"/>
  </r>
  <r>
    <n v="26"/>
    <x v="2"/>
    <x v="0"/>
    <s v="Travel_Rarely"/>
    <x v="1"/>
    <s v="Medical"/>
    <x v="2"/>
    <n v="1107"/>
    <n v="21"/>
    <x v="3"/>
    <s v="Male"/>
    <n v="1"/>
    <x v="2"/>
    <x v="2"/>
    <n v="2377"/>
    <n v="19373"/>
    <n v="1"/>
    <x v="1"/>
    <n v="4"/>
    <n v="3"/>
    <n v="80"/>
    <n v="1"/>
    <x v="0"/>
    <x v="2"/>
    <n v="1"/>
    <x v="10"/>
    <n v="0"/>
    <n v="0"/>
  </r>
  <r>
    <n v="33"/>
    <x v="1"/>
    <x v="0"/>
    <s v="Travel_Rarely"/>
    <x v="1"/>
    <s v="Medical"/>
    <x v="1"/>
    <n v="1108"/>
    <n v="25"/>
    <x v="3"/>
    <s v="Male"/>
    <n v="1"/>
    <x v="1"/>
    <x v="0"/>
    <n v="2313"/>
    <n v="2993"/>
    <n v="4"/>
    <x v="0"/>
    <n v="4"/>
    <n v="2"/>
    <n v="80"/>
    <n v="5"/>
    <x v="0"/>
    <x v="1"/>
    <n v="2"/>
    <x v="3"/>
    <n v="2"/>
    <n v="2"/>
  </r>
  <r>
    <n v="42"/>
    <x v="0"/>
    <x v="1"/>
    <s v="Travel_Rarely"/>
    <x v="1"/>
    <s v="Medical"/>
    <x v="5"/>
    <n v="1109"/>
    <n v="2"/>
    <x v="2"/>
    <s v="Male"/>
    <n v="4"/>
    <x v="3"/>
    <x v="1"/>
    <n v="17665"/>
    <n v="14399"/>
    <n v="0"/>
    <x v="1"/>
    <n v="3"/>
    <n v="4"/>
    <n v="80"/>
    <n v="23"/>
    <x v="1"/>
    <x v="1"/>
    <n v="22"/>
    <x v="8"/>
    <n v="13"/>
    <n v="7"/>
  </r>
  <r>
    <n v="28"/>
    <x v="2"/>
    <x v="0"/>
    <s v="Travel_Frequently"/>
    <x v="1"/>
    <s v="Medical"/>
    <x v="2"/>
    <n v="1111"/>
    <n v="1"/>
    <x v="3"/>
    <s v="Male"/>
    <n v="1"/>
    <x v="1"/>
    <x v="2"/>
    <n v="2596"/>
    <n v="7160"/>
    <n v="1"/>
    <x v="1"/>
    <n v="3"/>
    <n v="1"/>
    <n v="80"/>
    <n v="1"/>
    <x v="2"/>
    <x v="1"/>
    <n v="1"/>
    <x v="2"/>
    <n v="0"/>
    <n v="0"/>
  </r>
  <r>
    <n v="50"/>
    <x v="0"/>
    <x v="0"/>
    <s v="Travel_Frequently"/>
    <x v="0"/>
    <s v="Other"/>
    <x v="0"/>
    <n v="1113"/>
    <n v="1"/>
    <x v="2"/>
    <s v="Male"/>
    <n v="2"/>
    <x v="2"/>
    <x v="0"/>
    <n v="4728"/>
    <n v="17251"/>
    <n v="3"/>
    <x v="0"/>
    <n v="3"/>
    <n v="4"/>
    <n v="80"/>
    <n v="5"/>
    <x v="5"/>
    <x v="1"/>
    <n v="0"/>
    <x v="2"/>
    <n v="0"/>
    <n v="0"/>
  </r>
  <r>
    <n v="33"/>
    <x v="1"/>
    <x v="1"/>
    <s v="Travel_Frequently"/>
    <x v="0"/>
    <s v="Life Sciences"/>
    <x v="0"/>
    <n v="1114"/>
    <n v="7"/>
    <x v="2"/>
    <s v="Female"/>
    <n v="2"/>
    <x v="1"/>
    <x v="1"/>
    <n v="4302"/>
    <n v="13401"/>
    <n v="0"/>
    <x v="1"/>
    <n v="3"/>
    <n v="3"/>
    <n v="80"/>
    <n v="4"/>
    <x v="1"/>
    <x v="1"/>
    <n v="3"/>
    <x v="3"/>
    <n v="0"/>
    <n v="2"/>
  </r>
  <r>
    <n v="34"/>
    <x v="1"/>
    <x v="1"/>
    <s v="Non-Travel"/>
    <x v="1"/>
    <s v="Life Sciences"/>
    <x v="1"/>
    <n v="1115"/>
    <n v="3"/>
    <x v="1"/>
    <s v="Male"/>
    <n v="1"/>
    <x v="0"/>
    <x v="1"/>
    <n v="2979"/>
    <n v="22478"/>
    <n v="3"/>
    <x v="1"/>
    <n v="3"/>
    <n v="4"/>
    <n v="80"/>
    <n v="6"/>
    <x v="2"/>
    <x v="1"/>
    <n v="0"/>
    <x v="2"/>
    <n v="0"/>
    <n v="0"/>
  </r>
  <r>
    <n v="48"/>
    <x v="0"/>
    <x v="1"/>
    <s v="Non-Travel"/>
    <x v="1"/>
    <s v="Medical"/>
    <x v="5"/>
    <n v="1116"/>
    <n v="1"/>
    <x v="3"/>
    <s v="Male"/>
    <n v="4"/>
    <x v="0"/>
    <x v="0"/>
    <n v="16885"/>
    <n v="16154"/>
    <n v="2"/>
    <x v="1"/>
    <n v="4"/>
    <n v="3"/>
    <n v="80"/>
    <n v="27"/>
    <x v="1"/>
    <x v="2"/>
    <n v="5"/>
    <x v="0"/>
    <n v="2"/>
    <n v="1"/>
  </r>
  <r>
    <n v="45"/>
    <x v="0"/>
    <x v="1"/>
    <s v="Non-Travel"/>
    <x v="0"/>
    <s v="Life Sciences"/>
    <x v="0"/>
    <n v="1117"/>
    <n v="9"/>
    <x v="0"/>
    <s v="Female"/>
    <n v="2"/>
    <x v="2"/>
    <x v="1"/>
    <n v="5593"/>
    <n v="17970"/>
    <n v="1"/>
    <x v="1"/>
    <n v="3"/>
    <n v="4"/>
    <n v="80"/>
    <n v="15"/>
    <x v="2"/>
    <x v="1"/>
    <n v="15"/>
    <x v="15"/>
    <n v="4"/>
    <n v="12"/>
  </r>
  <r>
    <n v="52"/>
    <x v="3"/>
    <x v="1"/>
    <s v="Travel_Rarely"/>
    <x v="1"/>
    <s v="Life Sciences"/>
    <x v="4"/>
    <n v="1118"/>
    <n v="7"/>
    <x v="0"/>
    <s v="Male"/>
    <n v="3"/>
    <x v="1"/>
    <x v="0"/>
    <n v="10445"/>
    <n v="15322"/>
    <n v="7"/>
    <x v="1"/>
    <n v="3"/>
    <n v="4"/>
    <n v="80"/>
    <n v="18"/>
    <x v="5"/>
    <x v="1"/>
    <n v="8"/>
    <x v="8"/>
    <n v="4"/>
    <n v="0"/>
  </r>
  <r>
    <n v="38"/>
    <x v="1"/>
    <x v="1"/>
    <s v="Travel_Rarely"/>
    <x v="0"/>
    <s v="Marketing"/>
    <x v="0"/>
    <n v="1119"/>
    <n v="10"/>
    <x v="1"/>
    <s v="Male"/>
    <n v="3"/>
    <x v="2"/>
    <x v="2"/>
    <n v="8740"/>
    <n v="5569"/>
    <n v="0"/>
    <x v="0"/>
    <n v="3"/>
    <n v="2"/>
    <n v="80"/>
    <n v="9"/>
    <x v="2"/>
    <x v="1"/>
    <n v="8"/>
    <x v="1"/>
    <n v="2"/>
    <n v="7"/>
  </r>
  <r>
    <n v="29"/>
    <x v="2"/>
    <x v="1"/>
    <s v="Travel_Rarely"/>
    <x v="1"/>
    <s v="Life Sciences"/>
    <x v="1"/>
    <n v="1120"/>
    <n v="28"/>
    <x v="1"/>
    <s v="Female"/>
    <n v="1"/>
    <x v="0"/>
    <x v="2"/>
    <n v="2514"/>
    <n v="26968"/>
    <n v="4"/>
    <x v="1"/>
    <n v="4"/>
    <n v="1"/>
    <n v="80"/>
    <n v="11"/>
    <x v="4"/>
    <x v="1"/>
    <n v="7"/>
    <x v="4"/>
    <n v="1"/>
    <n v="7"/>
  </r>
  <r>
    <n v="28"/>
    <x v="2"/>
    <x v="1"/>
    <s v="Travel_Rarely"/>
    <x v="1"/>
    <s v="Medical"/>
    <x v="3"/>
    <n v="1121"/>
    <n v="3"/>
    <x v="2"/>
    <s v="Female"/>
    <n v="3"/>
    <x v="1"/>
    <x v="2"/>
    <n v="7655"/>
    <n v="8039"/>
    <n v="0"/>
    <x v="1"/>
    <n v="3"/>
    <n v="2"/>
    <n v="80"/>
    <n v="10"/>
    <x v="1"/>
    <x v="2"/>
    <n v="9"/>
    <x v="1"/>
    <n v="1"/>
    <n v="7"/>
  </r>
  <r>
    <n v="46"/>
    <x v="0"/>
    <x v="1"/>
    <s v="Travel_Rarely"/>
    <x v="0"/>
    <s v="Marketing"/>
    <x v="5"/>
    <n v="1124"/>
    <n v="3"/>
    <x v="3"/>
    <s v="Male"/>
    <n v="4"/>
    <x v="2"/>
    <x v="1"/>
    <n v="17465"/>
    <n v="15596"/>
    <n v="3"/>
    <x v="1"/>
    <n v="3"/>
    <n v="4"/>
    <n v="80"/>
    <n v="23"/>
    <x v="1"/>
    <x v="1"/>
    <n v="12"/>
    <x v="5"/>
    <n v="4"/>
    <n v="9"/>
  </r>
  <r>
    <n v="38"/>
    <x v="1"/>
    <x v="1"/>
    <s v="Travel_Rarely"/>
    <x v="0"/>
    <s v="Marketing"/>
    <x v="0"/>
    <n v="1125"/>
    <n v="2"/>
    <x v="2"/>
    <s v="Male"/>
    <n v="3"/>
    <x v="1"/>
    <x v="0"/>
    <n v="7351"/>
    <n v="20619"/>
    <n v="7"/>
    <x v="1"/>
    <n v="3"/>
    <n v="3"/>
    <n v="80"/>
    <n v="10"/>
    <x v="2"/>
    <x v="1"/>
    <n v="1"/>
    <x v="2"/>
    <n v="0"/>
    <n v="0"/>
  </r>
  <r>
    <n v="43"/>
    <x v="0"/>
    <x v="1"/>
    <s v="Travel_Frequently"/>
    <x v="1"/>
    <s v="Life Sciences"/>
    <x v="3"/>
    <n v="1126"/>
    <n v="27"/>
    <x v="1"/>
    <s v="Female"/>
    <n v="3"/>
    <x v="3"/>
    <x v="1"/>
    <n v="10820"/>
    <n v="11535"/>
    <n v="8"/>
    <x v="1"/>
    <n v="3"/>
    <n v="3"/>
    <n v="80"/>
    <n v="18"/>
    <x v="4"/>
    <x v="1"/>
    <n v="8"/>
    <x v="1"/>
    <n v="0"/>
    <n v="1"/>
  </r>
  <r>
    <n v="39"/>
    <x v="1"/>
    <x v="0"/>
    <s v="Travel_Frequently"/>
    <x v="1"/>
    <s v="Life Sciences"/>
    <x v="4"/>
    <n v="1127"/>
    <n v="2"/>
    <x v="3"/>
    <s v="Male"/>
    <n v="4"/>
    <x v="0"/>
    <x v="2"/>
    <n v="12169"/>
    <n v="13547"/>
    <n v="7"/>
    <x v="1"/>
    <n v="3"/>
    <n v="4"/>
    <n v="80"/>
    <n v="21"/>
    <x v="5"/>
    <x v="1"/>
    <n v="18"/>
    <x v="1"/>
    <n v="11"/>
    <n v="5"/>
  </r>
  <r>
    <n v="40"/>
    <x v="1"/>
    <x v="1"/>
    <s v="Travel_Rarely"/>
    <x v="1"/>
    <s v="Medical"/>
    <x v="7"/>
    <n v="1128"/>
    <n v="14"/>
    <x v="1"/>
    <s v="Male"/>
    <n v="5"/>
    <x v="2"/>
    <x v="0"/>
    <n v="19626"/>
    <n v="17544"/>
    <n v="1"/>
    <x v="1"/>
    <n v="3"/>
    <n v="1"/>
    <n v="80"/>
    <n v="21"/>
    <x v="2"/>
    <x v="3"/>
    <n v="20"/>
    <x v="1"/>
    <n v="4"/>
    <n v="9"/>
  </r>
  <r>
    <n v="21"/>
    <x v="2"/>
    <x v="1"/>
    <s v="Travel_Rarely"/>
    <x v="1"/>
    <s v="Technical Degree"/>
    <x v="1"/>
    <n v="1131"/>
    <n v="1"/>
    <x v="2"/>
    <s v="Female"/>
    <n v="1"/>
    <x v="1"/>
    <x v="0"/>
    <n v="2070"/>
    <n v="25326"/>
    <n v="1"/>
    <x v="0"/>
    <n v="3"/>
    <n v="3"/>
    <n v="80"/>
    <n v="2"/>
    <x v="6"/>
    <x v="3"/>
    <n v="2"/>
    <x v="3"/>
    <n v="2"/>
    <n v="2"/>
  </r>
  <r>
    <n v="39"/>
    <x v="1"/>
    <x v="1"/>
    <s v="Non-Travel"/>
    <x v="1"/>
    <s v="Life Sciences"/>
    <x v="2"/>
    <n v="1132"/>
    <n v="9"/>
    <x v="1"/>
    <s v="Male"/>
    <n v="2"/>
    <x v="1"/>
    <x v="0"/>
    <n v="6782"/>
    <n v="8770"/>
    <n v="9"/>
    <x v="1"/>
    <n v="3"/>
    <n v="3"/>
    <n v="80"/>
    <n v="9"/>
    <x v="2"/>
    <x v="2"/>
    <n v="5"/>
    <x v="0"/>
    <n v="0"/>
    <n v="3"/>
  </r>
  <r>
    <n v="36"/>
    <x v="1"/>
    <x v="1"/>
    <s v="Non-Travel"/>
    <x v="1"/>
    <s v="Life Sciences"/>
    <x v="3"/>
    <n v="1133"/>
    <n v="18"/>
    <x v="3"/>
    <s v="Male"/>
    <n v="2"/>
    <x v="0"/>
    <x v="0"/>
    <n v="7779"/>
    <n v="23238"/>
    <n v="2"/>
    <x v="1"/>
    <n v="4"/>
    <n v="1"/>
    <n v="80"/>
    <n v="18"/>
    <x v="0"/>
    <x v="1"/>
    <n v="11"/>
    <x v="5"/>
    <n v="0"/>
    <n v="9"/>
  </r>
  <r>
    <n v="31"/>
    <x v="1"/>
    <x v="1"/>
    <s v="Travel_Frequently"/>
    <x v="0"/>
    <s v="Life Sciences"/>
    <x v="6"/>
    <n v="1135"/>
    <n v="20"/>
    <x v="1"/>
    <s v="Male"/>
    <n v="1"/>
    <x v="0"/>
    <x v="1"/>
    <n v="2791"/>
    <n v="21981"/>
    <n v="0"/>
    <x v="1"/>
    <n v="3"/>
    <n v="1"/>
    <n v="80"/>
    <n v="3"/>
    <x v="5"/>
    <x v="1"/>
    <n v="2"/>
    <x v="3"/>
    <n v="2"/>
    <n v="2"/>
  </r>
  <r>
    <n v="28"/>
    <x v="2"/>
    <x v="1"/>
    <s v="Travel_Rarely"/>
    <x v="1"/>
    <s v="Life Sciences"/>
    <x v="1"/>
    <n v="1136"/>
    <n v="2"/>
    <x v="3"/>
    <s v="Male"/>
    <n v="1"/>
    <x v="1"/>
    <x v="1"/>
    <n v="3201"/>
    <n v="19911"/>
    <n v="0"/>
    <x v="1"/>
    <n v="3"/>
    <n v="1"/>
    <n v="80"/>
    <n v="6"/>
    <x v="2"/>
    <x v="0"/>
    <n v="5"/>
    <x v="7"/>
    <n v="0"/>
    <n v="4"/>
  </r>
  <r>
    <n v="35"/>
    <x v="1"/>
    <x v="1"/>
    <s v="Travel_Frequently"/>
    <x v="0"/>
    <s v="Marketing"/>
    <x v="0"/>
    <n v="1137"/>
    <n v="11"/>
    <x v="2"/>
    <s v="Male"/>
    <n v="2"/>
    <x v="0"/>
    <x v="2"/>
    <n v="4968"/>
    <n v="18500"/>
    <n v="1"/>
    <x v="1"/>
    <n v="3"/>
    <n v="4"/>
    <n v="80"/>
    <n v="5"/>
    <x v="1"/>
    <x v="1"/>
    <n v="5"/>
    <x v="3"/>
    <n v="0"/>
    <n v="2"/>
  </r>
  <r>
    <n v="49"/>
    <x v="0"/>
    <x v="1"/>
    <s v="Travel_Rarely"/>
    <x v="0"/>
    <s v="Technical Degree"/>
    <x v="0"/>
    <n v="1138"/>
    <n v="8"/>
    <x v="2"/>
    <s v="Male"/>
    <n v="4"/>
    <x v="1"/>
    <x v="1"/>
    <n v="13120"/>
    <n v="11879"/>
    <n v="6"/>
    <x v="1"/>
    <n v="3"/>
    <n v="2"/>
    <n v="80"/>
    <n v="22"/>
    <x v="1"/>
    <x v="1"/>
    <n v="9"/>
    <x v="6"/>
    <n v="2"/>
    <n v="3"/>
  </r>
  <r>
    <n v="34"/>
    <x v="1"/>
    <x v="1"/>
    <s v="Travel_Frequently"/>
    <x v="1"/>
    <s v="Life Sciences"/>
    <x v="3"/>
    <n v="1140"/>
    <n v="2"/>
    <x v="2"/>
    <s v="Male"/>
    <n v="2"/>
    <x v="2"/>
    <x v="0"/>
    <n v="4033"/>
    <n v="15834"/>
    <n v="2"/>
    <x v="1"/>
    <n v="3"/>
    <n v="4"/>
    <n v="80"/>
    <n v="5"/>
    <x v="1"/>
    <x v="2"/>
    <n v="3"/>
    <x v="3"/>
    <n v="0"/>
    <n v="2"/>
  </r>
  <r>
    <n v="29"/>
    <x v="2"/>
    <x v="1"/>
    <s v="Travel_Frequently"/>
    <x v="1"/>
    <s v="Life Sciences"/>
    <x v="1"/>
    <n v="1143"/>
    <n v="10"/>
    <x v="2"/>
    <s v="Female"/>
    <n v="1"/>
    <x v="1"/>
    <x v="2"/>
    <n v="3291"/>
    <n v="17940"/>
    <n v="0"/>
    <x v="1"/>
    <n v="3"/>
    <n v="4"/>
    <n v="80"/>
    <n v="8"/>
    <x v="2"/>
    <x v="2"/>
    <n v="7"/>
    <x v="4"/>
    <n v="1"/>
    <n v="1"/>
  </r>
  <r>
    <n v="42"/>
    <x v="0"/>
    <x v="1"/>
    <s v="Travel_Rarely"/>
    <x v="1"/>
    <s v="Medical"/>
    <x v="2"/>
    <n v="1148"/>
    <n v="29"/>
    <x v="0"/>
    <s v="Male"/>
    <n v="2"/>
    <x v="0"/>
    <x v="0"/>
    <n v="4272"/>
    <n v="9558"/>
    <n v="4"/>
    <x v="1"/>
    <n v="3"/>
    <n v="1"/>
    <n v="80"/>
    <n v="16"/>
    <x v="1"/>
    <x v="1"/>
    <n v="1"/>
    <x v="2"/>
    <n v="0"/>
    <n v="0"/>
  </r>
  <r>
    <n v="29"/>
    <x v="2"/>
    <x v="1"/>
    <s v="Travel_Rarely"/>
    <x v="1"/>
    <s v="Medical"/>
    <x v="3"/>
    <n v="1150"/>
    <n v="8"/>
    <x v="0"/>
    <s v="Male"/>
    <n v="2"/>
    <x v="0"/>
    <x v="1"/>
    <n v="5056"/>
    <n v="17689"/>
    <n v="1"/>
    <x v="0"/>
    <n v="3"/>
    <n v="3"/>
    <n v="80"/>
    <n v="10"/>
    <x v="2"/>
    <x v="2"/>
    <n v="10"/>
    <x v="1"/>
    <n v="1"/>
    <n v="2"/>
  </r>
  <r>
    <n v="38"/>
    <x v="1"/>
    <x v="1"/>
    <s v="Travel_Rarely"/>
    <x v="2"/>
    <s v="Human Resources"/>
    <x v="8"/>
    <n v="1152"/>
    <n v="1"/>
    <x v="1"/>
    <s v="Male"/>
    <n v="1"/>
    <x v="2"/>
    <x v="1"/>
    <n v="2844"/>
    <n v="6004"/>
    <n v="1"/>
    <x v="1"/>
    <n v="3"/>
    <n v="4"/>
    <n v="80"/>
    <n v="7"/>
    <x v="2"/>
    <x v="3"/>
    <n v="7"/>
    <x v="8"/>
    <n v="5"/>
    <n v="0"/>
  </r>
  <r>
    <n v="28"/>
    <x v="2"/>
    <x v="1"/>
    <s v="Travel_Frequently"/>
    <x v="1"/>
    <s v="Life Sciences"/>
    <x v="1"/>
    <n v="1154"/>
    <n v="6"/>
    <x v="1"/>
    <s v="Male"/>
    <n v="1"/>
    <x v="2"/>
    <x v="2"/>
    <n v="2703"/>
    <n v="22088"/>
    <n v="1"/>
    <x v="0"/>
    <n v="3"/>
    <n v="4"/>
    <n v="80"/>
    <n v="3"/>
    <x v="2"/>
    <x v="1"/>
    <n v="3"/>
    <x v="10"/>
    <n v="0"/>
    <n v="2"/>
  </r>
  <r>
    <n v="18"/>
    <x v="4"/>
    <x v="0"/>
    <s v="Non-Travel"/>
    <x v="1"/>
    <s v="Medical"/>
    <x v="2"/>
    <n v="1156"/>
    <n v="8"/>
    <x v="1"/>
    <s v="Male"/>
    <n v="1"/>
    <x v="2"/>
    <x v="0"/>
    <n v="1904"/>
    <n v="13556"/>
    <n v="1"/>
    <x v="1"/>
    <n v="3"/>
    <n v="4"/>
    <n v="80"/>
    <n v="0"/>
    <x v="0"/>
    <x v="1"/>
    <n v="0"/>
    <x v="2"/>
    <n v="0"/>
    <n v="0"/>
  </r>
  <r>
    <n v="33"/>
    <x v="1"/>
    <x v="0"/>
    <s v="Travel_Rarely"/>
    <x v="0"/>
    <s v="Marketing"/>
    <x v="0"/>
    <n v="1157"/>
    <n v="9"/>
    <x v="3"/>
    <s v="Female"/>
    <n v="2"/>
    <x v="3"/>
    <x v="0"/>
    <n v="8224"/>
    <n v="18385"/>
    <n v="0"/>
    <x v="0"/>
    <n v="3"/>
    <n v="1"/>
    <n v="80"/>
    <n v="6"/>
    <x v="1"/>
    <x v="1"/>
    <n v="5"/>
    <x v="3"/>
    <n v="0"/>
    <n v="3"/>
  </r>
  <r>
    <n v="41"/>
    <x v="0"/>
    <x v="1"/>
    <s v="Travel_Rarely"/>
    <x v="1"/>
    <s v="Life Sciences"/>
    <x v="2"/>
    <n v="1158"/>
    <n v="12"/>
    <x v="0"/>
    <s v="Male"/>
    <n v="1"/>
    <x v="0"/>
    <x v="1"/>
    <n v="4766"/>
    <n v="9051"/>
    <n v="3"/>
    <x v="0"/>
    <n v="3"/>
    <n v="1"/>
    <n v="80"/>
    <n v="6"/>
    <x v="5"/>
    <x v="1"/>
    <n v="1"/>
    <x v="2"/>
    <n v="0"/>
    <n v="0"/>
  </r>
  <r>
    <n v="31"/>
    <x v="1"/>
    <x v="0"/>
    <s v="Travel_Frequently"/>
    <x v="1"/>
    <s v="Medical"/>
    <x v="2"/>
    <n v="1160"/>
    <n v="15"/>
    <x v="1"/>
    <s v="Male"/>
    <n v="1"/>
    <x v="2"/>
    <x v="1"/>
    <n v="2610"/>
    <n v="6233"/>
    <n v="1"/>
    <x v="1"/>
    <n v="3"/>
    <n v="3"/>
    <n v="80"/>
    <n v="2"/>
    <x v="3"/>
    <x v="2"/>
    <n v="2"/>
    <x v="3"/>
    <n v="2"/>
    <n v="2"/>
  </r>
  <r>
    <n v="37"/>
    <x v="1"/>
    <x v="1"/>
    <s v="Travel_Rarely"/>
    <x v="1"/>
    <s v="Medical"/>
    <x v="4"/>
    <n v="1161"/>
    <n v="25"/>
    <x v="1"/>
    <s v="Female"/>
    <n v="2"/>
    <x v="0"/>
    <x v="2"/>
    <n v="5731"/>
    <n v="17171"/>
    <n v="7"/>
    <x v="1"/>
    <n v="3"/>
    <n v="3"/>
    <n v="80"/>
    <n v="9"/>
    <x v="2"/>
    <x v="1"/>
    <n v="6"/>
    <x v="3"/>
    <n v="1"/>
    <n v="3"/>
  </r>
  <r>
    <n v="27"/>
    <x v="2"/>
    <x v="1"/>
    <s v="Travel_Rarely"/>
    <x v="1"/>
    <s v="Life Sciences"/>
    <x v="1"/>
    <n v="1162"/>
    <n v="6"/>
    <x v="2"/>
    <s v="Male"/>
    <n v="1"/>
    <x v="2"/>
    <x v="1"/>
    <n v="2539"/>
    <n v="7950"/>
    <n v="1"/>
    <x v="1"/>
    <n v="3"/>
    <n v="3"/>
    <n v="80"/>
    <n v="4"/>
    <x v="0"/>
    <x v="1"/>
    <n v="4"/>
    <x v="3"/>
    <n v="2"/>
    <n v="2"/>
  </r>
  <r>
    <n v="34"/>
    <x v="1"/>
    <x v="1"/>
    <s v="Travel_Rarely"/>
    <x v="0"/>
    <s v="Life Sciences"/>
    <x v="0"/>
    <n v="1163"/>
    <n v="9"/>
    <x v="0"/>
    <s v="Female"/>
    <n v="2"/>
    <x v="2"/>
    <x v="1"/>
    <n v="5714"/>
    <n v="5829"/>
    <n v="1"/>
    <x v="1"/>
    <n v="4"/>
    <n v="1"/>
    <n v="80"/>
    <n v="6"/>
    <x v="1"/>
    <x v="2"/>
    <n v="6"/>
    <x v="4"/>
    <n v="1"/>
    <n v="3"/>
  </r>
  <r>
    <n v="35"/>
    <x v="1"/>
    <x v="1"/>
    <s v="Travel_Rarely"/>
    <x v="2"/>
    <s v="Technical Degree"/>
    <x v="8"/>
    <n v="1164"/>
    <n v="8"/>
    <x v="1"/>
    <s v="Male"/>
    <n v="1"/>
    <x v="2"/>
    <x v="0"/>
    <n v="4323"/>
    <n v="7108"/>
    <n v="1"/>
    <x v="1"/>
    <n v="3"/>
    <n v="2"/>
    <n v="80"/>
    <n v="6"/>
    <x v="2"/>
    <x v="0"/>
    <n v="5"/>
    <x v="0"/>
    <n v="1"/>
    <n v="4"/>
  </r>
  <r>
    <n v="29"/>
    <x v="2"/>
    <x v="0"/>
    <s v="Travel_Rarely"/>
    <x v="0"/>
    <s v="Life Sciences"/>
    <x v="0"/>
    <n v="1165"/>
    <n v="23"/>
    <x v="2"/>
    <s v="Female"/>
    <n v="3"/>
    <x v="3"/>
    <x v="1"/>
    <n v="7336"/>
    <n v="11162"/>
    <n v="1"/>
    <x v="1"/>
    <n v="3"/>
    <n v="1"/>
    <n v="80"/>
    <n v="11"/>
    <x v="1"/>
    <x v="0"/>
    <n v="11"/>
    <x v="6"/>
    <n v="3"/>
    <n v="10"/>
  </r>
  <r>
    <n v="40"/>
    <x v="1"/>
    <x v="1"/>
    <s v="Travel_Frequently"/>
    <x v="1"/>
    <s v="Medical"/>
    <x v="7"/>
    <n v="1166"/>
    <n v="9"/>
    <x v="0"/>
    <s v="Female"/>
    <n v="3"/>
    <x v="2"/>
    <x v="0"/>
    <n v="13499"/>
    <n v="13782"/>
    <n v="9"/>
    <x v="1"/>
    <n v="3"/>
    <n v="3"/>
    <n v="80"/>
    <n v="20"/>
    <x v="1"/>
    <x v="2"/>
    <n v="18"/>
    <x v="1"/>
    <n v="2"/>
    <n v="13"/>
  </r>
  <r>
    <n v="42"/>
    <x v="0"/>
    <x v="0"/>
    <s v="Travel_Frequently"/>
    <x v="0"/>
    <s v="Life Sciences"/>
    <x v="0"/>
    <n v="1167"/>
    <n v="12"/>
    <x v="1"/>
    <s v="Male"/>
    <n v="4"/>
    <x v="3"/>
    <x v="0"/>
    <n v="13758"/>
    <n v="2447"/>
    <n v="0"/>
    <x v="0"/>
    <n v="3"/>
    <n v="2"/>
    <n v="80"/>
    <n v="22"/>
    <x v="2"/>
    <x v="2"/>
    <n v="21"/>
    <x v="5"/>
    <n v="13"/>
    <n v="14"/>
  </r>
  <r>
    <n v="42"/>
    <x v="0"/>
    <x v="1"/>
    <s v="Travel_Rarely"/>
    <x v="0"/>
    <s v="Marketing"/>
    <x v="0"/>
    <n v="1171"/>
    <n v="4"/>
    <x v="0"/>
    <s v="Male"/>
    <n v="2"/>
    <x v="3"/>
    <x v="0"/>
    <n v="5155"/>
    <n v="2253"/>
    <n v="7"/>
    <x v="1"/>
    <n v="3"/>
    <n v="4"/>
    <n v="80"/>
    <n v="9"/>
    <x v="1"/>
    <x v="3"/>
    <n v="6"/>
    <x v="0"/>
    <n v="1"/>
    <n v="5"/>
  </r>
  <r>
    <n v="35"/>
    <x v="1"/>
    <x v="1"/>
    <s v="Travel_Rarely"/>
    <x v="1"/>
    <s v="Medical"/>
    <x v="2"/>
    <n v="1172"/>
    <n v="1"/>
    <x v="2"/>
    <s v="Male"/>
    <n v="1"/>
    <x v="2"/>
    <x v="1"/>
    <n v="2258"/>
    <n v="16340"/>
    <n v="6"/>
    <x v="1"/>
    <n v="3"/>
    <n v="2"/>
    <n v="80"/>
    <n v="10"/>
    <x v="2"/>
    <x v="1"/>
    <n v="8"/>
    <x v="2"/>
    <n v="1"/>
    <n v="7"/>
  </r>
  <r>
    <n v="24"/>
    <x v="2"/>
    <x v="1"/>
    <s v="Travel_Rarely"/>
    <x v="1"/>
    <s v="Medical"/>
    <x v="2"/>
    <n v="1173"/>
    <n v="24"/>
    <x v="2"/>
    <s v="Male"/>
    <n v="1"/>
    <x v="1"/>
    <x v="0"/>
    <n v="3597"/>
    <n v="6409"/>
    <n v="8"/>
    <x v="1"/>
    <n v="4"/>
    <n v="4"/>
    <n v="80"/>
    <n v="6"/>
    <x v="2"/>
    <x v="1"/>
    <n v="4"/>
    <x v="7"/>
    <n v="1"/>
    <n v="2"/>
  </r>
  <r>
    <n v="28"/>
    <x v="2"/>
    <x v="0"/>
    <s v="Travel_Rarely"/>
    <x v="1"/>
    <s v="Life Sciences"/>
    <x v="2"/>
    <n v="1175"/>
    <n v="12"/>
    <x v="1"/>
    <s v="Female"/>
    <n v="1"/>
    <x v="0"/>
    <x v="1"/>
    <n v="2515"/>
    <n v="22955"/>
    <n v="1"/>
    <x v="0"/>
    <n v="3"/>
    <n v="4"/>
    <n v="80"/>
    <n v="1"/>
    <x v="5"/>
    <x v="2"/>
    <n v="1"/>
    <x v="10"/>
    <n v="0"/>
    <n v="0"/>
  </r>
  <r>
    <n v="26"/>
    <x v="2"/>
    <x v="1"/>
    <s v="Travel_Rarely"/>
    <x v="1"/>
    <s v="Medical"/>
    <x v="2"/>
    <n v="1177"/>
    <n v="3"/>
    <x v="3"/>
    <s v="Male"/>
    <n v="1"/>
    <x v="0"/>
    <x v="1"/>
    <n v="4420"/>
    <n v="13421"/>
    <n v="1"/>
    <x v="1"/>
    <n v="4"/>
    <n v="2"/>
    <n v="80"/>
    <n v="8"/>
    <x v="2"/>
    <x v="1"/>
    <n v="8"/>
    <x v="1"/>
    <n v="0"/>
    <n v="7"/>
  </r>
  <r>
    <n v="30"/>
    <x v="2"/>
    <x v="1"/>
    <s v="Travel_Rarely"/>
    <x v="0"/>
    <s v="Marketing"/>
    <x v="0"/>
    <n v="1179"/>
    <n v="10"/>
    <x v="1"/>
    <s v="Male"/>
    <n v="2"/>
    <x v="2"/>
    <x v="1"/>
    <n v="6578"/>
    <n v="2706"/>
    <n v="1"/>
    <x v="1"/>
    <n v="3"/>
    <n v="1"/>
    <n v="80"/>
    <n v="10"/>
    <x v="1"/>
    <x v="1"/>
    <n v="10"/>
    <x v="7"/>
    <n v="1"/>
    <n v="4"/>
  </r>
  <r>
    <n v="40"/>
    <x v="1"/>
    <x v="1"/>
    <s v="Travel_Frequently"/>
    <x v="1"/>
    <s v="Medical"/>
    <x v="1"/>
    <n v="1180"/>
    <n v="26"/>
    <x v="1"/>
    <s v="Female"/>
    <n v="2"/>
    <x v="0"/>
    <x v="1"/>
    <n v="4422"/>
    <n v="21203"/>
    <n v="3"/>
    <x v="0"/>
    <n v="3"/>
    <n v="4"/>
    <n v="80"/>
    <n v="16"/>
    <x v="1"/>
    <x v="0"/>
    <n v="1"/>
    <x v="10"/>
    <n v="0"/>
    <n v="0"/>
  </r>
  <r>
    <n v="35"/>
    <x v="1"/>
    <x v="1"/>
    <s v="Travel_Rarely"/>
    <x v="1"/>
    <s v="Life Sciences"/>
    <x v="3"/>
    <n v="1182"/>
    <n v="2"/>
    <x v="1"/>
    <s v="Male"/>
    <n v="3"/>
    <x v="1"/>
    <x v="2"/>
    <n v="10274"/>
    <n v="19588"/>
    <n v="2"/>
    <x v="1"/>
    <n v="3"/>
    <n v="2"/>
    <n v="80"/>
    <n v="15"/>
    <x v="2"/>
    <x v="3"/>
    <n v="7"/>
    <x v="1"/>
    <n v="6"/>
    <n v="4"/>
  </r>
  <r>
    <n v="34"/>
    <x v="1"/>
    <x v="1"/>
    <s v="Travel_Frequently"/>
    <x v="1"/>
    <s v="Medical"/>
    <x v="4"/>
    <n v="1184"/>
    <n v="1"/>
    <x v="2"/>
    <s v="Male"/>
    <n v="2"/>
    <x v="3"/>
    <x v="0"/>
    <n v="5343"/>
    <n v="25755"/>
    <n v="0"/>
    <x v="1"/>
    <n v="4"/>
    <n v="3"/>
    <n v="80"/>
    <n v="14"/>
    <x v="1"/>
    <x v="1"/>
    <n v="13"/>
    <x v="5"/>
    <n v="4"/>
    <n v="9"/>
  </r>
  <r>
    <n v="35"/>
    <x v="1"/>
    <x v="1"/>
    <s v="Travel_Frequently"/>
    <x v="1"/>
    <s v="Other"/>
    <x v="2"/>
    <n v="1185"/>
    <n v="4"/>
    <x v="2"/>
    <s v="Male"/>
    <n v="1"/>
    <x v="0"/>
    <x v="1"/>
    <n v="2376"/>
    <n v="26537"/>
    <n v="1"/>
    <x v="1"/>
    <n v="3"/>
    <n v="2"/>
    <n v="80"/>
    <n v="2"/>
    <x v="2"/>
    <x v="3"/>
    <n v="2"/>
    <x v="3"/>
    <n v="2"/>
    <n v="2"/>
  </r>
  <r>
    <n v="43"/>
    <x v="0"/>
    <x v="0"/>
    <s v="Travel_Rarely"/>
    <x v="0"/>
    <s v="Marketing"/>
    <x v="0"/>
    <n v="1188"/>
    <n v="9"/>
    <x v="3"/>
    <s v="Female"/>
    <n v="2"/>
    <x v="2"/>
    <x v="0"/>
    <n v="5346"/>
    <n v="9489"/>
    <n v="8"/>
    <x v="1"/>
    <n v="3"/>
    <n v="2"/>
    <n v="80"/>
    <n v="7"/>
    <x v="2"/>
    <x v="2"/>
    <n v="4"/>
    <x v="7"/>
    <n v="1"/>
    <n v="3"/>
  </r>
  <r>
    <n v="32"/>
    <x v="1"/>
    <x v="1"/>
    <s v="Non-Travel"/>
    <x v="0"/>
    <s v="Life Sciences"/>
    <x v="6"/>
    <n v="1190"/>
    <n v="2"/>
    <x v="1"/>
    <s v="Female"/>
    <n v="1"/>
    <x v="3"/>
    <x v="2"/>
    <n v="2827"/>
    <n v="14947"/>
    <n v="1"/>
    <x v="1"/>
    <n v="3"/>
    <n v="3"/>
    <n v="80"/>
    <n v="1"/>
    <x v="1"/>
    <x v="1"/>
    <n v="1"/>
    <x v="2"/>
    <n v="0"/>
    <n v="0"/>
  </r>
  <r>
    <n v="56"/>
    <x v="3"/>
    <x v="1"/>
    <s v="Travel_Rarely"/>
    <x v="1"/>
    <s v="Technical Degree"/>
    <x v="5"/>
    <n v="1191"/>
    <n v="4"/>
    <x v="2"/>
    <s v="Female"/>
    <n v="5"/>
    <x v="3"/>
    <x v="2"/>
    <n v="19943"/>
    <n v="18575"/>
    <n v="4"/>
    <x v="1"/>
    <n v="3"/>
    <n v="4"/>
    <n v="80"/>
    <n v="28"/>
    <x v="2"/>
    <x v="1"/>
    <n v="5"/>
    <x v="3"/>
    <n v="4"/>
    <n v="2"/>
  </r>
  <r>
    <n v="29"/>
    <x v="2"/>
    <x v="1"/>
    <s v="Travel_Rarely"/>
    <x v="1"/>
    <s v="Medical"/>
    <x v="2"/>
    <n v="1192"/>
    <n v="6"/>
    <x v="0"/>
    <s v="Female"/>
    <n v="1"/>
    <x v="0"/>
    <x v="1"/>
    <n v="3131"/>
    <n v="26342"/>
    <n v="1"/>
    <x v="1"/>
    <n v="3"/>
    <n v="1"/>
    <n v="80"/>
    <n v="10"/>
    <x v="3"/>
    <x v="1"/>
    <n v="10"/>
    <x v="6"/>
    <n v="0"/>
    <n v="8"/>
  </r>
  <r>
    <n v="19"/>
    <x v="4"/>
    <x v="1"/>
    <s v="Travel_Rarely"/>
    <x v="1"/>
    <s v="Life Sciences"/>
    <x v="1"/>
    <n v="1193"/>
    <n v="9"/>
    <x v="1"/>
    <s v="Male"/>
    <n v="1"/>
    <x v="3"/>
    <x v="0"/>
    <n v="2552"/>
    <n v="7172"/>
    <n v="1"/>
    <x v="1"/>
    <n v="4"/>
    <n v="3"/>
    <n v="80"/>
    <n v="1"/>
    <x v="5"/>
    <x v="1"/>
    <n v="1"/>
    <x v="10"/>
    <n v="0"/>
    <n v="0"/>
  </r>
  <r>
    <n v="45"/>
    <x v="0"/>
    <x v="1"/>
    <s v="Travel_Rarely"/>
    <x v="1"/>
    <s v="Medical"/>
    <x v="1"/>
    <n v="1195"/>
    <n v="7"/>
    <x v="3"/>
    <s v="Female"/>
    <n v="1"/>
    <x v="2"/>
    <x v="1"/>
    <n v="4477"/>
    <n v="20100"/>
    <n v="4"/>
    <x v="0"/>
    <n v="3"/>
    <n v="3"/>
    <n v="80"/>
    <n v="7"/>
    <x v="2"/>
    <x v="2"/>
    <n v="3"/>
    <x v="3"/>
    <n v="0"/>
    <n v="2"/>
  </r>
  <r>
    <n v="37"/>
    <x v="1"/>
    <x v="1"/>
    <s v="Travel_Rarely"/>
    <x v="1"/>
    <s v="Life Sciences"/>
    <x v="3"/>
    <n v="1196"/>
    <n v="1"/>
    <x v="2"/>
    <s v="Female"/>
    <n v="2"/>
    <x v="0"/>
    <x v="1"/>
    <n v="6474"/>
    <n v="9961"/>
    <n v="1"/>
    <x v="1"/>
    <n v="3"/>
    <n v="2"/>
    <n v="80"/>
    <n v="14"/>
    <x v="2"/>
    <x v="2"/>
    <n v="14"/>
    <x v="6"/>
    <n v="3"/>
    <n v="11"/>
  </r>
  <r>
    <n v="20"/>
    <x v="4"/>
    <x v="1"/>
    <s v="Travel_Rarely"/>
    <x v="1"/>
    <s v="Life Sciences"/>
    <x v="2"/>
    <n v="1198"/>
    <n v="3"/>
    <x v="3"/>
    <s v="Male"/>
    <n v="1"/>
    <x v="2"/>
    <x v="0"/>
    <n v="3033"/>
    <n v="12828"/>
    <n v="1"/>
    <x v="1"/>
    <n v="3"/>
    <n v="1"/>
    <n v="80"/>
    <n v="2"/>
    <x v="2"/>
    <x v="2"/>
    <n v="2"/>
    <x v="3"/>
    <n v="1"/>
    <n v="2"/>
  </r>
  <r>
    <n v="44"/>
    <x v="0"/>
    <x v="0"/>
    <s v="Travel_Rarely"/>
    <x v="1"/>
    <s v="Life Sciences"/>
    <x v="1"/>
    <n v="1200"/>
    <n v="10"/>
    <x v="1"/>
    <s v="Male"/>
    <n v="1"/>
    <x v="2"/>
    <x v="0"/>
    <n v="2936"/>
    <n v="10826"/>
    <n v="1"/>
    <x v="0"/>
    <n v="3"/>
    <n v="3"/>
    <n v="80"/>
    <n v="6"/>
    <x v="5"/>
    <x v="1"/>
    <n v="6"/>
    <x v="0"/>
    <n v="0"/>
    <n v="2"/>
  </r>
  <r>
    <n v="53"/>
    <x v="3"/>
    <x v="1"/>
    <s v="Travel_Rarely"/>
    <x v="1"/>
    <s v="Medical"/>
    <x v="5"/>
    <n v="1201"/>
    <n v="7"/>
    <x v="2"/>
    <s v="Female"/>
    <n v="5"/>
    <x v="2"/>
    <x v="2"/>
    <n v="18606"/>
    <n v="18640"/>
    <n v="3"/>
    <x v="1"/>
    <n v="3"/>
    <n v="2"/>
    <n v="80"/>
    <n v="26"/>
    <x v="6"/>
    <x v="1"/>
    <n v="7"/>
    <x v="1"/>
    <n v="4"/>
    <n v="7"/>
  </r>
  <r>
    <n v="29"/>
    <x v="2"/>
    <x v="1"/>
    <s v="Travel_Rarely"/>
    <x v="1"/>
    <s v="Life Sciences"/>
    <x v="1"/>
    <n v="1202"/>
    <n v="15"/>
    <x v="0"/>
    <s v="Female"/>
    <n v="1"/>
    <x v="0"/>
    <x v="1"/>
    <n v="2168"/>
    <n v="26933"/>
    <n v="0"/>
    <x v="0"/>
    <n v="3"/>
    <n v="1"/>
    <n v="80"/>
    <n v="6"/>
    <x v="2"/>
    <x v="2"/>
    <n v="5"/>
    <x v="0"/>
    <n v="1"/>
    <n v="3"/>
  </r>
  <r>
    <n v="22"/>
    <x v="2"/>
    <x v="0"/>
    <s v="Travel_Frequently"/>
    <x v="1"/>
    <s v="Life Sciences"/>
    <x v="1"/>
    <n v="1203"/>
    <n v="3"/>
    <x v="1"/>
    <s v="Male"/>
    <n v="1"/>
    <x v="0"/>
    <x v="1"/>
    <n v="2853"/>
    <n v="4223"/>
    <n v="0"/>
    <x v="0"/>
    <n v="3"/>
    <n v="2"/>
    <n v="80"/>
    <n v="1"/>
    <x v="3"/>
    <x v="1"/>
    <n v="0"/>
    <x v="2"/>
    <n v="0"/>
    <n v="0"/>
  </r>
  <r>
    <n v="46"/>
    <x v="0"/>
    <x v="1"/>
    <s v="Travel_Rarely"/>
    <x v="0"/>
    <s v="Marketing"/>
    <x v="5"/>
    <n v="1204"/>
    <n v="2"/>
    <x v="1"/>
    <s v="Female"/>
    <n v="4"/>
    <x v="3"/>
    <x v="1"/>
    <n v="17048"/>
    <n v="24097"/>
    <n v="8"/>
    <x v="1"/>
    <n v="4"/>
    <n v="1"/>
    <n v="80"/>
    <n v="28"/>
    <x v="2"/>
    <x v="1"/>
    <n v="26"/>
    <x v="11"/>
    <n v="15"/>
    <n v="9"/>
  </r>
  <r>
    <n v="44"/>
    <x v="0"/>
    <x v="1"/>
    <s v="Non-Travel"/>
    <x v="1"/>
    <s v="Life Sciences"/>
    <x v="1"/>
    <n v="1206"/>
    <n v="17"/>
    <x v="2"/>
    <s v="Male"/>
    <n v="1"/>
    <x v="2"/>
    <x v="0"/>
    <n v="2290"/>
    <n v="4279"/>
    <n v="2"/>
    <x v="1"/>
    <n v="3"/>
    <n v="4"/>
    <n v="80"/>
    <n v="6"/>
    <x v="1"/>
    <x v="1"/>
    <n v="0"/>
    <x v="2"/>
    <n v="0"/>
    <n v="0"/>
  </r>
  <r>
    <n v="33"/>
    <x v="1"/>
    <x v="1"/>
    <s v="Travel_Rarely"/>
    <x v="2"/>
    <s v="Human Resources"/>
    <x v="8"/>
    <n v="1207"/>
    <n v="2"/>
    <x v="0"/>
    <s v="Male"/>
    <n v="1"/>
    <x v="2"/>
    <x v="1"/>
    <n v="3600"/>
    <n v="8429"/>
    <n v="1"/>
    <x v="1"/>
    <n v="3"/>
    <n v="4"/>
    <n v="80"/>
    <n v="5"/>
    <x v="2"/>
    <x v="1"/>
    <n v="5"/>
    <x v="0"/>
    <n v="1"/>
    <n v="4"/>
  </r>
  <r>
    <n v="41"/>
    <x v="0"/>
    <x v="0"/>
    <s v="Non-Travel"/>
    <x v="1"/>
    <s v="Life Sciences"/>
    <x v="1"/>
    <n v="1210"/>
    <n v="5"/>
    <x v="3"/>
    <s v="Male"/>
    <n v="1"/>
    <x v="3"/>
    <x v="2"/>
    <n v="2107"/>
    <n v="20293"/>
    <n v="6"/>
    <x v="1"/>
    <n v="3"/>
    <n v="1"/>
    <n v="80"/>
    <n v="5"/>
    <x v="2"/>
    <x v="0"/>
    <n v="1"/>
    <x v="2"/>
    <n v="0"/>
    <n v="0"/>
  </r>
  <r>
    <n v="30"/>
    <x v="2"/>
    <x v="1"/>
    <s v="Travel_Rarely"/>
    <x v="0"/>
    <s v="Life Sciences"/>
    <x v="0"/>
    <n v="1211"/>
    <n v="29"/>
    <x v="1"/>
    <s v="Male"/>
    <n v="2"/>
    <x v="3"/>
    <x v="2"/>
    <n v="4115"/>
    <n v="13192"/>
    <n v="8"/>
    <x v="1"/>
    <n v="3"/>
    <n v="3"/>
    <n v="80"/>
    <n v="8"/>
    <x v="1"/>
    <x v="1"/>
    <n v="4"/>
    <x v="7"/>
    <n v="0"/>
    <n v="3"/>
  </r>
  <r>
    <n v="40"/>
    <x v="1"/>
    <x v="1"/>
    <s v="Travel_Frequently"/>
    <x v="0"/>
    <s v="Medical"/>
    <x v="0"/>
    <n v="1212"/>
    <n v="2"/>
    <x v="0"/>
    <s v="Male"/>
    <n v="2"/>
    <x v="1"/>
    <x v="1"/>
    <n v="4327"/>
    <n v="25440"/>
    <n v="5"/>
    <x v="1"/>
    <n v="3"/>
    <n v="4"/>
    <n v="80"/>
    <n v="5"/>
    <x v="2"/>
    <x v="1"/>
    <n v="0"/>
    <x v="2"/>
    <n v="0"/>
    <n v="0"/>
  </r>
  <r>
    <n v="50"/>
    <x v="0"/>
    <x v="1"/>
    <s v="Travel_Frequently"/>
    <x v="1"/>
    <s v="Medical"/>
    <x v="5"/>
    <n v="1215"/>
    <n v="2"/>
    <x v="2"/>
    <s v="Female"/>
    <n v="4"/>
    <x v="3"/>
    <x v="1"/>
    <n v="17856"/>
    <n v="9490"/>
    <n v="2"/>
    <x v="1"/>
    <n v="4"/>
    <n v="3"/>
    <n v="80"/>
    <n v="32"/>
    <x v="1"/>
    <x v="1"/>
    <n v="2"/>
    <x v="3"/>
    <n v="2"/>
    <n v="2"/>
  </r>
  <r>
    <n v="28"/>
    <x v="2"/>
    <x v="1"/>
    <s v="Travel_Rarely"/>
    <x v="1"/>
    <s v="Medical"/>
    <x v="2"/>
    <n v="1216"/>
    <n v="19"/>
    <x v="2"/>
    <s v="Male"/>
    <n v="1"/>
    <x v="3"/>
    <x v="1"/>
    <n v="3196"/>
    <n v="12449"/>
    <n v="1"/>
    <x v="1"/>
    <n v="3"/>
    <n v="3"/>
    <n v="80"/>
    <n v="6"/>
    <x v="2"/>
    <x v="1"/>
    <n v="6"/>
    <x v="4"/>
    <n v="3"/>
    <n v="3"/>
  </r>
  <r>
    <n v="46"/>
    <x v="0"/>
    <x v="1"/>
    <s v="Travel_Rarely"/>
    <x v="1"/>
    <s v="Life Sciences"/>
    <x v="7"/>
    <n v="1217"/>
    <n v="15"/>
    <x v="2"/>
    <s v="Male"/>
    <n v="5"/>
    <x v="1"/>
    <x v="1"/>
    <n v="19081"/>
    <n v="10849"/>
    <n v="5"/>
    <x v="1"/>
    <n v="3"/>
    <n v="1"/>
    <n v="80"/>
    <n v="25"/>
    <x v="2"/>
    <x v="1"/>
    <n v="4"/>
    <x v="3"/>
    <n v="0"/>
    <n v="3"/>
  </r>
  <r>
    <n v="35"/>
    <x v="1"/>
    <x v="1"/>
    <s v="Travel_Rarely"/>
    <x v="0"/>
    <s v="Life Sciences"/>
    <x v="0"/>
    <n v="1218"/>
    <n v="17"/>
    <x v="1"/>
    <s v="Male"/>
    <n v="2"/>
    <x v="3"/>
    <x v="1"/>
    <n v="8966"/>
    <n v="21026"/>
    <n v="3"/>
    <x v="0"/>
    <n v="3"/>
    <n v="4"/>
    <n v="80"/>
    <n v="15"/>
    <x v="2"/>
    <x v="1"/>
    <n v="7"/>
    <x v="1"/>
    <n v="1"/>
    <n v="7"/>
  </r>
  <r>
    <n v="24"/>
    <x v="2"/>
    <x v="0"/>
    <s v="Travel_Rarely"/>
    <x v="1"/>
    <s v="Life Sciences"/>
    <x v="2"/>
    <n v="1219"/>
    <n v="17"/>
    <x v="2"/>
    <s v="Female"/>
    <n v="1"/>
    <x v="1"/>
    <x v="1"/>
    <n v="2210"/>
    <n v="3372"/>
    <n v="1"/>
    <x v="1"/>
    <n v="3"/>
    <n v="1"/>
    <n v="80"/>
    <n v="1"/>
    <x v="1"/>
    <x v="0"/>
    <n v="1"/>
    <x v="2"/>
    <n v="0"/>
    <n v="0"/>
  </r>
  <r>
    <n v="33"/>
    <x v="1"/>
    <x v="1"/>
    <s v="Travel_Frequently"/>
    <x v="0"/>
    <s v="Medical"/>
    <x v="0"/>
    <n v="1220"/>
    <n v="25"/>
    <x v="0"/>
    <s v="Female"/>
    <n v="2"/>
    <x v="2"/>
    <x v="1"/>
    <n v="4539"/>
    <n v="4905"/>
    <n v="1"/>
    <x v="1"/>
    <n v="3"/>
    <n v="1"/>
    <n v="80"/>
    <n v="10"/>
    <x v="1"/>
    <x v="2"/>
    <n v="10"/>
    <x v="1"/>
    <n v="0"/>
    <n v="1"/>
  </r>
  <r>
    <n v="36"/>
    <x v="1"/>
    <x v="1"/>
    <s v="Travel_Rarely"/>
    <x v="1"/>
    <s v="Life Sciences"/>
    <x v="2"/>
    <n v="1221"/>
    <n v="6"/>
    <x v="1"/>
    <s v="Male"/>
    <n v="1"/>
    <x v="2"/>
    <x v="2"/>
    <n v="2741"/>
    <n v="6865"/>
    <n v="1"/>
    <x v="1"/>
    <n v="3"/>
    <n v="3"/>
    <n v="80"/>
    <n v="7"/>
    <x v="5"/>
    <x v="1"/>
    <n v="7"/>
    <x v="1"/>
    <n v="1"/>
    <n v="7"/>
  </r>
  <r>
    <n v="30"/>
    <x v="2"/>
    <x v="1"/>
    <s v="Travel_Rarely"/>
    <x v="1"/>
    <s v="Life Sciences"/>
    <x v="2"/>
    <n v="1224"/>
    <n v="7"/>
    <x v="1"/>
    <s v="Male"/>
    <n v="2"/>
    <x v="2"/>
    <x v="2"/>
    <n v="3491"/>
    <n v="11309"/>
    <n v="1"/>
    <x v="1"/>
    <n v="3"/>
    <n v="1"/>
    <n v="80"/>
    <n v="10"/>
    <x v="5"/>
    <x v="2"/>
    <n v="10"/>
    <x v="1"/>
    <n v="8"/>
    <n v="9"/>
  </r>
  <r>
    <n v="44"/>
    <x v="0"/>
    <x v="1"/>
    <s v="Travel_Rarely"/>
    <x v="1"/>
    <s v="Other"/>
    <x v="1"/>
    <n v="1225"/>
    <n v="29"/>
    <x v="2"/>
    <s v="Male"/>
    <n v="2"/>
    <x v="0"/>
    <x v="0"/>
    <n v="4541"/>
    <n v="7744"/>
    <n v="1"/>
    <x v="1"/>
    <n v="4"/>
    <n v="2"/>
    <n v="80"/>
    <n v="20"/>
    <x v="1"/>
    <x v="1"/>
    <n v="20"/>
    <x v="14"/>
    <n v="13"/>
    <n v="17"/>
  </r>
  <r>
    <n v="20"/>
    <x v="4"/>
    <x v="1"/>
    <s v="Travel_Rarely"/>
    <x v="0"/>
    <s v="Marketing"/>
    <x v="6"/>
    <n v="1226"/>
    <n v="21"/>
    <x v="1"/>
    <s v="Male"/>
    <n v="1"/>
    <x v="0"/>
    <x v="0"/>
    <n v="2678"/>
    <n v="5050"/>
    <n v="1"/>
    <x v="1"/>
    <n v="3"/>
    <n v="4"/>
    <n v="80"/>
    <n v="2"/>
    <x v="2"/>
    <x v="1"/>
    <n v="2"/>
    <x v="10"/>
    <n v="2"/>
    <n v="2"/>
  </r>
  <r>
    <n v="46"/>
    <x v="0"/>
    <x v="1"/>
    <s v="Travel_Rarely"/>
    <x v="1"/>
    <s v="Technical Degree"/>
    <x v="3"/>
    <n v="1228"/>
    <n v="2"/>
    <x v="2"/>
    <s v="Male"/>
    <n v="2"/>
    <x v="0"/>
    <x v="2"/>
    <n v="7379"/>
    <n v="17433"/>
    <n v="2"/>
    <x v="1"/>
    <n v="3"/>
    <n v="3"/>
    <n v="80"/>
    <n v="12"/>
    <x v="1"/>
    <x v="2"/>
    <n v="6"/>
    <x v="7"/>
    <n v="1"/>
    <n v="4"/>
  </r>
  <r>
    <n v="42"/>
    <x v="0"/>
    <x v="1"/>
    <s v="Non-Travel"/>
    <x v="2"/>
    <s v="Medical"/>
    <x v="8"/>
    <n v="1231"/>
    <n v="2"/>
    <x v="2"/>
    <s v="Male"/>
    <n v="2"/>
    <x v="3"/>
    <x v="1"/>
    <n v="6272"/>
    <n v="12858"/>
    <n v="7"/>
    <x v="1"/>
    <n v="3"/>
    <n v="1"/>
    <n v="80"/>
    <n v="10"/>
    <x v="1"/>
    <x v="3"/>
    <n v="4"/>
    <x v="7"/>
    <n v="0"/>
    <n v="3"/>
  </r>
  <r>
    <n v="60"/>
    <x v="3"/>
    <x v="1"/>
    <s v="Travel_Rarely"/>
    <x v="0"/>
    <s v="Marketing"/>
    <x v="0"/>
    <n v="1233"/>
    <n v="7"/>
    <x v="0"/>
    <s v="Male"/>
    <n v="2"/>
    <x v="0"/>
    <x v="2"/>
    <n v="5220"/>
    <n v="10893"/>
    <n v="0"/>
    <x v="0"/>
    <n v="3"/>
    <n v="2"/>
    <n v="80"/>
    <n v="12"/>
    <x v="1"/>
    <x v="1"/>
    <n v="11"/>
    <x v="1"/>
    <n v="1"/>
    <n v="9"/>
  </r>
  <r>
    <n v="32"/>
    <x v="1"/>
    <x v="1"/>
    <s v="Travel_Frequently"/>
    <x v="1"/>
    <s v="Other"/>
    <x v="2"/>
    <n v="1234"/>
    <n v="13"/>
    <x v="1"/>
    <s v="Female"/>
    <n v="1"/>
    <x v="1"/>
    <x v="1"/>
    <n v="2743"/>
    <n v="7331"/>
    <n v="1"/>
    <x v="1"/>
    <n v="4"/>
    <n v="3"/>
    <n v="80"/>
    <n v="2"/>
    <x v="2"/>
    <x v="1"/>
    <n v="2"/>
    <x v="3"/>
    <n v="2"/>
    <n v="2"/>
  </r>
  <r>
    <n v="32"/>
    <x v="1"/>
    <x v="1"/>
    <s v="Travel_Frequently"/>
    <x v="1"/>
    <s v="Life Sciences"/>
    <x v="1"/>
    <n v="1235"/>
    <n v="2"/>
    <x v="2"/>
    <s v="Female"/>
    <n v="2"/>
    <x v="2"/>
    <x v="0"/>
    <n v="4998"/>
    <n v="2338"/>
    <n v="4"/>
    <x v="0"/>
    <n v="3"/>
    <n v="4"/>
    <n v="80"/>
    <n v="10"/>
    <x v="2"/>
    <x v="1"/>
    <n v="8"/>
    <x v="1"/>
    <n v="0"/>
    <n v="7"/>
  </r>
  <r>
    <n v="36"/>
    <x v="1"/>
    <x v="1"/>
    <s v="Travel_Rarely"/>
    <x v="1"/>
    <s v="Technical Degree"/>
    <x v="3"/>
    <n v="1237"/>
    <n v="1"/>
    <x v="1"/>
    <s v="Female"/>
    <n v="3"/>
    <x v="3"/>
    <x v="2"/>
    <n v="10252"/>
    <n v="4235"/>
    <n v="2"/>
    <x v="0"/>
    <n v="4"/>
    <n v="3"/>
    <n v="80"/>
    <n v="17"/>
    <x v="2"/>
    <x v="1"/>
    <n v="7"/>
    <x v="1"/>
    <n v="7"/>
    <n v="7"/>
  </r>
  <r>
    <n v="33"/>
    <x v="1"/>
    <x v="1"/>
    <s v="Travel_Rarely"/>
    <x v="1"/>
    <s v="Medical"/>
    <x v="1"/>
    <n v="1238"/>
    <n v="9"/>
    <x v="3"/>
    <s v="Male"/>
    <n v="1"/>
    <x v="0"/>
    <x v="1"/>
    <n v="2781"/>
    <n v="6311"/>
    <n v="0"/>
    <x v="1"/>
    <n v="3"/>
    <n v="2"/>
    <n v="80"/>
    <n v="15"/>
    <x v="3"/>
    <x v="1"/>
    <n v="14"/>
    <x v="15"/>
    <n v="4"/>
    <n v="10"/>
  </r>
  <r>
    <n v="40"/>
    <x v="1"/>
    <x v="1"/>
    <s v="Travel_Rarely"/>
    <x v="0"/>
    <s v="Technical Degree"/>
    <x v="0"/>
    <n v="1239"/>
    <n v="10"/>
    <x v="0"/>
    <s v="Female"/>
    <n v="2"/>
    <x v="1"/>
    <x v="2"/>
    <n v="6852"/>
    <n v="11591"/>
    <n v="7"/>
    <x v="1"/>
    <n v="3"/>
    <n v="2"/>
    <n v="80"/>
    <n v="7"/>
    <x v="2"/>
    <x v="3"/>
    <n v="5"/>
    <x v="10"/>
    <n v="1"/>
    <n v="3"/>
  </r>
  <r>
    <n v="25"/>
    <x v="2"/>
    <x v="1"/>
    <s v="Travel_Rarely"/>
    <x v="0"/>
    <s v="Life Sciences"/>
    <x v="0"/>
    <n v="1240"/>
    <n v="10"/>
    <x v="1"/>
    <s v="Male"/>
    <n v="2"/>
    <x v="0"/>
    <x v="0"/>
    <n v="4950"/>
    <n v="20623"/>
    <n v="0"/>
    <x v="1"/>
    <n v="3"/>
    <n v="2"/>
    <n v="80"/>
    <n v="5"/>
    <x v="5"/>
    <x v="1"/>
    <n v="4"/>
    <x v="7"/>
    <n v="1"/>
    <n v="1"/>
  </r>
  <r>
    <n v="30"/>
    <x v="2"/>
    <x v="1"/>
    <s v="Travel_Rarely"/>
    <x v="1"/>
    <s v="Medical"/>
    <x v="1"/>
    <n v="1241"/>
    <n v="1"/>
    <x v="2"/>
    <s v="Male"/>
    <n v="1"/>
    <x v="1"/>
    <x v="1"/>
    <n v="3579"/>
    <n v="9369"/>
    <n v="0"/>
    <x v="0"/>
    <n v="4"/>
    <n v="1"/>
    <n v="80"/>
    <n v="12"/>
    <x v="2"/>
    <x v="1"/>
    <n v="11"/>
    <x v="5"/>
    <n v="5"/>
    <n v="7"/>
  </r>
  <r>
    <n v="42"/>
    <x v="0"/>
    <x v="1"/>
    <s v="Travel_Frequently"/>
    <x v="1"/>
    <s v="Medical"/>
    <x v="7"/>
    <n v="1242"/>
    <n v="26"/>
    <x v="3"/>
    <s v="Female"/>
    <n v="3"/>
    <x v="3"/>
    <x v="1"/>
    <n v="13191"/>
    <n v="23281"/>
    <n v="3"/>
    <x v="0"/>
    <n v="3"/>
    <n v="3"/>
    <n v="80"/>
    <n v="20"/>
    <x v="6"/>
    <x v="1"/>
    <n v="1"/>
    <x v="2"/>
    <n v="0"/>
    <n v="0"/>
  </r>
  <r>
    <n v="35"/>
    <x v="1"/>
    <x v="1"/>
    <s v="Non-Travel"/>
    <x v="0"/>
    <s v="Marketing"/>
    <x v="0"/>
    <n v="1243"/>
    <n v="8"/>
    <x v="1"/>
    <s v="Female"/>
    <n v="3"/>
    <x v="0"/>
    <x v="1"/>
    <n v="10377"/>
    <n v="13755"/>
    <n v="4"/>
    <x v="0"/>
    <n v="3"/>
    <n v="2"/>
    <n v="80"/>
    <n v="16"/>
    <x v="6"/>
    <x v="2"/>
    <n v="13"/>
    <x v="3"/>
    <n v="4"/>
    <n v="12"/>
  </r>
  <r>
    <n v="27"/>
    <x v="2"/>
    <x v="1"/>
    <s v="Travel_Rarely"/>
    <x v="1"/>
    <s v="Life Sciences"/>
    <x v="1"/>
    <n v="1244"/>
    <n v="14"/>
    <x v="3"/>
    <s v="Male"/>
    <n v="1"/>
    <x v="3"/>
    <x v="1"/>
    <n v="2235"/>
    <n v="14377"/>
    <n v="1"/>
    <x v="0"/>
    <n v="3"/>
    <n v="4"/>
    <n v="80"/>
    <n v="9"/>
    <x v="1"/>
    <x v="2"/>
    <n v="9"/>
    <x v="1"/>
    <n v="6"/>
    <n v="8"/>
  </r>
  <r>
    <n v="54"/>
    <x v="3"/>
    <x v="1"/>
    <s v="Travel_Frequently"/>
    <x v="1"/>
    <s v="Life Sciences"/>
    <x v="3"/>
    <n v="1245"/>
    <n v="1"/>
    <x v="2"/>
    <s v="Female"/>
    <n v="3"/>
    <x v="2"/>
    <x v="2"/>
    <n v="10502"/>
    <n v="9659"/>
    <n v="7"/>
    <x v="1"/>
    <n v="3"/>
    <n v="1"/>
    <n v="80"/>
    <n v="33"/>
    <x v="2"/>
    <x v="0"/>
    <n v="5"/>
    <x v="0"/>
    <n v="1"/>
    <n v="4"/>
  </r>
  <r>
    <n v="44"/>
    <x v="0"/>
    <x v="1"/>
    <s v="Travel_Rarely"/>
    <x v="1"/>
    <s v="Life Sciences"/>
    <x v="1"/>
    <n v="1246"/>
    <n v="2"/>
    <x v="3"/>
    <s v="Female"/>
    <n v="1"/>
    <x v="0"/>
    <x v="1"/>
    <n v="2011"/>
    <n v="19982"/>
    <n v="1"/>
    <x v="1"/>
    <n v="3"/>
    <n v="4"/>
    <n v="80"/>
    <n v="10"/>
    <x v="3"/>
    <x v="1"/>
    <n v="10"/>
    <x v="4"/>
    <n v="7"/>
    <n v="7"/>
  </r>
  <r>
    <n v="19"/>
    <x v="4"/>
    <x v="0"/>
    <s v="Non-Travel"/>
    <x v="1"/>
    <s v="Medical"/>
    <x v="1"/>
    <n v="1248"/>
    <n v="10"/>
    <x v="3"/>
    <s v="Female"/>
    <n v="1"/>
    <x v="1"/>
    <x v="0"/>
    <n v="1859"/>
    <n v="6148"/>
    <n v="1"/>
    <x v="0"/>
    <n v="4"/>
    <n v="2"/>
    <n v="80"/>
    <n v="1"/>
    <x v="2"/>
    <x v="3"/>
    <n v="1"/>
    <x v="10"/>
    <n v="0"/>
    <n v="0"/>
  </r>
  <r>
    <n v="29"/>
    <x v="2"/>
    <x v="1"/>
    <s v="Travel_Rarely"/>
    <x v="1"/>
    <s v="Life Sciences"/>
    <x v="1"/>
    <n v="1249"/>
    <n v="1"/>
    <x v="3"/>
    <s v="Female"/>
    <n v="1"/>
    <x v="0"/>
    <x v="2"/>
    <n v="3760"/>
    <n v="5598"/>
    <n v="1"/>
    <x v="1"/>
    <n v="3"/>
    <n v="1"/>
    <n v="80"/>
    <n v="3"/>
    <x v="3"/>
    <x v="1"/>
    <n v="3"/>
    <x v="3"/>
    <n v="1"/>
    <n v="2"/>
  </r>
  <r>
    <n v="54"/>
    <x v="3"/>
    <x v="1"/>
    <s v="Travel_Rarely"/>
    <x v="1"/>
    <s v="Life Sciences"/>
    <x v="7"/>
    <n v="1250"/>
    <n v="3"/>
    <x v="2"/>
    <s v="Male"/>
    <n v="4"/>
    <x v="0"/>
    <x v="1"/>
    <n v="17779"/>
    <n v="23474"/>
    <n v="3"/>
    <x v="1"/>
    <n v="3"/>
    <n v="1"/>
    <n v="80"/>
    <n v="36"/>
    <x v="2"/>
    <x v="1"/>
    <n v="10"/>
    <x v="5"/>
    <n v="0"/>
    <n v="9"/>
  </r>
  <r>
    <n v="31"/>
    <x v="1"/>
    <x v="1"/>
    <s v="Travel_Rarely"/>
    <x v="1"/>
    <s v="Medical"/>
    <x v="4"/>
    <n v="1251"/>
    <n v="11"/>
    <x v="1"/>
    <s v="Male"/>
    <n v="2"/>
    <x v="3"/>
    <x v="1"/>
    <n v="6833"/>
    <n v="17089"/>
    <n v="1"/>
    <x v="0"/>
    <n v="3"/>
    <n v="4"/>
    <n v="80"/>
    <n v="6"/>
    <x v="2"/>
    <x v="2"/>
    <n v="6"/>
    <x v="4"/>
    <n v="0"/>
    <n v="1"/>
  </r>
  <r>
    <n v="31"/>
    <x v="1"/>
    <x v="1"/>
    <s v="Travel_Rarely"/>
    <x v="1"/>
    <s v="Medical"/>
    <x v="4"/>
    <n v="1252"/>
    <n v="24"/>
    <x v="1"/>
    <s v="Female"/>
    <n v="2"/>
    <x v="3"/>
    <x v="0"/>
    <n v="6812"/>
    <n v="17198"/>
    <n v="1"/>
    <x v="1"/>
    <n v="3"/>
    <n v="2"/>
    <n v="80"/>
    <n v="10"/>
    <x v="2"/>
    <x v="1"/>
    <n v="10"/>
    <x v="5"/>
    <n v="1"/>
    <n v="8"/>
  </r>
  <r>
    <n v="59"/>
    <x v="3"/>
    <x v="1"/>
    <s v="Travel_Rarely"/>
    <x v="0"/>
    <s v="Life Sciences"/>
    <x v="0"/>
    <n v="1254"/>
    <n v="3"/>
    <x v="1"/>
    <s v="Female"/>
    <n v="2"/>
    <x v="0"/>
    <x v="0"/>
    <n v="5171"/>
    <n v="16490"/>
    <n v="5"/>
    <x v="1"/>
    <n v="3"/>
    <n v="4"/>
    <n v="80"/>
    <n v="13"/>
    <x v="2"/>
    <x v="1"/>
    <n v="6"/>
    <x v="10"/>
    <n v="0"/>
    <n v="5"/>
  </r>
  <r>
    <n v="43"/>
    <x v="0"/>
    <x v="1"/>
    <s v="Travel_Rarely"/>
    <x v="1"/>
    <s v="Life Sciences"/>
    <x v="7"/>
    <n v="1255"/>
    <n v="3"/>
    <x v="1"/>
    <s v="Male"/>
    <n v="5"/>
    <x v="0"/>
    <x v="1"/>
    <n v="19740"/>
    <n v="18625"/>
    <n v="3"/>
    <x v="1"/>
    <n v="3"/>
    <n v="2"/>
    <n v="80"/>
    <n v="25"/>
    <x v="2"/>
    <x v="1"/>
    <n v="8"/>
    <x v="1"/>
    <n v="0"/>
    <n v="7"/>
  </r>
  <r>
    <n v="49"/>
    <x v="0"/>
    <x v="1"/>
    <s v="Travel_Rarely"/>
    <x v="1"/>
    <s v="Medical"/>
    <x v="5"/>
    <n v="1256"/>
    <n v="4"/>
    <x v="3"/>
    <s v="Male"/>
    <n v="5"/>
    <x v="2"/>
    <x v="1"/>
    <n v="18711"/>
    <n v="12124"/>
    <n v="2"/>
    <x v="1"/>
    <n v="3"/>
    <n v="3"/>
    <n v="80"/>
    <n v="23"/>
    <x v="2"/>
    <x v="3"/>
    <n v="1"/>
    <x v="2"/>
    <n v="0"/>
    <n v="0"/>
  </r>
  <r>
    <n v="36"/>
    <x v="1"/>
    <x v="1"/>
    <s v="Travel_Frequently"/>
    <x v="1"/>
    <s v="Technical Degree"/>
    <x v="1"/>
    <n v="1257"/>
    <n v="3"/>
    <x v="1"/>
    <s v="Male"/>
    <n v="1"/>
    <x v="1"/>
    <x v="1"/>
    <n v="3692"/>
    <n v="9256"/>
    <n v="1"/>
    <x v="1"/>
    <n v="3"/>
    <n v="3"/>
    <n v="80"/>
    <n v="12"/>
    <x v="2"/>
    <x v="2"/>
    <n v="11"/>
    <x v="15"/>
    <n v="0"/>
    <n v="7"/>
  </r>
  <r>
    <n v="48"/>
    <x v="0"/>
    <x v="1"/>
    <s v="Travel_Rarely"/>
    <x v="1"/>
    <s v="Technical Degree"/>
    <x v="2"/>
    <n v="1258"/>
    <n v="2"/>
    <x v="2"/>
    <s v="Male"/>
    <n v="1"/>
    <x v="1"/>
    <x v="0"/>
    <n v="2559"/>
    <n v="16620"/>
    <n v="5"/>
    <x v="1"/>
    <n v="3"/>
    <n v="3"/>
    <n v="80"/>
    <n v="7"/>
    <x v="5"/>
    <x v="2"/>
    <n v="1"/>
    <x v="2"/>
    <n v="0"/>
    <n v="0"/>
  </r>
  <r>
    <n v="27"/>
    <x v="2"/>
    <x v="1"/>
    <s v="Travel_Rarely"/>
    <x v="1"/>
    <s v="Life Sciences"/>
    <x v="1"/>
    <n v="1259"/>
    <n v="4"/>
    <x v="3"/>
    <s v="Male"/>
    <n v="1"/>
    <x v="2"/>
    <x v="2"/>
    <n v="2517"/>
    <n v="3208"/>
    <n v="1"/>
    <x v="1"/>
    <n v="3"/>
    <n v="2"/>
    <n v="80"/>
    <n v="5"/>
    <x v="2"/>
    <x v="1"/>
    <n v="5"/>
    <x v="7"/>
    <n v="0"/>
    <n v="3"/>
  </r>
  <r>
    <n v="29"/>
    <x v="2"/>
    <x v="1"/>
    <s v="Travel_Rarely"/>
    <x v="1"/>
    <s v="Life Sciences"/>
    <x v="4"/>
    <n v="1260"/>
    <n v="7"/>
    <x v="1"/>
    <s v="Male"/>
    <n v="2"/>
    <x v="0"/>
    <x v="2"/>
    <n v="6623"/>
    <n v="4204"/>
    <n v="1"/>
    <x v="0"/>
    <n v="3"/>
    <n v="2"/>
    <n v="80"/>
    <n v="6"/>
    <x v="2"/>
    <x v="1"/>
    <n v="6"/>
    <x v="2"/>
    <n v="1"/>
    <n v="0"/>
  </r>
  <r>
    <n v="48"/>
    <x v="0"/>
    <x v="1"/>
    <s v="Travel_Rarely"/>
    <x v="1"/>
    <s v="Life Sciences"/>
    <x v="7"/>
    <n v="1263"/>
    <n v="1"/>
    <x v="2"/>
    <s v="Male"/>
    <n v="5"/>
    <x v="0"/>
    <x v="0"/>
    <n v="18265"/>
    <n v="8733"/>
    <n v="6"/>
    <x v="1"/>
    <n v="3"/>
    <n v="3"/>
    <n v="80"/>
    <n v="25"/>
    <x v="1"/>
    <x v="3"/>
    <n v="1"/>
    <x v="2"/>
    <n v="0"/>
    <n v="0"/>
  </r>
  <r>
    <n v="29"/>
    <x v="2"/>
    <x v="1"/>
    <s v="Travel_Rarely"/>
    <x v="1"/>
    <s v="Life Sciences"/>
    <x v="7"/>
    <n v="1264"/>
    <n v="1"/>
    <x v="2"/>
    <s v="Female"/>
    <n v="4"/>
    <x v="0"/>
    <x v="2"/>
    <n v="16124"/>
    <n v="3423"/>
    <n v="3"/>
    <x v="1"/>
    <n v="3"/>
    <n v="2"/>
    <n v="80"/>
    <n v="9"/>
    <x v="2"/>
    <x v="2"/>
    <n v="7"/>
    <x v="1"/>
    <n v="1"/>
    <n v="7"/>
  </r>
  <r>
    <n v="34"/>
    <x v="1"/>
    <x v="1"/>
    <s v="Travel_Rarely"/>
    <x v="1"/>
    <s v="Technical Degree"/>
    <x v="1"/>
    <n v="1265"/>
    <n v="20"/>
    <x v="1"/>
    <s v="Female"/>
    <n v="1"/>
    <x v="2"/>
    <x v="1"/>
    <n v="2585"/>
    <n v="21643"/>
    <n v="0"/>
    <x v="1"/>
    <n v="3"/>
    <n v="4"/>
    <n v="80"/>
    <n v="2"/>
    <x v="3"/>
    <x v="2"/>
    <n v="1"/>
    <x v="2"/>
    <n v="0"/>
    <n v="0"/>
  </r>
  <r>
    <n v="44"/>
    <x v="0"/>
    <x v="1"/>
    <s v="Travel_Rarely"/>
    <x v="0"/>
    <s v="Marketing"/>
    <x v="5"/>
    <n v="1267"/>
    <n v="5"/>
    <x v="0"/>
    <s v="Male"/>
    <n v="5"/>
    <x v="1"/>
    <x v="1"/>
    <n v="18213"/>
    <n v="8751"/>
    <n v="7"/>
    <x v="1"/>
    <n v="3"/>
    <n v="3"/>
    <n v="80"/>
    <n v="26"/>
    <x v="3"/>
    <x v="1"/>
    <n v="22"/>
    <x v="5"/>
    <n v="3"/>
    <n v="10"/>
  </r>
  <r>
    <n v="33"/>
    <x v="1"/>
    <x v="1"/>
    <s v="Travel_Rarely"/>
    <x v="0"/>
    <s v="Marketing"/>
    <x v="0"/>
    <n v="1268"/>
    <n v="10"/>
    <x v="2"/>
    <s v="Male"/>
    <n v="3"/>
    <x v="2"/>
    <x v="2"/>
    <n v="8380"/>
    <n v="21708"/>
    <n v="0"/>
    <x v="0"/>
    <n v="3"/>
    <n v="4"/>
    <n v="80"/>
    <n v="10"/>
    <x v="1"/>
    <x v="1"/>
    <n v="9"/>
    <x v="6"/>
    <n v="0"/>
    <n v="8"/>
  </r>
  <r>
    <n v="19"/>
    <x v="4"/>
    <x v="1"/>
    <s v="Travel_Rarely"/>
    <x v="1"/>
    <s v="Life Sciences"/>
    <x v="1"/>
    <n v="1269"/>
    <n v="25"/>
    <x v="0"/>
    <s v="Female"/>
    <n v="1"/>
    <x v="0"/>
    <x v="0"/>
    <n v="2994"/>
    <n v="21221"/>
    <n v="1"/>
    <x v="0"/>
    <n v="3"/>
    <n v="4"/>
    <n v="80"/>
    <n v="1"/>
    <x v="2"/>
    <x v="1"/>
    <n v="1"/>
    <x v="2"/>
    <n v="0"/>
    <n v="1"/>
  </r>
  <r>
    <n v="23"/>
    <x v="2"/>
    <x v="1"/>
    <s v="Travel_Rarely"/>
    <x v="1"/>
    <s v="Life Sciences"/>
    <x v="1"/>
    <n v="1270"/>
    <n v="1"/>
    <x v="2"/>
    <s v="Male"/>
    <n v="1"/>
    <x v="2"/>
    <x v="1"/>
    <n v="1223"/>
    <n v="16901"/>
    <n v="1"/>
    <x v="1"/>
    <n v="4"/>
    <n v="4"/>
    <n v="80"/>
    <n v="1"/>
    <x v="2"/>
    <x v="1"/>
    <n v="1"/>
    <x v="2"/>
    <n v="0"/>
    <n v="1"/>
  </r>
  <r>
    <n v="25"/>
    <x v="2"/>
    <x v="0"/>
    <s v="Travel_Frequently"/>
    <x v="0"/>
    <s v="Life Sciences"/>
    <x v="6"/>
    <n v="1273"/>
    <n v="24"/>
    <x v="1"/>
    <s v="Male"/>
    <n v="1"/>
    <x v="0"/>
    <x v="0"/>
    <n v="1118"/>
    <n v="8040"/>
    <n v="1"/>
    <x v="0"/>
    <n v="3"/>
    <n v="4"/>
    <n v="80"/>
    <n v="1"/>
    <x v="5"/>
    <x v="1"/>
    <n v="1"/>
    <x v="2"/>
    <n v="1"/>
    <n v="0"/>
  </r>
  <r>
    <n v="26"/>
    <x v="2"/>
    <x v="1"/>
    <s v="Travel_Rarely"/>
    <x v="1"/>
    <s v="Life Sciences"/>
    <x v="1"/>
    <n v="1275"/>
    <n v="4"/>
    <x v="1"/>
    <s v="Male"/>
    <n v="1"/>
    <x v="0"/>
    <x v="0"/>
    <n v="2875"/>
    <n v="9973"/>
    <n v="1"/>
    <x v="0"/>
    <n v="4"/>
    <n v="2"/>
    <n v="80"/>
    <n v="8"/>
    <x v="2"/>
    <x v="2"/>
    <n v="8"/>
    <x v="4"/>
    <n v="2"/>
    <n v="2"/>
  </r>
  <r>
    <n v="45"/>
    <x v="0"/>
    <x v="0"/>
    <s v="Travel_Rarely"/>
    <x v="0"/>
    <s v="Marketing"/>
    <x v="5"/>
    <n v="1277"/>
    <n v="2"/>
    <x v="3"/>
    <s v="Female"/>
    <n v="5"/>
    <x v="1"/>
    <x v="0"/>
    <n v="18824"/>
    <n v="2493"/>
    <n v="2"/>
    <x v="0"/>
    <n v="3"/>
    <n v="1"/>
    <n v="80"/>
    <n v="26"/>
    <x v="2"/>
    <x v="1"/>
    <n v="24"/>
    <x v="15"/>
    <n v="1"/>
    <n v="11"/>
  </r>
  <r>
    <n v="55"/>
    <x v="3"/>
    <x v="1"/>
    <s v="Non-Travel"/>
    <x v="1"/>
    <s v="Medical"/>
    <x v="4"/>
    <n v="1278"/>
    <n v="8"/>
    <x v="2"/>
    <s v="Male"/>
    <n v="4"/>
    <x v="1"/>
    <x v="2"/>
    <n v="13577"/>
    <n v="25592"/>
    <n v="1"/>
    <x v="0"/>
    <n v="3"/>
    <n v="4"/>
    <n v="80"/>
    <n v="34"/>
    <x v="1"/>
    <x v="1"/>
    <n v="33"/>
    <x v="5"/>
    <n v="15"/>
    <n v="0"/>
  </r>
  <r>
    <n v="21"/>
    <x v="2"/>
    <x v="0"/>
    <s v="Travel_Frequently"/>
    <x v="1"/>
    <s v="Life Sciences"/>
    <x v="2"/>
    <n v="1279"/>
    <n v="10"/>
    <x v="3"/>
    <s v="Female"/>
    <n v="1"/>
    <x v="2"/>
    <x v="0"/>
    <n v="2625"/>
    <n v="25308"/>
    <n v="1"/>
    <x v="1"/>
    <n v="4"/>
    <n v="3"/>
    <n v="80"/>
    <n v="2"/>
    <x v="2"/>
    <x v="0"/>
    <n v="2"/>
    <x v="3"/>
    <n v="2"/>
    <n v="2"/>
  </r>
  <r>
    <n v="46"/>
    <x v="0"/>
    <x v="1"/>
    <s v="Travel_Rarely"/>
    <x v="0"/>
    <s v="Marketing"/>
    <x v="5"/>
    <n v="1280"/>
    <n v="4"/>
    <x v="2"/>
    <s v="Female"/>
    <n v="5"/>
    <x v="1"/>
    <x v="1"/>
    <n v="18789"/>
    <n v="9946"/>
    <n v="2"/>
    <x v="1"/>
    <n v="3"/>
    <n v="3"/>
    <n v="80"/>
    <n v="26"/>
    <x v="2"/>
    <x v="1"/>
    <n v="11"/>
    <x v="0"/>
    <n v="0"/>
    <n v="8"/>
  </r>
  <r>
    <n v="34"/>
    <x v="1"/>
    <x v="1"/>
    <s v="Travel_Rarely"/>
    <x v="0"/>
    <s v="Marketing"/>
    <x v="0"/>
    <n v="1281"/>
    <n v="2"/>
    <x v="1"/>
    <s v="Female"/>
    <n v="2"/>
    <x v="3"/>
    <x v="0"/>
    <n v="4538"/>
    <n v="6039"/>
    <n v="0"/>
    <x v="0"/>
    <n v="3"/>
    <n v="4"/>
    <n v="80"/>
    <n v="4"/>
    <x v="1"/>
    <x v="1"/>
    <n v="3"/>
    <x v="3"/>
    <n v="0"/>
    <n v="2"/>
  </r>
  <r>
    <n v="51"/>
    <x v="3"/>
    <x v="1"/>
    <s v="Travel_Frequently"/>
    <x v="0"/>
    <s v="Life Sciences"/>
    <x v="5"/>
    <n v="1282"/>
    <n v="9"/>
    <x v="2"/>
    <s v="Male"/>
    <n v="5"/>
    <x v="1"/>
    <x v="2"/>
    <n v="19847"/>
    <n v="19196"/>
    <n v="4"/>
    <x v="0"/>
    <n v="4"/>
    <n v="1"/>
    <n v="80"/>
    <n v="31"/>
    <x v="3"/>
    <x v="2"/>
    <n v="29"/>
    <x v="15"/>
    <n v="11"/>
    <n v="10"/>
  </r>
  <r>
    <n v="59"/>
    <x v="3"/>
    <x v="1"/>
    <s v="Travel_Rarely"/>
    <x v="1"/>
    <s v="Medical"/>
    <x v="3"/>
    <n v="1283"/>
    <n v="18"/>
    <x v="2"/>
    <s v="Male"/>
    <n v="3"/>
    <x v="0"/>
    <x v="0"/>
    <n v="10512"/>
    <n v="20002"/>
    <n v="6"/>
    <x v="1"/>
    <n v="3"/>
    <n v="4"/>
    <n v="80"/>
    <n v="25"/>
    <x v="6"/>
    <x v="2"/>
    <n v="9"/>
    <x v="1"/>
    <n v="5"/>
    <n v="4"/>
  </r>
  <r>
    <n v="34"/>
    <x v="1"/>
    <x v="1"/>
    <s v="Travel_Frequently"/>
    <x v="1"/>
    <s v="Medical"/>
    <x v="2"/>
    <n v="1285"/>
    <n v="19"/>
    <x v="1"/>
    <s v="Female"/>
    <n v="2"/>
    <x v="1"/>
    <x v="2"/>
    <n v="4444"/>
    <n v="22534"/>
    <n v="4"/>
    <x v="1"/>
    <n v="3"/>
    <n v="3"/>
    <n v="80"/>
    <n v="15"/>
    <x v="2"/>
    <x v="3"/>
    <n v="11"/>
    <x v="6"/>
    <n v="5"/>
    <n v="10"/>
  </r>
  <r>
    <n v="28"/>
    <x v="2"/>
    <x v="1"/>
    <s v="Travel_Frequently"/>
    <x v="1"/>
    <s v="Medical"/>
    <x v="2"/>
    <n v="1286"/>
    <n v="1"/>
    <x v="2"/>
    <s v="Male"/>
    <n v="1"/>
    <x v="2"/>
    <x v="0"/>
    <n v="2154"/>
    <n v="6842"/>
    <n v="0"/>
    <x v="0"/>
    <n v="3"/>
    <n v="3"/>
    <n v="80"/>
    <n v="5"/>
    <x v="2"/>
    <x v="2"/>
    <n v="4"/>
    <x v="3"/>
    <n v="0"/>
    <n v="2"/>
  </r>
  <r>
    <n v="44"/>
    <x v="0"/>
    <x v="1"/>
    <s v="Travel_Rarely"/>
    <x v="1"/>
    <s v="Life Sciences"/>
    <x v="5"/>
    <n v="1288"/>
    <n v="4"/>
    <x v="1"/>
    <s v="Male"/>
    <n v="5"/>
    <x v="3"/>
    <x v="2"/>
    <n v="19190"/>
    <n v="17477"/>
    <n v="1"/>
    <x v="1"/>
    <n v="3"/>
    <n v="4"/>
    <n v="80"/>
    <n v="26"/>
    <x v="5"/>
    <x v="2"/>
    <n v="25"/>
    <x v="5"/>
    <n v="14"/>
    <n v="13"/>
  </r>
  <r>
    <n v="34"/>
    <x v="1"/>
    <x v="1"/>
    <s v="Travel_Frequently"/>
    <x v="2"/>
    <s v="Life Sciences"/>
    <x v="8"/>
    <n v="1289"/>
    <n v="11"/>
    <x v="1"/>
    <s v="Male"/>
    <n v="2"/>
    <x v="1"/>
    <x v="1"/>
    <n v="4490"/>
    <n v="21833"/>
    <n v="4"/>
    <x v="1"/>
    <n v="3"/>
    <n v="4"/>
    <n v="80"/>
    <n v="14"/>
    <x v="3"/>
    <x v="3"/>
    <n v="10"/>
    <x v="5"/>
    <n v="1"/>
    <n v="8"/>
  </r>
  <r>
    <n v="35"/>
    <x v="1"/>
    <x v="1"/>
    <s v="Travel_Rarely"/>
    <x v="1"/>
    <s v="Life Sciences"/>
    <x v="1"/>
    <n v="1291"/>
    <n v="6"/>
    <x v="1"/>
    <s v="Male"/>
    <n v="1"/>
    <x v="2"/>
    <x v="1"/>
    <n v="3506"/>
    <n v="6020"/>
    <n v="0"/>
    <x v="0"/>
    <n v="3"/>
    <n v="4"/>
    <n v="80"/>
    <n v="4"/>
    <x v="1"/>
    <x v="1"/>
    <n v="3"/>
    <x v="3"/>
    <n v="2"/>
    <n v="2"/>
  </r>
  <r>
    <n v="42"/>
    <x v="0"/>
    <x v="1"/>
    <s v="Travel_Rarely"/>
    <x v="1"/>
    <s v="Medical"/>
    <x v="1"/>
    <n v="1292"/>
    <n v="7"/>
    <x v="0"/>
    <s v="Female"/>
    <n v="2"/>
    <x v="1"/>
    <x v="1"/>
    <n v="2372"/>
    <n v="5628"/>
    <n v="6"/>
    <x v="0"/>
    <n v="3"/>
    <n v="4"/>
    <n v="80"/>
    <n v="18"/>
    <x v="2"/>
    <x v="1"/>
    <n v="1"/>
    <x v="2"/>
    <n v="0"/>
    <n v="0"/>
  </r>
  <r>
    <n v="43"/>
    <x v="0"/>
    <x v="1"/>
    <s v="Travel_Rarely"/>
    <x v="0"/>
    <s v="Marketing"/>
    <x v="0"/>
    <n v="1293"/>
    <n v="4"/>
    <x v="2"/>
    <s v="Female"/>
    <n v="3"/>
    <x v="0"/>
    <x v="0"/>
    <n v="10231"/>
    <n v="20364"/>
    <n v="3"/>
    <x v="1"/>
    <n v="3"/>
    <n v="4"/>
    <n v="80"/>
    <n v="23"/>
    <x v="1"/>
    <x v="3"/>
    <n v="21"/>
    <x v="1"/>
    <n v="15"/>
    <n v="17"/>
  </r>
  <r>
    <n v="36"/>
    <x v="1"/>
    <x v="1"/>
    <s v="Travel_Rarely"/>
    <x v="1"/>
    <s v="Life Sciences"/>
    <x v="3"/>
    <n v="1294"/>
    <n v="2"/>
    <x v="1"/>
    <s v="Female"/>
    <n v="2"/>
    <x v="1"/>
    <x v="0"/>
    <n v="5410"/>
    <n v="2323"/>
    <n v="9"/>
    <x v="0"/>
    <n v="3"/>
    <n v="4"/>
    <n v="80"/>
    <n v="18"/>
    <x v="2"/>
    <x v="1"/>
    <n v="16"/>
    <x v="12"/>
    <n v="5"/>
    <n v="12"/>
  </r>
  <r>
    <n v="44"/>
    <x v="0"/>
    <x v="0"/>
    <s v="Travel_Rarely"/>
    <x v="1"/>
    <s v="Medical"/>
    <x v="4"/>
    <n v="1295"/>
    <n v="15"/>
    <x v="3"/>
    <s v="Female"/>
    <n v="3"/>
    <x v="0"/>
    <x v="1"/>
    <n v="7978"/>
    <n v="14075"/>
    <n v="1"/>
    <x v="1"/>
    <n v="3"/>
    <n v="4"/>
    <n v="80"/>
    <n v="10"/>
    <x v="2"/>
    <x v="1"/>
    <n v="10"/>
    <x v="1"/>
    <n v="0"/>
    <n v="5"/>
  </r>
  <r>
    <n v="28"/>
    <x v="2"/>
    <x v="1"/>
    <s v="Travel_Frequently"/>
    <x v="1"/>
    <s v="Life Sciences"/>
    <x v="2"/>
    <n v="1296"/>
    <n v="2"/>
    <x v="2"/>
    <s v="Male"/>
    <n v="1"/>
    <x v="0"/>
    <x v="1"/>
    <n v="3867"/>
    <n v="14222"/>
    <n v="1"/>
    <x v="0"/>
    <n v="3"/>
    <n v="2"/>
    <n v="80"/>
    <n v="2"/>
    <x v="2"/>
    <x v="1"/>
    <n v="2"/>
    <x v="3"/>
    <n v="2"/>
    <n v="2"/>
  </r>
  <r>
    <n v="51"/>
    <x v="3"/>
    <x v="1"/>
    <s v="Travel_Frequently"/>
    <x v="1"/>
    <s v="Medical"/>
    <x v="2"/>
    <n v="1297"/>
    <n v="6"/>
    <x v="0"/>
    <s v="Female"/>
    <n v="1"/>
    <x v="2"/>
    <x v="0"/>
    <n v="2838"/>
    <n v="4257"/>
    <n v="0"/>
    <x v="1"/>
    <n v="3"/>
    <n v="2"/>
    <n v="80"/>
    <n v="8"/>
    <x v="6"/>
    <x v="2"/>
    <n v="7"/>
    <x v="2"/>
    <n v="7"/>
    <n v="7"/>
  </r>
  <r>
    <n v="30"/>
    <x v="2"/>
    <x v="1"/>
    <s v="Non-Travel"/>
    <x v="1"/>
    <s v="Medical"/>
    <x v="3"/>
    <n v="1298"/>
    <n v="9"/>
    <x v="1"/>
    <s v="Female"/>
    <n v="2"/>
    <x v="2"/>
    <x v="0"/>
    <n v="4695"/>
    <n v="12858"/>
    <n v="7"/>
    <x v="0"/>
    <n v="3"/>
    <n v="3"/>
    <n v="80"/>
    <n v="10"/>
    <x v="1"/>
    <x v="1"/>
    <n v="8"/>
    <x v="0"/>
    <n v="1"/>
    <n v="7"/>
  </r>
  <r>
    <n v="29"/>
    <x v="2"/>
    <x v="0"/>
    <s v="Travel_Rarely"/>
    <x v="1"/>
    <s v="Technical Degree"/>
    <x v="2"/>
    <n v="1299"/>
    <n v="7"/>
    <x v="0"/>
    <s v="Female"/>
    <n v="1"/>
    <x v="2"/>
    <x v="2"/>
    <n v="3339"/>
    <n v="17285"/>
    <n v="3"/>
    <x v="0"/>
    <n v="3"/>
    <n v="1"/>
    <n v="80"/>
    <n v="10"/>
    <x v="2"/>
    <x v="1"/>
    <n v="7"/>
    <x v="1"/>
    <n v="7"/>
    <n v="7"/>
  </r>
  <r>
    <n v="28"/>
    <x v="2"/>
    <x v="1"/>
    <s v="Travel_Rarely"/>
    <x v="1"/>
    <s v="Technical Degree"/>
    <x v="1"/>
    <n v="1301"/>
    <n v="1"/>
    <x v="2"/>
    <s v="Male"/>
    <n v="1"/>
    <x v="3"/>
    <x v="0"/>
    <n v="2080"/>
    <n v="4732"/>
    <n v="2"/>
    <x v="1"/>
    <n v="3"/>
    <n v="2"/>
    <n v="80"/>
    <n v="5"/>
    <x v="2"/>
    <x v="2"/>
    <n v="3"/>
    <x v="3"/>
    <n v="1"/>
    <n v="2"/>
  </r>
  <r>
    <n v="25"/>
    <x v="2"/>
    <x v="1"/>
    <s v="Travel_Rarely"/>
    <x v="1"/>
    <s v="Medical"/>
    <x v="1"/>
    <n v="1303"/>
    <n v="1"/>
    <x v="2"/>
    <s v="Female"/>
    <n v="1"/>
    <x v="1"/>
    <x v="0"/>
    <n v="2096"/>
    <n v="18830"/>
    <n v="1"/>
    <x v="1"/>
    <n v="3"/>
    <n v="4"/>
    <n v="80"/>
    <n v="2"/>
    <x v="1"/>
    <x v="2"/>
    <n v="2"/>
    <x v="3"/>
    <n v="2"/>
    <n v="1"/>
  </r>
  <r>
    <n v="32"/>
    <x v="1"/>
    <x v="1"/>
    <s v="Travel_Rarely"/>
    <x v="0"/>
    <s v="Medical"/>
    <x v="0"/>
    <n v="1304"/>
    <n v="8"/>
    <x v="1"/>
    <s v="Male"/>
    <n v="2"/>
    <x v="0"/>
    <x v="1"/>
    <n v="6209"/>
    <n v="11693"/>
    <n v="1"/>
    <x v="1"/>
    <n v="3"/>
    <n v="3"/>
    <n v="80"/>
    <n v="10"/>
    <x v="5"/>
    <x v="3"/>
    <n v="10"/>
    <x v="1"/>
    <n v="0"/>
    <n v="8"/>
  </r>
  <r>
    <n v="45"/>
    <x v="0"/>
    <x v="1"/>
    <s v="Travel_Frequently"/>
    <x v="1"/>
    <s v="Medical"/>
    <x v="5"/>
    <n v="1306"/>
    <n v="25"/>
    <x v="0"/>
    <s v="Female"/>
    <n v="5"/>
    <x v="1"/>
    <x v="0"/>
    <n v="18061"/>
    <n v="13035"/>
    <n v="3"/>
    <x v="1"/>
    <n v="4"/>
    <n v="3"/>
    <n v="80"/>
    <n v="22"/>
    <x v="5"/>
    <x v="1"/>
    <n v="0"/>
    <x v="2"/>
    <n v="0"/>
    <n v="0"/>
  </r>
  <r>
    <n v="39"/>
    <x v="1"/>
    <x v="1"/>
    <s v="Travel_Rarely"/>
    <x v="1"/>
    <s v="Medical"/>
    <x v="5"/>
    <n v="1307"/>
    <n v="13"/>
    <x v="1"/>
    <s v="Female"/>
    <n v="4"/>
    <x v="1"/>
    <x v="2"/>
    <n v="17123"/>
    <n v="17334"/>
    <n v="6"/>
    <x v="0"/>
    <n v="3"/>
    <n v="4"/>
    <n v="80"/>
    <n v="21"/>
    <x v="5"/>
    <x v="1"/>
    <n v="19"/>
    <x v="5"/>
    <n v="15"/>
    <n v="2"/>
  </r>
  <r>
    <n v="58"/>
    <x v="3"/>
    <x v="1"/>
    <s v="Travel_Rarely"/>
    <x v="1"/>
    <s v="Life Sciences"/>
    <x v="1"/>
    <n v="1308"/>
    <n v="23"/>
    <x v="3"/>
    <s v="Male"/>
    <n v="1"/>
    <x v="2"/>
    <x v="2"/>
    <n v="2372"/>
    <n v="26076"/>
    <n v="1"/>
    <x v="1"/>
    <n v="3"/>
    <n v="4"/>
    <n v="80"/>
    <n v="2"/>
    <x v="1"/>
    <x v="1"/>
    <n v="2"/>
    <x v="3"/>
    <n v="2"/>
    <n v="2"/>
  </r>
  <r>
    <n v="32"/>
    <x v="1"/>
    <x v="0"/>
    <s v="Travel_Rarely"/>
    <x v="1"/>
    <s v="Life Sciences"/>
    <x v="2"/>
    <n v="1309"/>
    <n v="7"/>
    <x v="2"/>
    <s v="Male"/>
    <n v="2"/>
    <x v="2"/>
    <x v="1"/>
    <n v="4883"/>
    <n v="22845"/>
    <n v="1"/>
    <x v="1"/>
    <n v="3"/>
    <n v="1"/>
    <n v="80"/>
    <n v="10"/>
    <x v="1"/>
    <x v="1"/>
    <n v="10"/>
    <x v="0"/>
    <n v="1"/>
    <n v="1"/>
  </r>
  <r>
    <n v="39"/>
    <x v="1"/>
    <x v="0"/>
    <s v="Travel_Rarely"/>
    <x v="1"/>
    <s v="Medical"/>
    <x v="1"/>
    <n v="1310"/>
    <n v="23"/>
    <x v="1"/>
    <s v="Male"/>
    <n v="1"/>
    <x v="3"/>
    <x v="0"/>
    <n v="3904"/>
    <n v="22154"/>
    <n v="0"/>
    <x v="1"/>
    <n v="3"/>
    <n v="1"/>
    <n v="80"/>
    <n v="6"/>
    <x v="2"/>
    <x v="1"/>
    <n v="5"/>
    <x v="3"/>
    <n v="0"/>
    <n v="3"/>
  </r>
  <r>
    <n v="30"/>
    <x v="2"/>
    <x v="1"/>
    <s v="Travel_Rarely"/>
    <x v="1"/>
    <s v="Technical Degree"/>
    <x v="2"/>
    <n v="1311"/>
    <n v="6"/>
    <x v="3"/>
    <s v="Female"/>
    <n v="2"/>
    <x v="0"/>
    <x v="1"/>
    <n v="4627"/>
    <n v="23631"/>
    <n v="0"/>
    <x v="1"/>
    <n v="3"/>
    <n v="1"/>
    <n v="80"/>
    <n v="10"/>
    <x v="6"/>
    <x v="1"/>
    <n v="9"/>
    <x v="3"/>
    <n v="6"/>
    <n v="7"/>
  </r>
  <r>
    <n v="36"/>
    <x v="1"/>
    <x v="1"/>
    <s v="Travel_Rarely"/>
    <x v="1"/>
    <s v="Technical Degree"/>
    <x v="4"/>
    <n v="1312"/>
    <n v="10"/>
    <x v="2"/>
    <s v="Female"/>
    <n v="3"/>
    <x v="2"/>
    <x v="1"/>
    <n v="7094"/>
    <n v="5747"/>
    <n v="3"/>
    <x v="1"/>
    <n v="3"/>
    <n v="1"/>
    <n v="80"/>
    <n v="10"/>
    <x v="0"/>
    <x v="1"/>
    <n v="7"/>
    <x v="1"/>
    <n v="1"/>
    <n v="7"/>
  </r>
  <r>
    <n v="46"/>
    <x v="0"/>
    <x v="1"/>
    <s v="Travel_Rarely"/>
    <x v="2"/>
    <s v="Life Sciences"/>
    <x v="8"/>
    <n v="1314"/>
    <n v="1"/>
    <x v="2"/>
    <s v="Female"/>
    <n v="1"/>
    <x v="3"/>
    <x v="0"/>
    <n v="3423"/>
    <n v="22957"/>
    <n v="6"/>
    <x v="1"/>
    <n v="3"/>
    <n v="3"/>
    <n v="80"/>
    <n v="10"/>
    <x v="1"/>
    <x v="3"/>
    <n v="7"/>
    <x v="8"/>
    <n v="5"/>
    <n v="7"/>
  </r>
  <r>
    <n v="28"/>
    <x v="2"/>
    <x v="1"/>
    <s v="Non-Travel"/>
    <x v="1"/>
    <s v="Life Sciences"/>
    <x v="2"/>
    <n v="1315"/>
    <n v="1"/>
    <x v="1"/>
    <s v="Female"/>
    <n v="2"/>
    <x v="0"/>
    <x v="1"/>
    <n v="6674"/>
    <n v="16392"/>
    <n v="0"/>
    <x v="1"/>
    <n v="3"/>
    <n v="1"/>
    <n v="80"/>
    <n v="10"/>
    <x v="6"/>
    <x v="1"/>
    <n v="9"/>
    <x v="6"/>
    <n v="7"/>
    <n v="5"/>
  </r>
  <r>
    <n v="50"/>
    <x v="0"/>
    <x v="1"/>
    <s v="Travel_Rarely"/>
    <x v="1"/>
    <s v="Life Sciences"/>
    <x v="7"/>
    <n v="1317"/>
    <n v="28"/>
    <x v="2"/>
    <s v="Female"/>
    <n v="4"/>
    <x v="3"/>
    <x v="1"/>
    <n v="16880"/>
    <n v="22422"/>
    <n v="4"/>
    <x v="0"/>
    <n v="3"/>
    <n v="2"/>
    <n v="80"/>
    <n v="25"/>
    <x v="2"/>
    <x v="1"/>
    <n v="3"/>
    <x v="3"/>
    <n v="1"/>
    <n v="2"/>
  </r>
  <r>
    <n v="40"/>
    <x v="1"/>
    <x v="0"/>
    <s v="Travel_Rarely"/>
    <x v="0"/>
    <s v="Marketing"/>
    <x v="0"/>
    <n v="1318"/>
    <n v="25"/>
    <x v="2"/>
    <s v="Male"/>
    <n v="3"/>
    <x v="1"/>
    <x v="0"/>
    <n v="9094"/>
    <n v="17235"/>
    <n v="2"/>
    <x v="0"/>
    <n v="3"/>
    <n v="3"/>
    <n v="80"/>
    <n v="9"/>
    <x v="2"/>
    <x v="1"/>
    <n v="5"/>
    <x v="0"/>
    <n v="1"/>
    <n v="0"/>
  </r>
  <r>
    <n v="52"/>
    <x v="3"/>
    <x v="0"/>
    <s v="Travel_Rarely"/>
    <x v="0"/>
    <s v="Life Sciences"/>
    <x v="0"/>
    <n v="1319"/>
    <n v="5"/>
    <x v="0"/>
    <s v="Male"/>
    <n v="3"/>
    <x v="1"/>
    <x v="0"/>
    <n v="8446"/>
    <n v="21534"/>
    <n v="9"/>
    <x v="0"/>
    <n v="3"/>
    <n v="3"/>
    <n v="80"/>
    <n v="10"/>
    <x v="2"/>
    <x v="2"/>
    <n v="8"/>
    <x v="1"/>
    <n v="7"/>
    <n v="7"/>
  </r>
  <r>
    <n v="30"/>
    <x v="2"/>
    <x v="1"/>
    <s v="Travel_Rarely"/>
    <x v="1"/>
    <s v="Medical"/>
    <x v="5"/>
    <n v="1321"/>
    <n v="17"/>
    <x v="0"/>
    <s v="Female"/>
    <n v="3"/>
    <x v="3"/>
    <x v="1"/>
    <n v="11916"/>
    <n v="25927"/>
    <n v="1"/>
    <x v="0"/>
    <n v="4"/>
    <n v="4"/>
    <n v="80"/>
    <n v="9"/>
    <x v="2"/>
    <x v="1"/>
    <n v="9"/>
    <x v="10"/>
    <n v="0"/>
    <n v="8"/>
  </r>
  <r>
    <n v="39"/>
    <x v="1"/>
    <x v="1"/>
    <s v="Travel_Rarely"/>
    <x v="1"/>
    <s v="Life Sciences"/>
    <x v="3"/>
    <n v="1322"/>
    <n v="18"/>
    <x v="3"/>
    <s v="Male"/>
    <n v="2"/>
    <x v="2"/>
    <x v="0"/>
    <n v="4534"/>
    <n v="13352"/>
    <n v="0"/>
    <x v="1"/>
    <n v="3"/>
    <n v="1"/>
    <n v="80"/>
    <n v="9"/>
    <x v="6"/>
    <x v="1"/>
    <n v="8"/>
    <x v="1"/>
    <n v="1"/>
    <n v="7"/>
  </r>
  <r>
    <n v="31"/>
    <x v="1"/>
    <x v="1"/>
    <s v="Non-Travel"/>
    <x v="0"/>
    <s v="Life Sciences"/>
    <x v="0"/>
    <n v="1324"/>
    <n v="2"/>
    <x v="2"/>
    <s v="Female"/>
    <n v="3"/>
    <x v="2"/>
    <x v="2"/>
    <n v="9852"/>
    <n v="8935"/>
    <n v="1"/>
    <x v="0"/>
    <n v="3"/>
    <n v="1"/>
    <n v="80"/>
    <n v="10"/>
    <x v="3"/>
    <x v="2"/>
    <n v="10"/>
    <x v="6"/>
    <n v="9"/>
    <n v="6"/>
  </r>
  <r>
    <n v="41"/>
    <x v="0"/>
    <x v="1"/>
    <s v="Non-Travel"/>
    <x v="0"/>
    <s v="Medical"/>
    <x v="0"/>
    <n v="1329"/>
    <n v="10"/>
    <x v="1"/>
    <s v="Male"/>
    <n v="2"/>
    <x v="1"/>
    <x v="0"/>
    <n v="6151"/>
    <n v="22074"/>
    <n v="1"/>
    <x v="1"/>
    <n v="3"/>
    <n v="1"/>
    <n v="80"/>
    <n v="19"/>
    <x v="5"/>
    <x v="1"/>
    <n v="19"/>
    <x v="3"/>
    <n v="11"/>
    <n v="9"/>
  </r>
  <r>
    <n v="31"/>
    <x v="1"/>
    <x v="0"/>
    <s v="Travel_Frequently"/>
    <x v="0"/>
    <s v="Life Sciences"/>
    <x v="6"/>
    <n v="1331"/>
    <n v="1"/>
    <x v="2"/>
    <s v="Female"/>
    <n v="1"/>
    <x v="1"/>
    <x v="0"/>
    <n v="2302"/>
    <n v="8319"/>
    <n v="1"/>
    <x v="0"/>
    <n v="3"/>
    <n v="1"/>
    <n v="80"/>
    <n v="3"/>
    <x v="2"/>
    <x v="3"/>
    <n v="3"/>
    <x v="3"/>
    <n v="2"/>
    <n v="2"/>
  </r>
  <r>
    <n v="44"/>
    <x v="0"/>
    <x v="0"/>
    <s v="Travel_Rarely"/>
    <x v="1"/>
    <s v="Life Sciences"/>
    <x v="2"/>
    <n v="1333"/>
    <n v="3"/>
    <x v="3"/>
    <s v="Male"/>
    <n v="1"/>
    <x v="3"/>
    <x v="1"/>
    <n v="2362"/>
    <n v="14669"/>
    <n v="4"/>
    <x v="1"/>
    <n v="3"/>
    <n v="3"/>
    <n v="80"/>
    <n v="10"/>
    <x v="5"/>
    <x v="3"/>
    <n v="3"/>
    <x v="3"/>
    <n v="1"/>
    <n v="2"/>
  </r>
  <r>
    <n v="42"/>
    <x v="0"/>
    <x v="1"/>
    <s v="Non-Travel"/>
    <x v="1"/>
    <s v="Life Sciences"/>
    <x v="5"/>
    <n v="1334"/>
    <n v="2"/>
    <x v="1"/>
    <s v="Male"/>
    <n v="4"/>
    <x v="2"/>
    <x v="1"/>
    <n v="17861"/>
    <n v="26582"/>
    <n v="0"/>
    <x v="0"/>
    <n v="3"/>
    <n v="4"/>
    <n v="80"/>
    <n v="21"/>
    <x v="1"/>
    <x v="2"/>
    <n v="20"/>
    <x v="6"/>
    <n v="2"/>
    <n v="10"/>
  </r>
  <r>
    <n v="55"/>
    <x v="3"/>
    <x v="1"/>
    <s v="Travel_Rarely"/>
    <x v="1"/>
    <s v="Medical"/>
    <x v="5"/>
    <n v="1336"/>
    <n v="2"/>
    <x v="2"/>
    <s v="Female"/>
    <n v="5"/>
    <x v="2"/>
    <x v="1"/>
    <n v="19187"/>
    <n v="6992"/>
    <n v="4"/>
    <x v="1"/>
    <n v="3"/>
    <n v="4"/>
    <n v="80"/>
    <n v="23"/>
    <x v="3"/>
    <x v="1"/>
    <n v="19"/>
    <x v="5"/>
    <n v="9"/>
    <n v="11"/>
  </r>
  <r>
    <n v="56"/>
    <x v="3"/>
    <x v="1"/>
    <s v="Travel_Rarely"/>
    <x v="2"/>
    <s v="Life Sciences"/>
    <x v="5"/>
    <n v="1338"/>
    <n v="8"/>
    <x v="2"/>
    <s v="Male"/>
    <n v="5"/>
    <x v="1"/>
    <x v="0"/>
    <n v="19717"/>
    <n v="4022"/>
    <n v="6"/>
    <x v="1"/>
    <n v="3"/>
    <n v="1"/>
    <n v="80"/>
    <n v="36"/>
    <x v="5"/>
    <x v="1"/>
    <n v="7"/>
    <x v="7"/>
    <n v="7"/>
    <n v="7"/>
  </r>
  <r>
    <n v="40"/>
    <x v="1"/>
    <x v="1"/>
    <s v="Non-Travel"/>
    <x v="1"/>
    <s v="Life Sciences"/>
    <x v="1"/>
    <n v="1340"/>
    <n v="16"/>
    <x v="1"/>
    <s v="Male"/>
    <n v="1"/>
    <x v="2"/>
    <x v="2"/>
    <n v="3544"/>
    <n v="8532"/>
    <n v="9"/>
    <x v="1"/>
    <n v="3"/>
    <n v="2"/>
    <n v="80"/>
    <n v="6"/>
    <x v="0"/>
    <x v="1"/>
    <n v="4"/>
    <x v="3"/>
    <n v="0"/>
    <n v="0"/>
  </r>
  <r>
    <n v="34"/>
    <x v="1"/>
    <x v="1"/>
    <s v="Travel_Rarely"/>
    <x v="1"/>
    <s v="Life Sciences"/>
    <x v="4"/>
    <n v="1344"/>
    <n v="9"/>
    <x v="2"/>
    <s v="Male"/>
    <n v="3"/>
    <x v="0"/>
    <x v="2"/>
    <n v="8500"/>
    <n v="5494"/>
    <n v="0"/>
    <x v="1"/>
    <n v="3"/>
    <n v="4"/>
    <n v="80"/>
    <n v="10"/>
    <x v="0"/>
    <x v="2"/>
    <n v="9"/>
    <x v="1"/>
    <n v="1"/>
    <n v="6"/>
  </r>
  <r>
    <n v="40"/>
    <x v="1"/>
    <x v="1"/>
    <s v="Travel_Rarely"/>
    <x v="1"/>
    <s v="Life Sciences"/>
    <x v="1"/>
    <n v="1346"/>
    <n v="2"/>
    <x v="1"/>
    <s v="Male"/>
    <n v="2"/>
    <x v="0"/>
    <x v="0"/>
    <n v="4661"/>
    <n v="22455"/>
    <n v="1"/>
    <x v="1"/>
    <n v="3"/>
    <n v="3"/>
    <n v="80"/>
    <n v="9"/>
    <x v="5"/>
    <x v="1"/>
    <n v="9"/>
    <x v="6"/>
    <n v="8"/>
    <n v="8"/>
  </r>
  <r>
    <n v="41"/>
    <x v="0"/>
    <x v="1"/>
    <s v="Travel_Frequently"/>
    <x v="0"/>
    <s v="Marketing"/>
    <x v="0"/>
    <n v="1349"/>
    <n v="1"/>
    <x v="1"/>
    <s v="Female"/>
    <n v="2"/>
    <x v="3"/>
    <x v="2"/>
    <n v="4103"/>
    <n v="4297"/>
    <n v="0"/>
    <x v="1"/>
    <n v="3"/>
    <n v="4"/>
    <n v="80"/>
    <n v="10"/>
    <x v="2"/>
    <x v="1"/>
    <n v="9"/>
    <x v="7"/>
    <n v="1"/>
    <n v="7"/>
  </r>
  <r>
    <n v="35"/>
    <x v="1"/>
    <x v="1"/>
    <s v="Travel_Frequently"/>
    <x v="1"/>
    <s v="Life Sciences"/>
    <x v="1"/>
    <n v="1350"/>
    <n v="4"/>
    <x v="1"/>
    <s v="Male"/>
    <n v="2"/>
    <x v="2"/>
    <x v="0"/>
    <n v="4249"/>
    <n v="2690"/>
    <n v="1"/>
    <x v="0"/>
    <n v="3"/>
    <n v="2"/>
    <n v="80"/>
    <n v="9"/>
    <x v="1"/>
    <x v="1"/>
    <n v="9"/>
    <x v="8"/>
    <n v="1"/>
    <n v="1"/>
  </r>
  <r>
    <n v="51"/>
    <x v="3"/>
    <x v="1"/>
    <s v="Travel_Rarely"/>
    <x v="2"/>
    <s v="Life Sciences"/>
    <x v="5"/>
    <n v="1352"/>
    <n v="5"/>
    <x v="1"/>
    <s v="Male"/>
    <n v="4"/>
    <x v="1"/>
    <x v="2"/>
    <n v="14026"/>
    <n v="17588"/>
    <n v="1"/>
    <x v="0"/>
    <n v="3"/>
    <n v="2"/>
    <n v="80"/>
    <n v="33"/>
    <x v="2"/>
    <x v="1"/>
    <n v="33"/>
    <x v="5"/>
    <n v="0"/>
    <n v="10"/>
  </r>
  <r>
    <n v="38"/>
    <x v="1"/>
    <x v="1"/>
    <s v="Travel_Rarely"/>
    <x v="0"/>
    <s v="Life Sciences"/>
    <x v="0"/>
    <n v="1355"/>
    <n v="2"/>
    <x v="0"/>
    <s v="Female"/>
    <n v="2"/>
    <x v="3"/>
    <x v="2"/>
    <n v="6893"/>
    <n v="19461"/>
    <n v="3"/>
    <x v="1"/>
    <n v="3"/>
    <n v="4"/>
    <n v="80"/>
    <n v="11"/>
    <x v="1"/>
    <x v="1"/>
    <n v="7"/>
    <x v="1"/>
    <n v="1"/>
    <n v="7"/>
  </r>
  <r>
    <n v="34"/>
    <x v="1"/>
    <x v="1"/>
    <s v="Travel_Rarely"/>
    <x v="0"/>
    <s v="Medical"/>
    <x v="0"/>
    <n v="1356"/>
    <n v="15"/>
    <x v="1"/>
    <s v="Female"/>
    <n v="2"/>
    <x v="3"/>
    <x v="0"/>
    <n v="6125"/>
    <n v="23553"/>
    <n v="1"/>
    <x v="1"/>
    <n v="3"/>
    <n v="4"/>
    <n v="80"/>
    <n v="10"/>
    <x v="6"/>
    <x v="3"/>
    <n v="10"/>
    <x v="6"/>
    <n v="9"/>
    <n v="6"/>
  </r>
  <r>
    <n v="25"/>
    <x v="2"/>
    <x v="1"/>
    <s v="Travel_Rarely"/>
    <x v="1"/>
    <s v="Medical"/>
    <x v="2"/>
    <n v="1358"/>
    <n v="19"/>
    <x v="2"/>
    <s v="Male"/>
    <n v="1"/>
    <x v="0"/>
    <x v="1"/>
    <n v="3669"/>
    <n v="9075"/>
    <n v="3"/>
    <x v="1"/>
    <n v="3"/>
    <n v="3"/>
    <n v="80"/>
    <n v="7"/>
    <x v="6"/>
    <x v="2"/>
    <n v="3"/>
    <x v="3"/>
    <n v="1"/>
    <n v="2"/>
  </r>
  <r>
    <n v="58"/>
    <x v="3"/>
    <x v="0"/>
    <s v="Travel_Rarely"/>
    <x v="1"/>
    <s v="Medical"/>
    <x v="3"/>
    <n v="1360"/>
    <n v="7"/>
    <x v="1"/>
    <s v="Female"/>
    <n v="3"/>
    <x v="3"/>
    <x v="1"/>
    <n v="10008"/>
    <n v="12023"/>
    <n v="7"/>
    <x v="0"/>
    <n v="3"/>
    <n v="4"/>
    <n v="80"/>
    <n v="31"/>
    <x v="0"/>
    <x v="2"/>
    <n v="10"/>
    <x v="5"/>
    <n v="5"/>
    <n v="9"/>
  </r>
  <r>
    <n v="40"/>
    <x v="1"/>
    <x v="1"/>
    <s v="Travel_Rarely"/>
    <x v="1"/>
    <s v="Life Sciences"/>
    <x v="2"/>
    <n v="1361"/>
    <n v="1"/>
    <x v="0"/>
    <s v="Male"/>
    <n v="1"/>
    <x v="1"/>
    <x v="1"/>
    <n v="2387"/>
    <n v="6762"/>
    <n v="3"/>
    <x v="1"/>
    <n v="4"/>
    <n v="3"/>
    <n v="80"/>
    <n v="7"/>
    <x v="1"/>
    <x v="1"/>
    <n v="4"/>
    <x v="3"/>
    <n v="0"/>
    <n v="3"/>
  </r>
  <r>
    <n v="36"/>
    <x v="1"/>
    <x v="1"/>
    <s v="Travel_Frequently"/>
    <x v="0"/>
    <s v="Marketing"/>
    <x v="0"/>
    <n v="1362"/>
    <n v="7"/>
    <x v="3"/>
    <s v="Female"/>
    <n v="2"/>
    <x v="3"/>
    <x v="1"/>
    <n v="4639"/>
    <n v="2261"/>
    <n v="2"/>
    <x v="1"/>
    <n v="3"/>
    <n v="4"/>
    <n v="80"/>
    <n v="17"/>
    <x v="2"/>
    <x v="2"/>
    <n v="15"/>
    <x v="1"/>
    <n v="6"/>
    <n v="13"/>
  </r>
  <r>
    <n v="48"/>
    <x v="0"/>
    <x v="1"/>
    <s v="Travel_Rarely"/>
    <x v="1"/>
    <s v="Life Sciences"/>
    <x v="3"/>
    <n v="1363"/>
    <n v="4"/>
    <x v="2"/>
    <s v="Male"/>
    <n v="3"/>
    <x v="0"/>
    <x v="0"/>
    <n v="7898"/>
    <n v="18706"/>
    <n v="1"/>
    <x v="1"/>
    <n v="3"/>
    <n v="3"/>
    <n v="80"/>
    <n v="11"/>
    <x v="2"/>
    <x v="1"/>
    <n v="10"/>
    <x v="5"/>
    <n v="0"/>
    <n v="8"/>
  </r>
  <r>
    <n v="27"/>
    <x v="2"/>
    <x v="1"/>
    <s v="Travel_Rarely"/>
    <x v="0"/>
    <s v="Medical"/>
    <x v="6"/>
    <n v="1364"/>
    <n v="11"/>
    <x v="1"/>
    <s v="Female"/>
    <n v="1"/>
    <x v="0"/>
    <x v="1"/>
    <n v="2534"/>
    <n v="6527"/>
    <n v="8"/>
    <x v="1"/>
    <n v="3"/>
    <n v="2"/>
    <n v="80"/>
    <n v="5"/>
    <x v="5"/>
    <x v="1"/>
    <n v="1"/>
    <x v="2"/>
    <n v="0"/>
    <n v="0"/>
  </r>
  <r>
    <n v="51"/>
    <x v="3"/>
    <x v="1"/>
    <s v="Travel_Rarely"/>
    <x v="1"/>
    <s v="Technical Degree"/>
    <x v="3"/>
    <n v="1367"/>
    <n v="11"/>
    <x v="2"/>
    <s v="Female"/>
    <n v="4"/>
    <x v="1"/>
    <x v="0"/>
    <n v="13142"/>
    <n v="24439"/>
    <n v="3"/>
    <x v="1"/>
    <n v="3"/>
    <n v="2"/>
    <n v="80"/>
    <n v="29"/>
    <x v="4"/>
    <x v="2"/>
    <n v="5"/>
    <x v="3"/>
    <n v="0"/>
    <n v="3"/>
  </r>
  <r>
    <n v="18"/>
    <x v="4"/>
    <x v="1"/>
    <s v="Non-Travel"/>
    <x v="1"/>
    <s v="Life Sciences"/>
    <x v="2"/>
    <n v="1368"/>
    <n v="1"/>
    <x v="2"/>
    <s v="Female"/>
    <n v="1"/>
    <x v="0"/>
    <x v="0"/>
    <n v="1611"/>
    <n v="19305"/>
    <n v="1"/>
    <x v="1"/>
    <n v="3"/>
    <n v="3"/>
    <n v="80"/>
    <n v="0"/>
    <x v="3"/>
    <x v="3"/>
    <n v="0"/>
    <x v="2"/>
    <n v="0"/>
    <n v="0"/>
  </r>
  <r>
    <n v="35"/>
    <x v="1"/>
    <x v="1"/>
    <s v="Travel_Rarely"/>
    <x v="1"/>
    <s v="Medical"/>
    <x v="2"/>
    <n v="1369"/>
    <n v="1"/>
    <x v="2"/>
    <s v="Female"/>
    <n v="2"/>
    <x v="0"/>
    <x v="1"/>
    <n v="5363"/>
    <n v="10846"/>
    <n v="0"/>
    <x v="1"/>
    <n v="3"/>
    <n v="2"/>
    <n v="80"/>
    <n v="10"/>
    <x v="0"/>
    <x v="1"/>
    <n v="9"/>
    <x v="1"/>
    <n v="0"/>
    <n v="0"/>
  </r>
  <r>
    <n v="27"/>
    <x v="2"/>
    <x v="1"/>
    <s v="Travel_Frequently"/>
    <x v="0"/>
    <s v="Life Sciences"/>
    <x v="0"/>
    <n v="1371"/>
    <n v="2"/>
    <x v="2"/>
    <s v="Male"/>
    <n v="2"/>
    <x v="0"/>
    <x v="0"/>
    <n v="5071"/>
    <n v="20392"/>
    <n v="3"/>
    <x v="1"/>
    <n v="4"/>
    <n v="2"/>
    <n v="80"/>
    <n v="8"/>
    <x v="1"/>
    <x v="1"/>
    <n v="6"/>
    <x v="3"/>
    <n v="0"/>
    <n v="0"/>
  </r>
  <r>
    <n v="55"/>
    <x v="3"/>
    <x v="0"/>
    <s v="Travel_Rarely"/>
    <x v="0"/>
    <s v="Marketing"/>
    <x v="0"/>
    <n v="1372"/>
    <n v="13"/>
    <x v="3"/>
    <s v="Male"/>
    <n v="4"/>
    <x v="2"/>
    <x v="0"/>
    <n v="13695"/>
    <n v="9277"/>
    <n v="6"/>
    <x v="0"/>
    <n v="3"/>
    <n v="3"/>
    <n v="80"/>
    <n v="24"/>
    <x v="2"/>
    <x v="2"/>
    <n v="19"/>
    <x v="1"/>
    <n v="3"/>
    <n v="8"/>
  </r>
  <r>
    <n v="56"/>
    <x v="3"/>
    <x v="1"/>
    <s v="Travel_Rarely"/>
    <x v="1"/>
    <s v="Life Sciences"/>
    <x v="3"/>
    <n v="1373"/>
    <n v="23"/>
    <x v="2"/>
    <s v="Male"/>
    <n v="4"/>
    <x v="1"/>
    <x v="1"/>
    <n v="13402"/>
    <n v="18235"/>
    <n v="4"/>
    <x v="0"/>
    <n v="3"/>
    <n v="1"/>
    <n v="80"/>
    <n v="33"/>
    <x v="0"/>
    <x v="1"/>
    <n v="19"/>
    <x v="13"/>
    <n v="15"/>
    <n v="9"/>
  </r>
  <r>
    <n v="34"/>
    <x v="1"/>
    <x v="1"/>
    <s v="Non-Travel"/>
    <x v="1"/>
    <s v="Technical Degree"/>
    <x v="1"/>
    <n v="1374"/>
    <n v="26"/>
    <x v="3"/>
    <s v="Female"/>
    <n v="1"/>
    <x v="2"/>
    <x v="2"/>
    <n v="2029"/>
    <n v="15891"/>
    <n v="1"/>
    <x v="1"/>
    <n v="4"/>
    <n v="3"/>
    <n v="80"/>
    <n v="5"/>
    <x v="2"/>
    <x v="1"/>
    <n v="5"/>
    <x v="0"/>
    <n v="0"/>
    <n v="0"/>
  </r>
  <r>
    <n v="40"/>
    <x v="1"/>
    <x v="1"/>
    <s v="Travel_Rarely"/>
    <x v="1"/>
    <s v="Medical"/>
    <x v="4"/>
    <n v="1375"/>
    <n v="2"/>
    <x v="0"/>
    <s v="Female"/>
    <n v="2"/>
    <x v="2"/>
    <x v="2"/>
    <n v="6377"/>
    <n v="13888"/>
    <n v="5"/>
    <x v="1"/>
    <n v="4"/>
    <n v="2"/>
    <n v="80"/>
    <n v="15"/>
    <x v="0"/>
    <x v="1"/>
    <n v="12"/>
    <x v="14"/>
    <n v="11"/>
    <n v="8"/>
  </r>
  <r>
    <n v="34"/>
    <x v="1"/>
    <x v="1"/>
    <s v="Travel_Rarely"/>
    <x v="1"/>
    <s v="Medical"/>
    <x v="2"/>
    <n v="1377"/>
    <n v="29"/>
    <x v="0"/>
    <s v="Male"/>
    <n v="2"/>
    <x v="2"/>
    <x v="1"/>
    <n v="5429"/>
    <n v="17491"/>
    <n v="4"/>
    <x v="1"/>
    <n v="3"/>
    <n v="1"/>
    <n v="80"/>
    <n v="10"/>
    <x v="4"/>
    <x v="1"/>
    <n v="8"/>
    <x v="1"/>
    <n v="7"/>
    <n v="7"/>
  </r>
  <r>
    <n v="31"/>
    <x v="1"/>
    <x v="0"/>
    <s v="Travel_Frequently"/>
    <x v="0"/>
    <s v="Life Sciences"/>
    <x v="6"/>
    <n v="1379"/>
    <n v="2"/>
    <x v="1"/>
    <s v="Female"/>
    <n v="1"/>
    <x v="0"/>
    <x v="0"/>
    <n v="2785"/>
    <n v="11882"/>
    <n v="7"/>
    <x v="1"/>
    <n v="3"/>
    <n v="3"/>
    <n v="80"/>
    <n v="3"/>
    <x v="1"/>
    <x v="3"/>
    <n v="1"/>
    <x v="2"/>
    <n v="0"/>
    <n v="0"/>
  </r>
  <r>
    <n v="35"/>
    <x v="1"/>
    <x v="0"/>
    <s v="Travel_Frequently"/>
    <x v="0"/>
    <s v="Marketing"/>
    <x v="0"/>
    <n v="1380"/>
    <n v="18"/>
    <x v="2"/>
    <s v="Female"/>
    <n v="2"/>
    <x v="2"/>
    <x v="1"/>
    <n v="4614"/>
    <n v="23288"/>
    <n v="0"/>
    <x v="0"/>
    <n v="3"/>
    <n v="3"/>
    <n v="80"/>
    <n v="5"/>
    <x v="0"/>
    <x v="2"/>
    <n v="4"/>
    <x v="3"/>
    <n v="3"/>
    <n v="2"/>
  </r>
  <r>
    <n v="38"/>
    <x v="1"/>
    <x v="1"/>
    <s v="Travel_Frequently"/>
    <x v="1"/>
    <s v="Life Sciences"/>
    <x v="1"/>
    <n v="1382"/>
    <n v="7"/>
    <x v="2"/>
    <s v="Male"/>
    <n v="1"/>
    <x v="2"/>
    <x v="2"/>
    <n v="2610"/>
    <n v="15748"/>
    <n v="1"/>
    <x v="1"/>
    <n v="3"/>
    <n v="4"/>
    <n v="80"/>
    <n v="4"/>
    <x v="2"/>
    <x v="1"/>
    <n v="4"/>
    <x v="3"/>
    <n v="0"/>
    <n v="3"/>
  </r>
  <r>
    <n v="34"/>
    <x v="1"/>
    <x v="1"/>
    <s v="Travel_Rarely"/>
    <x v="1"/>
    <s v="Technical Degree"/>
    <x v="4"/>
    <n v="1383"/>
    <n v="2"/>
    <x v="1"/>
    <s v="Female"/>
    <n v="2"/>
    <x v="0"/>
    <x v="0"/>
    <n v="6687"/>
    <n v="6163"/>
    <n v="1"/>
    <x v="1"/>
    <n v="3"/>
    <n v="4"/>
    <n v="80"/>
    <n v="14"/>
    <x v="2"/>
    <x v="3"/>
    <n v="14"/>
    <x v="14"/>
    <n v="4"/>
    <n v="11"/>
  </r>
  <r>
    <n v="28"/>
    <x v="2"/>
    <x v="1"/>
    <s v="Travel_Rarely"/>
    <x v="0"/>
    <s v="Life Sciences"/>
    <x v="0"/>
    <n v="1387"/>
    <n v="26"/>
    <x v="1"/>
    <s v="Male"/>
    <n v="2"/>
    <x v="3"/>
    <x v="1"/>
    <n v="4724"/>
    <n v="24232"/>
    <n v="1"/>
    <x v="1"/>
    <n v="3"/>
    <n v="3"/>
    <n v="80"/>
    <n v="5"/>
    <x v="0"/>
    <x v="1"/>
    <n v="5"/>
    <x v="7"/>
    <n v="0"/>
    <n v="4"/>
  </r>
  <r>
    <n v="31"/>
    <x v="1"/>
    <x v="0"/>
    <s v="Travel_Rarely"/>
    <x v="1"/>
    <s v="Medical"/>
    <x v="3"/>
    <n v="1389"/>
    <n v="22"/>
    <x v="2"/>
    <s v="Male"/>
    <n v="2"/>
    <x v="2"/>
    <x v="1"/>
    <n v="6179"/>
    <n v="21057"/>
    <n v="1"/>
    <x v="0"/>
    <n v="3"/>
    <n v="4"/>
    <n v="80"/>
    <n v="10"/>
    <x v="1"/>
    <x v="2"/>
    <n v="10"/>
    <x v="3"/>
    <n v="6"/>
    <n v="7"/>
  </r>
  <r>
    <n v="39"/>
    <x v="1"/>
    <x v="1"/>
    <s v="Travel_Rarely"/>
    <x v="0"/>
    <s v="Life Sciences"/>
    <x v="0"/>
    <n v="1390"/>
    <n v="21"/>
    <x v="3"/>
    <s v="Male"/>
    <n v="2"/>
    <x v="0"/>
    <x v="1"/>
    <n v="6120"/>
    <n v="3567"/>
    <n v="3"/>
    <x v="0"/>
    <n v="3"/>
    <n v="4"/>
    <n v="80"/>
    <n v="8"/>
    <x v="2"/>
    <x v="3"/>
    <n v="5"/>
    <x v="0"/>
    <n v="1"/>
    <n v="4"/>
  </r>
  <r>
    <n v="51"/>
    <x v="3"/>
    <x v="1"/>
    <s v="Travel_Frequently"/>
    <x v="0"/>
    <s v="Marketing"/>
    <x v="0"/>
    <n v="1391"/>
    <n v="2"/>
    <x v="0"/>
    <s v="Male"/>
    <n v="3"/>
    <x v="1"/>
    <x v="1"/>
    <n v="10596"/>
    <n v="15395"/>
    <n v="2"/>
    <x v="1"/>
    <n v="3"/>
    <n v="2"/>
    <n v="80"/>
    <n v="14"/>
    <x v="3"/>
    <x v="1"/>
    <n v="4"/>
    <x v="3"/>
    <n v="3"/>
    <n v="2"/>
  </r>
  <r>
    <n v="41"/>
    <x v="0"/>
    <x v="1"/>
    <s v="Travel_Frequently"/>
    <x v="1"/>
    <s v="Life Sciences"/>
    <x v="1"/>
    <n v="1392"/>
    <n v="22"/>
    <x v="2"/>
    <s v="Female"/>
    <n v="2"/>
    <x v="0"/>
    <x v="2"/>
    <n v="5467"/>
    <n v="13953"/>
    <n v="3"/>
    <x v="0"/>
    <n v="3"/>
    <n v="1"/>
    <n v="80"/>
    <n v="12"/>
    <x v="5"/>
    <x v="2"/>
    <n v="6"/>
    <x v="3"/>
    <n v="3"/>
    <n v="3"/>
  </r>
  <r>
    <n v="37"/>
    <x v="1"/>
    <x v="1"/>
    <s v="Travel_Rarely"/>
    <x v="1"/>
    <s v="Life Sciences"/>
    <x v="1"/>
    <n v="1394"/>
    <n v="4"/>
    <x v="1"/>
    <s v="Male"/>
    <n v="1"/>
    <x v="2"/>
    <x v="1"/>
    <n v="2996"/>
    <n v="5182"/>
    <n v="7"/>
    <x v="0"/>
    <n v="3"/>
    <n v="4"/>
    <n v="80"/>
    <n v="8"/>
    <x v="2"/>
    <x v="1"/>
    <n v="6"/>
    <x v="0"/>
    <n v="1"/>
    <n v="3"/>
  </r>
  <r>
    <n v="33"/>
    <x v="1"/>
    <x v="1"/>
    <s v="Travel_Frequently"/>
    <x v="0"/>
    <s v="Life Sciences"/>
    <x v="0"/>
    <n v="1395"/>
    <n v="5"/>
    <x v="0"/>
    <s v="Male"/>
    <n v="2"/>
    <x v="0"/>
    <x v="1"/>
    <n v="9998"/>
    <n v="19293"/>
    <n v="6"/>
    <x v="1"/>
    <n v="3"/>
    <n v="1"/>
    <n v="80"/>
    <n v="8"/>
    <x v="2"/>
    <x v="3"/>
    <n v="5"/>
    <x v="0"/>
    <n v="1"/>
    <n v="2"/>
  </r>
  <r>
    <n v="32"/>
    <x v="1"/>
    <x v="1"/>
    <s v="Travel_Rarely"/>
    <x v="0"/>
    <s v="Marketing"/>
    <x v="0"/>
    <n v="1396"/>
    <n v="2"/>
    <x v="1"/>
    <s v="Male"/>
    <n v="2"/>
    <x v="1"/>
    <x v="1"/>
    <n v="4078"/>
    <n v="20497"/>
    <n v="0"/>
    <x v="0"/>
    <n v="3"/>
    <n v="1"/>
    <n v="80"/>
    <n v="4"/>
    <x v="1"/>
    <x v="2"/>
    <n v="3"/>
    <x v="3"/>
    <n v="1"/>
    <n v="2"/>
  </r>
  <r>
    <n v="39"/>
    <x v="1"/>
    <x v="1"/>
    <s v="Non-Travel"/>
    <x v="1"/>
    <s v="Life Sciences"/>
    <x v="4"/>
    <n v="1397"/>
    <n v="25"/>
    <x v="1"/>
    <s v="Male"/>
    <n v="3"/>
    <x v="2"/>
    <x v="1"/>
    <n v="10920"/>
    <n v="3449"/>
    <n v="3"/>
    <x v="1"/>
    <n v="4"/>
    <n v="2"/>
    <n v="80"/>
    <n v="13"/>
    <x v="2"/>
    <x v="1"/>
    <n v="6"/>
    <x v="0"/>
    <n v="0"/>
    <n v="5"/>
  </r>
  <r>
    <n v="25"/>
    <x v="2"/>
    <x v="1"/>
    <s v="Travel_Rarely"/>
    <x v="0"/>
    <s v="Life Sciences"/>
    <x v="0"/>
    <n v="1399"/>
    <n v="18"/>
    <x v="3"/>
    <s v="Male"/>
    <n v="2"/>
    <x v="2"/>
    <x v="1"/>
    <n v="6232"/>
    <n v="12477"/>
    <n v="2"/>
    <x v="1"/>
    <n v="3"/>
    <n v="2"/>
    <n v="80"/>
    <n v="6"/>
    <x v="1"/>
    <x v="2"/>
    <n v="3"/>
    <x v="3"/>
    <n v="1"/>
    <n v="2"/>
  </r>
  <r>
    <n v="52"/>
    <x v="3"/>
    <x v="1"/>
    <s v="Travel_Frequently"/>
    <x v="1"/>
    <s v="Medical"/>
    <x v="3"/>
    <n v="1401"/>
    <n v="28"/>
    <x v="2"/>
    <s v="Female"/>
    <n v="4"/>
    <x v="2"/>
    <x v="1"/>
    <n v="13247"/>
    <n v="9731"/>
    <n v="2"/>
    <x v="0"/>
    <n v="3"/>
    <n v="2"/>
    <n v="80"/>
    <n v="24"/>
    <x v="1"/>
    <x v="2"/>
    <n v="5"/>
    <x v="7"/>
    <n v="0"/>
    <n v="2"/>
  </r>
  <r>
    <n v="43"/>
    <x v="0"/>
    <x v="1"/>
    <s v="Travel_Rarely"/>
    <x v="1"/>
    <s v="Medical"/>
    <x v="1"/>
    <n v="1402"/>
    <n v="6"/>
    <x v="3"/>
    <s v="Female"/>
    <n v="2"/>
    <x v="2"/>
    <x v="0"/>
    <n v="4081"/>
    <n v="20003"/>
    <n v="1"/>
    <x v="0"/>
    <n v="3"/>
    <n v="1"/>
    <n v="80"/>
    <n v="20"/>
    <x v="1"/>
    <x v="0"/>
    <n v="20"/>
    <x v="1"/>
    <n v="1"/>
    <n v="8"/>
  </r>
  <r>
    <n v="27"/>
    <x v="2"/>
    <x v="1"/>
    <s v="Travel_Rarely"/>
    <x v="0"/>
    <s v="Marketing"/>
    <x v="0"/>
    <n v="1403"/>
    <n v="10"/>
    <x v="2"/>
    <s v="Female"/>
    <n v="2"/>
    <x v="0"/>
    <x v="1"/>
    <n v="5769"/>
    <n v="7100"/>
    <n v="1"/>
    <x v="0"/>
    <n v="3"/>
    <n v="4"/>
    <n v="80"/>
    <n v="6"/>
    <x v="1"/>
    <x v="1"/>
    <n v="6"/>
    <x v="3"/>
    <n v="4"/>
    <n v="4"/>
  </r>
  <r>
    <n v="27"/>
    <x v="2"/>
    <x v="0"/>
    <s v="Travel_Rarely"/>
    <x v="1"/>
    <s v="Life Sciences"/>
    <x v="1"/>
    <n v="1405"/>
    <n v="17"/>
    <x v="2"/>
    <s v="Female"/>
    <n v="1"/>
    <x v="2"/>
    <x v="0"/>
    <n v="2394"/>
    <n v="25681"/>
    <n v="1"/>
    <x v="0"/>
    <n v="3"/>
    <n v="4"/>
    <n v="80"/>
    <n v="8"/>
    <x v="2"/>
    <x v="1"/>
    <n v="8"/>
    <x v="3"/>
    <n v="7"/>
    <n v="7"/>
  </r>
  <r>
    <n v="26"/>
    <x v="2"/>
    <x v="1"/>
    <s v="Travel_Rarely"/>
    <x v="1"/>
    <s v="Medical"/>
    <x v="1"/>
    <n v="1407"/>
    <n v="2"/>
    <x v="3"/>
    <s v="Male"/>
    <n v="1"/>
    <x v="0"/>
    <x v="0"/>
    <n v="3904"/>
    <n v="4050"/>
    <n v="0"/>
    <x v="1"/>
    <n v="3"/>
    <n v="4"/>
    <n v="80"/>
    <n v="5"/>
    <x v="2"/>
    <x v="1"/>
    <n v="4"/>
    <x v="7"/>
    <n v="1"/>
    <n v="1"/>
  </r>
  <r>
    <n v="42"/>
    <x v="0"/>
    <x v="1"/>
    <s v="Travel_Rarely"/>
    <x v="2"/>
    <s v="Human Resources"/>
    <x v="5"/>
    <n v="1408"/>
    <n v="10"/>
    <x v="1"/>
    <s v="Female"/>
    <n v="4"/>
    <x v="3"/>
    <x v="1"/>
    <n v="16799"/>
    <n v="16616"/>
    <n v="0"/>
    <x v="1"/>
    <n v="3"/>
    <n v="3"/>
    <n v="80"/>
    <n v="21"/>
    <x v="3"/>
    <x v="1"/>
    <n v="20"/>
    <x v="1"/>
    <n v="0"/>
    <n v="9"/>
  </r>
  <r>
    <n v="52"/>
    <x v="3"/>
    <x v="1"/>
    <s v="Travel_Rarely"/>
    <x v="1"/>
    <s v="Other"/>
    <x v="2"/>
    <n v="1409"/>
    <n v="8"/>
    <x v="1"/>
    <s v="Female"/>
    <n v="1"/>
    <x v="3"/>
    <x v="1"/>
    <n v="2950"/>
    <n v="17363"/>
    <n v="9"/>
    <x v="1"/>
    <n v="3"/>
    <n v="3"/>
    <n v="80"/>
    <n v="12"/>
    <x v="2"/>
    <x v="0"/>
    <n v="5"/>
    <x v="0"/>
    <n v="0"/>
    <n v="4"/>
  </r>
  <r>
    <n v="37"/>
    <x v="1"/>
    <x v="1"/>
    <s v="Travel_Rarely"/>
    <x v="1"/>
    <s v="Medical"/>
    <x v="2"/>
    <n v="1411"/>
    <n v="11"/>
    <x v="3"/>
    <s v="Female"/>
    <n v="1"/>
    <x v="2"/>
    <x v="0"/>
    <n v="3629"/>
    <n v="19106"/>
    <n v="4"/>
    <x v="1"/>
    <n v="3"/>
    <n v="1"/>
    <n v="80"/>
    <n v="8"/>
    <x v="6"/>
    <x v="1"/>
    <n v="3"/>
    <x v="3"/>
    <n v="0"/>
    <n v="2"/>
  </r>
  <r>
    <n v="35"/>
    <x v="1"/>
    <x v="1"/>
    <s v="Travel_Frequently"/>
    <x v="1"/>
    <s v="Life Sciences"/>
    <x v="3"/>
    <n v="1412"/>
    <n v="18"/>
    <x v="1"/>
    <s v="Male"/>
    <n v="3"/>
    <x v="0"/>
    <x v="0"/>
    <n v="9362"/>
    <n v="19944"/>
    <n v="2"/>
    <x v="1"/>
    <n v="3"/>
    <n v="3"/>
    <n v="80"/>
    <n v="10"/>
    <x v="2"/>
    <x v="1"/>
    <n v="2"/>
    <x v="3"/>
    <n v="2"/>
    <n v="2"/>
  </r>
  <r>
    <n v="25"/>
    <x v="2"/>
    <x v="1"/>
    <s v="Travel_Rarely"/>
    <x v="1"/>
    <s v="Technical Degree"/>
    <x v="2"/>
    <n v="1415"/>
    <n v="1"/>
    <x v="3"/>
    <s v="Male"/>
    <n v="1"/>
    <x v="0"/>
    <x v="1"/>
    <n v="3229"/>
    <n v="4910"/>
    <n v="4"/>
    <x v="1"/>
    <n v="3"/>
    <n v="2"/>
    <n v="80"/>
    <n v="7"/>
    <x v="2"/>
    <x v="2"/>
    <n v="3"/>
    <x v="3"/>
    <n v="0"/>
    <n v="2"/>
  </r>
  <r>
    <n v="26"/>
    <x v="2"/>
    <x v="1"/>
    <s v="Travel_Rarely"/>
    <x v="1"/>
    <s v="Other"/>
    <x v="2"/>
    <n v="1417"/>
    <n v="7"/>
    <x v="1"/>
    <s v="Male"/>
    <n v="1"/>
    <x v="3"/>
    <x v="0"/>
    <n v="3578"/>
    <n v="23577"/>
    <n v="0"/>
    <x v="1"/>
    <n v="3"/>
    <n v="4"/>
    <n v="80"/>
    <n v="8"/>
    <x v="2"/>
    <x v="1"/>
    <n v="7"/>
    <x v="1"/>
    <n v="0"/>
    <n v="7"/>
  </r>
  <r>
    <n v="29"/>
    <x v="2"/>
    <x v="1"/>
    <s v="Travel_Rarely"/>
    <x v="2"/>
    <s v="Other"/>
    <x v="8"/>
    <n v="1419"/>
    <n v="17"/>
    <x v="0"/>
    <s v="Male"/>
    <n v="3"/>
    <x v="3"/>
    <x v="0"/>
    <n v="7988"/>
    <n v="9769"/>
    <n v="1"/>
    <x v="1"/>
    <n v="3"/>
    <n v="1"/>
    <n v="80"/>
    <n v="10"/>
    <x v="1"/>
    <x v="2"/>
    <n v="10"/>
    <x v="5"/>
    <n v="0"/>
    <n v="9"/>
  </r>
  <r>
    <n v="49"/>
    <x v="0"/>
    <x v="0"/>
    <s v="Travel_Frequently"/>
    <x v="1"/>
    <s v="Life Sciences"/>
    <x v="2"/>
    <n v="1420"/>
    <n v="28"/>
    <x v="3"/>
    <s v="Male"/>
    <n v="2"/>
    <x v="3"/>
    <x v="0"/>
    <n v="4284"/>
    <n v="22710"/>
    <n v="3"/>
    <x v="1"/>
    <n v="4"/>
    <n v="1"/>
    <n v="80"/>
    <n v="20"/>
    <x v="2"/>
    <x v="1"/>
    <n v="4"/>
    <x v="7"/>
    <n v="1"/>
    <n v="3"/>
  </r>
  <r>
    <n v="29"/>
    <x v="2"/>
    <x v="0"/>
    <s v="Travel_Frequently"/>
    <x v="1"/>
    <s v="Other"/>
    <x v="4"/>
    <n v="1421"/>
    <n v="14"/>
    <x v="1"/>
    <s v="Female"/>
    <n v="3"/>
    <x v="0"/>
    <x v="0"/>
    <n v="7553"/>
    <n v="22930"/>
    <n v="0"/>
    <x v="0"/>
    <n v="3"/>
    <n v="1"/>
    <n v="80"/>
    <n v="9"/>
    <x v="4"/>
    <x v="1"/>
    <n v="8"/>
    <x v="1"/>
    <n v="7"/>
    <n v="7"/>
  </r>
  <r>
    <n v="54"/>
    <x v="3"/>
    <x v="1"/>
    <s v="Travel_Rarely"/>
    <x v="1"/>
    <s v="Medical"/>
    <x v="7"/>
    <n v="1422"/>
    <n v="1"/>
    <x v="2"/>
    <s v="Female"/>
    <n v="4"/>
    <x v="0"/>
    <x v="0"/>
    <n v="17328"/>
    <n v="5652"/>
    <n v="6"/>
    <x v="1"/>
    <n v="3"/>
    <n v="4"/>
    <n v="80"/>
    <n v="29"/>
    <x v="1"/>
    <x v="2"/>
    <n v="20"/>
    <x v="1"/>
    <n v="12"/>
    <n v="7"/>
  </r>
  <r>
    <n v="58"/>
    <x v="3"/>
    <x v="1"/>
    <s v="Travel_Rarely"/>
    <x v="1"/>
    <s v="Medical"/>
    <x v="7"/>
    <n v="1423"/>
    <n v="1"/>
    <x v="2"/>
    <s v="Female"/>
    <n v="5"/>
    <x v="3"/>
    <x v="1"/>
    <n v="19701"/>
    <n v="22456"/>
    <n v="3"/>
    <x v="0"/>
    <n v="4"/>
    <n v="3"/>
    <n v="80"/>
    <n v="32"/>
    <x v="1"/>
    <x v="1"/>
    <n v="9"/>
    <x v="6"/>
    <n v="1"/>
    <n v="5"/>
  </r>
  <r>
    <n v="55"/>
    <x v="3"/>
    <x v="1"/>
    <s v="Travel_Rarely"/>
    <x v="1"/>
    <s v="Medical"/>
    <x v="7"/>
    <n v="1424"/>
    <n v="1"/>
    <x v="0"/>
    <s v="Male"/>
    <n v="4"/>
    <x v="0"/>
    <x v="2"/>
    <n v="14732"/>
    <n v="12414"/>
    <n v="2"/>
    <x v="1"/>
    <n v="3"/>
    <n v="4"/>
    <n v="80"/>
    <n v="31"/>
    <x v="5"/>
    <x v="3"/>
    <n v="7"/>
    <x v="1"/>
    <n v="0"/>
    <n v="0"/>
  </r>
  <r>
    <n v="36"/>
    <x v="1"/>
    <x v="1"/>
    <s v="Travel_Rarely"/>
    <x v="0"/>
    <s v="Marketing"/>
    <x v="0"/>
    <n v="1425"/>
    <n v="3"/>
    <x v="3"/>
    <s v="Female"/>
    <n v="2"/>
    <x v="1"/>
    <x v="0"/>
    <n v="9278"/>
    <n v="20763"/>
    <n v="3"/>
    <x v="0"/>
    <n v="3"/>
    <n v="4"/>
    <n v="80"/>
    <n v="15"/>
    <x v="1"/>
    <x v="1"/>
    <n v="5"/>
    <x v="0"/>
    <n v="0"/>
    <n v="1"/>
  </r>
  <r>
    <n v="31"/>
    <x v="1"/>
    <x v="0"/>
    <s v="Travel_Frequently"/>
    <x v="0"/>
    <s v="Life Sciences"/>
    <x v="6"/>
    <n v="1427"/>
    <n v="1"/>
    <x v="0"/>
    <s v="Female"/>
    <n v="1"/>
    <x v="2"/>
    <x v="0"/>
    <n v="1359"/>
    <n v="16154"/>
    <n v="1"/>
    <x v="1"/>
    <n v="3"/>
    <n v="2"/>
    <n v="80"/>
    <n v="1"/>
    <x v="1"/>
    <x v="1"/>
    <n v="1"/>
    <x v="2"/>
    <n v="0"/>
    <n v="0"/>
  </r>
  <r>
    <n v="30"/>
    <x v="2"/>
    <x v="1"/>
    <s v="Travel_Rarely"/>
    <x v="0"/>
    <s v="Marketing"/>
    <x v="0"/>
    <n v="1428"/>
    <n v="7"/>
    <x v="2"/>
    <s v="Female"/>
    <n v="2"/>
    <x v="3"/>
    <x v="2"/>
    <n v="4779"/>
    <n v="12761"/>
    <n v="7"/>
    <x v="1"/>
    <n v="3"/>
    <n v="2"/>
    <n v="80"/>
    <n v="8"/>
    <x v="1"/>
    <x v="1"/>
    <n v="3"/>
    <x v="3"/>
    <n v="0"/>
    <n v="2"/>
  </r>
  <r>
    <n v="31"/>
    <x v="1"/>
    <x v="1"/>
    <s v="Travel_Rarely"/>
    <x v="1"/>
    <s v="Life Sciences"/>
    <x v="7"/>
    <n v="1430"/>
    <n v="8"/>
    <x v="3"/>
    <s v="Female"/>
    <n v="4"/>
    <x v="1"/>
    <x v="0"/>
    <n v="16422"/>
    <n v="8847"/>
    <n v="3"/>
    <x v="1"/>
    <n v="3"/>
    <n v="3"/>
    <n v="80"/>
    <n v="9"/>
    <x v="1"/>
    <x v="3"/>
    <n v="3"/>
    <x v="3"/>
    <n v="1"/>
    <n v="0"/>
  </r>
  <r>
    <n v="34"/>
    <x v="1"/>
    <x v="1"/>
    <s v="Travel_Frequently"/>
    <x v="1"/>
    <s v="Other"/>
    <x v="1"/>
    <n v="1431"/>
    <n v="1"/>
    <x v="2"/>
    <s v="Male"/>
    <n v="1"/>
    <x v="3"/>
    <x v="2"/>
    <n v="2996"/>
    <n v="20284"/>
    <n v="5"/>
    <x v="1"/>
    <n v="3"/>
    <n v="3"/>
    <n v="80"/>
    <n v="10"/>
    <x v="2"/>
    <x v="1"/>
    <n v="4"/>
    <x v="7"/>
    <n v="1"/>
    <n v="3"/>
  </r>
  <r>
    <n v="31"/>
    <x v="1"/>
    <x v="0"/>
    <s v="Travel_Rarely"/>
    <x v="1"/>
    <s v="Life Sciences"/>
    <x v="1"/>
    <n v="1433"/>
    <n v="8"/>
    <x v="3"/>
    <s v="Female"/>
    <n v="1"/>
    <x v="1"/>
    <x v="0"/>
    <n v="1261"/>
    <n v="22262"/>
    <n v="1"/>
    <x v="1"/>
    <n v="3"/>
    <n v="3"/>
    <n v="80"/>
    <n v="1"/>
    <x v="1"/>
    <x v="3"/>
    <n v="1"/>
    <x v="2"/>
    <n v="0"/>
    <n v="0"/>
  </r>
  <r>
    <n v="27"/>
    <x v="2"/>
    <x v="1"/>
    <s v="Travel_Rarely"/>
    <x v="1"/>
    <s v="Life Sciences"/>
    <x v="2"/>
    <n v="1434"/>
    <n v="11"/>
    <x v="0"/>
    <s v="Male"/>
    <n v="1"/>
    <x v="3"/>
    <x v="1"/>
    <n v="2099"/>
    <n v="7679"/>
    <n v="0"/>
    <x v="1"/>
    <n v="3"/>
    <n v="2"/>
    <n v="80"/>
    <n v="6"/>
    <x v="1"/>
    <x v="3"/>
    <n v="5"/>
    <x v="2"/>
    <n v="1"/>
    <n v="4"/>
  </r>
  <r>
    <n v="36"/>
    <x v="1"/>
    <x v="1"/>
    <s v="Travel_Rarely"/>
    <x v="1"/>
    <s v="Life Sciences"/>
    <x v="2"/>
    <n v="1435"/>
    <n v="4"/>
    <x v="3"/>
    <s v="Male"/>
    <n v="2"/>
    <x v="0"/>
    <x v="0"/>
    <n v="5810"/>
    <n v="22604"/>
    <n v="1"/>
    <x v="1"/>
    <n v="3"/>
    <n v="3"/>
    <n v="80"/>
    <n v="10"/>
    <x v="2"/>
    <x v="2"/>
    <n v="10"/>
    <x v="0"/>
    <n v="1"/>
    <n v="8"/>
  </r>
  <r>
    <n v="36"/>
    <x v="1"/>
    <x v="1"/>
    <s v="Travel_Rarely"/>
    <x v="0"/>
    <s v="Marketing"/>
    <x v="0"/>
    <n v="1436"/>
    <n v="16"/>
    <x v="1"/>
    <s v="Female"/>
    <n v="2"/>
    <x v="3"/>
    <x v="1"/>
    <n v="5647"/>
    <n v="13494"/>
    <n v="4"/>
    <x v="1"/>
    <n v="3"/>
    <n v="1"/>
    <n v="80"/>
    <n v="11"/>
    <x v="1"/>
    <x v="2"/>
    <n v="3"/>
    <x v="3"/>
    <n v="0"/>
    <n v="2"/>
  </r>
  <r>
    <n v="47"/>
    <x v="0"/>
    <x v="1"/>
    <s v="Travel_Rarely"/>
    <x v="1"/>
    <s v="Technical Degree"/>
    <x v="1"/>
    <n v="1438"/>
    <n v="1"/>
    <x v="3"/>
    <s v="Male"/>
    <n v="1"/>
    <x v="0"/>
    <x v="1"/>
    <n v="3420"/>
    <n v="10205"/>
    <n v="7"/>
    <x v="1"/>
    <n v="3"/>
    <n v="3"/>
    <n v="80"/>
    <n v="17"/>
    <x v="2"/>
    <x v="2"/>
    <n v="6"/>
    <x v="4"/>
    <n v="1"/>
    <n v="2"/>
  </r>
  <r>
    <n v="25"/>
    <x v="2"/>
    <x v="0"/>
    <s v="Travel_Rarely"/>
    <x v="0"/>
    <s v="Life Sciences"/>
    <x v="6"/>
    <n v="1439"/>
    <n v="9"/>
    <x v="3"/>
    <s v="Male"/>
    <n v="1"/>
    <x v="3"/>
    <x v="1"/>
    <n v="4400"/>
    <n v="15182"/>
    <n v="3"/>
    <x v="1"/>
    <n v="3"/>
    <n v="1"/>
    <n v="80"/>
    <n v="6"/>
    <x v="2"/>
    <x v="1"/>
    <n v="3"/>
    <x v="3"/>
    <n v="2"/>
    <n v="2"/>
  </r>
  <r>
    <n v="37"/>
    <x v="1"/>
    <x v="1"/>
    <s v="Non-Travel"/>
    <x v="1"/>
    <s v="Technical Degree"/>
    <x v="2"/>
    <n v="1440"/>
    <n v="5"/>
    <x v="1"/>
    <s v="Male"/>
    <n v="1"/>
    <x v="2"/>
    <x v="0"/>
    <n v="3500"/>
    <n v="25470"/>
    <n v="0"/>
    <x v="1"/>
    <n v="3"/>
    <n v="1"/>
    <n v="80"/>
    <n v="7"/>
    <x v="2"/>
    <x v="0"/>
    <n v="6"/>
    <x v="4"/>
    <n v="1"/>
    <n v="3"/>
  </r>
  <r>
    <n v="56"/>
    <x v="3"/>
    <x v="1"/>
    <s v="Travel_Rarely"/>
    <x v="1"/>
    <s v="Life Sciences"/>
    <x v="1"/>
    <n v="1441"/>
    <n v="1"/>
    <x v="3"/>
    <s v="Female"/>
    <n v="1"/>
    <x v="3"/>
    <x v="1"/>
    <n v="2066"/>
    <n v="10494"/>
    <n v="2"/>
    <x v="1"/>
    <n v="4"/>
    <n v="4"/>
    <n v="80"/>
    <n v="5"/>
    <x v="1"/>
    <x v="3"/>
    <n v="3"/>
    <x v="3"/>
    <n v="1"/>
    <n v="0"/>
  </r>
  <r>
    <n v="47"/>
    <x v="0"/>
    <x v="1"/>
    <s v="Travel_Rarely"/>
    <x v="1"/>
    <s v="Medical"/>
    <x v="7"/>
    <n v="1443"/>
    <n v="2"/>
    <x v="3"/>
    <s v="Female"/>
    <n v="4"/>
    <x v="2"/>
    <x v="1"/>
    <n v="17169"/>
    <n v="26703"/>
    <n v="3"/>
    <x v="1"/>
    <n v="3"/>
    <n v="2"/>
    <n v="80"/>
    <n v="26"/>
    <x v="2"/>
    <x v="3"/>
    <n v="20"/>
    <x v="18"/>
    <n v="5"/>
    <n v="6"/>
  </r>
  <r>
    <n v="24"/>
    <x v="2"/>
    <x v="1"/>
    <s v="Travel_Rarely"/>
    <x v="0"/>
    <s v="Medical"/>
    <x v="0"/>
    <n v="1445"/>
    <n v="4"/>
    <x v="2"/>
    <s v="Female"/>
    <n v="2"/>
    <x v="2"/>
    <x v="1"/>
    <n v="4162"/>
    <n v="15211"/>
    <n v="1"/>
    <x v="0"/>
    <n v="3"/>
    <n v="3"/>
    <n v="80"/>
    <n v="5"/>
    <x v="1"/>
    <x v="1"/>
    <n v="5"/>
    <x v="0"/>
    <n v="0"/>
    <n v="3"/>
  </r>
  <r>
    <n v="32"/>
    <x v="1"/>
    <x v="1"/>
    <s v="Travel_Rarely"/>
    <x v="0"/>
    <s v="Marketing"/>
    <x v="0"/>
    <n v="1446"/>
    <n v="7"/>
    <x v="2"/>
    <s v="Male"/>
    <n v="2"/>
    <x v="0"/>
    <x v="1"/>
    <n v="9204"/>
    <n v="23343"/>
    <n v="4"/>
    <x v="1"/>
    <n v="3"/>
    <n v="3"/>
    <n v="80"/>
    <n v="7"/>
    <x v="1"/>
    <x v="2"/>
    <n v="4"/>
    <x v="7"/>
    <n v="0"/>
    <n v="3"/>
  </r>
  <r>
    <n v="34"/>
    <x v="1"/>
    <x v="1"/>
    <s v="Travel_Rarely"/>
    <x v="1"/>
    <s v="Life Sciences"/>
    <x v="2"/>
    <n v="1447"/>
    <n v="1"/>
    <x v="2"/>
    <s v="Female"/>
    <n v="1"/>
    <x v="1"/>
    <x v="1"/>
    <n v="3294"/>
    <n v="3708"/>
    <n v="5"/>
    <x v="1"/>
    <n v="3"/>
    <n v="1"/>
    <n v="80"/>
    <n v="7"/>
    <x v="2"/>
    <x v="2"/>
    <n v="5"/>
    <x v="0"/>
    <n v="0"/>
    <n v="2"/>
  </r>
  <r>
    <n v="41"/>
    <x v="0"/>
    <x v="1"/>
    <s v="Travel_Rarely"/>
    <x v="1"/>
    <s v="Medical"/>
    <x v="1"/>
    <n v="1448"/>
    <n v="5"/>
    <x v="0"/>
    <s v="Male"/>
    <n v="1"/>
    <x v="2"/>
    <x v="1"/>
    <n v="2127"/>
    <n v="5561"/>
    <n v="2"/>
    <x v="0"/>
    <n v="3"/>
    <n v="1"/>
    <n v="80"/>
    <n v="7"/>
    <x v="3"/>
    <x v="2"/>
    <n v="4"/>
    <x v="3"/>
    <n v="0"/>
    <n v="3"/>
  </r>
  <r>
    <n v="40"/>
    <x v="1"/>
    <x v="1"/>
    <s v="Non-Travel"/>
    <x v="1"/>
    <s v="Other"/>
    <x v="2"/>
    <n v="1449"/>
    <n v="9"/>
    <x v="1"/>
    <s v="Male"/>
    <n v="2"/>
    <x v="2"/>
    <x v="2"/>
    <n v="3975"/>
    <n v="23099"/>
    <n v="3"/>
    <x v="1"/>
    <n v="3"/>
    <n v="3"/>
    <n v="80"/>
    <n v="11"/>
    <x v="2"/>
    <x v="3"/>
    <n v="8"/>
    <x v="1"/>
    <n v="0"/>
    <n v="7"/>
  </r>
  <r>
    <n v="31"/>
    <x v="1"/>
    <x v="1"/>
    <s v="Travel_Rarely"/>
    <x v="0"/>
    <s v="Life Sciences"/>
    <x v="0"/>
    <n v="1453"/>
    <n v="8"/>
    <x v="3"/>
    <s v="Male"/>
    <n v="3"/>
    <x v="0"/>
    <x v="2"/>
    <n v="10793"/>
    <n v="8386"/>
    <n v="1"/>
    <x v="1"/>
    <n v="3"/>
    <n v="1"/>
    <n v="80"/>
    <n v="13"/>
    <x v="3"/>
    <x v="1"/>
    <n v="13"/>
    <x v="1"/>
    <n v="9"/>
    <n v="9"/>
  </r>
  <r>
    <n v="46"/>
    <x v="0"/>
    <x v="0"/>
    <s v="Travel_Rarely"/>
    <x v="0"/>
    <s v="Marketing"/>
    <x v="0"/>
    <n v="1457"/>
    <n v="9"/>
    <x v="3"/>
    <s v="Male"/>
    <n v="3"/>
    <x v="0"/>
    <x v="2"/>
    <n v="10096"/>
    <n v="15986"/>
    <n v="4"/>
    <x v="1"/>
    <n v="3"/>
    <n v="1"/>
    <n v="80"/>
    <n v="28"/>
    <x v="4"/>
    <x v="3"/>
    <n v="7"/>
    <x v="1"/>
    <n v="4"/>
    <n v="3"/>
  </r>
  <r>
    <n v="39"/>
    <x v="1"/>
    <x v="0"/>
    <s v="Non-Travel"/>
    <x v="1"/>
    <s v="Life Sciences"/>
    <x v="2"/>
    <n v="1458"/>
    <n v="2"/>
    <x v="3"/>
    <s v="Female"/>
    <n v="1"/>
    <x v="3"/>
    <x v="0"/>
    <n v="3646"/>
    <n v="17181"/>
    <n v="2"/>
    <x v="0"/>
    <n v="4"/>
    <n v="2"/>
    <n v="80"/>
    <n v="11"/>
    <x v="2"/>
    <x v="3"/>
    <n v="1"/>
    <x v="2"/>
    <n v="0"/>
    <n v="0"/>
  </r>
  <r>
    <n v="31"/>
    <x v="1"/>
    <x v="0"/>
    <s v="Travel_Frequently"/>
    <x v="1"/>
    <s v="Life Sciences"/>
    <x v="3"/>
    <n v="1459"/>
    <n v="1"/>
    <x v="1"/>
    <s v="Female"/>
    <n v="3"/>
    <x v="1"/>
    <x v="0"/>
    <n v="7446"/>
    <n v="8931"/>
    <n v="1"/>
    <x v="1"/>
    <n v="3"/>
    <n v="1"/>
    <n v="80"/>
    <n v="10"/>
    <x v="2"/>
    <x v="1"/>
    <n v="10"/>
    <x v="6"/>
    <n v="4"/>
    <n v="7"/>
  </r>
  <r>
    <n v="45"/>
    <x v="0"/>
    <x v="1"/>
    <s v="Travel_Rarely"/>
    <x v="1"/>
    <s v="Medical"/>
    <x v="4"/>
    <n v="1460"/>
    <n v="20"/>
    <x v="0"/>
    <s v="Male"/>
    <n v="3"/>
    <x v="3"/>
    <x v="2"/>
    <n v="10851"/>
    <n v="19863"/>
    <n v="2"/>
    <x v="0"/>
    <n v="3"/>
    <n v="2"/>
    <n v="80"/>
    <n v="24"/>
    <x v="2"/>
    <x v="1"/>
    <n v="7"/>
    <x v="1"/>
    <n v="0"/>
    <n v="7"/>
  </r>
  <r>
    <n v="31"/>
    <x v="1"/>
    <x v="1"/>
    <s v="Travel_Rarely"/>
    <x v="2"/>
    <s v="Medical"/>
    <x v="8"/>
    <n v="1461"/>
    <n v="8"/>
    <x v="2"/>
    <s v="Female"/>
    <n v="1"/>
    <x v="1"/>
    <x v="0"/>
    <n v="2109"/>
    <n v="24609"/>
    <n v="9"/>
    <x v="1"/>
    <n v="3"/>
    <n v="4"/>
    <n v="80"/>
    <n v="8"/>
    <x v="1"/>
    <x v="1"/>
    <n v="3"/>
    <x v="3"/>
    <n v="0"/>
    <n v="2"/>
  </r>
  <r>
    <n v="31"/>
    <x v="1"/>
    <x v="0"/>
    <s v="Travel_Frequently"/>
    <x v="1"/>
    <s v="Life Sciences"/>
    <x v="2"/>
    <n v="1464"/>
    <n v="2"/>
    <x v="0"/>
    <s v="Male"/>
    <n v="1"/>
    <x v="0"/>
    <x v="1"/>
    <n v="3722"/>
    <n v="21081"/>
    <n v="6"/>
    <x v="0"/>
    <n v="3"/>
    <n v="3"/>
    <n v="80"/>
    <n v="7"/>
    <x v="2"/>
    <x v="0"/>
    <n v="2"/>
    <x v="3"/>
    <n v="2"/>
    <n v="2"/>
  </r>
  <r>
    <n v="45"/>
    <x v="0"/>
    <x v="1"/>
    <s v="Travel_Rarely"/>
    <x v="1"/>
    <s v="Technical Degree"/>
    <x v="3"/>
    <n v="1465"/>
    <n v="29"/>
    <x v="0"/>
    <s v="Male"/>
    <n v="3"/>
    <x v="0"/>
    <x v="1"/>
    <n v="9380"/>
    <n v="14720"/>
    <n v="4"/>
    <x v="0"/>
    <n v="3"/>
    <n v="4"/>
    <n v="80"/>
    <n v="10"/>
    <x v="5"/>
    <x v="3"/>
    <n v="3"/>
    <x v="10"/>
    <n v="1"/>
    <n v="2"/>
  </r>
  <r>
    <n v="48"/>
    <x v="0"/>
    <x v="1"/>
    <s v="Travel_Rarely"/>
    <x v="0"/>
    <s v="Marketing"/>
    <x v="0"/>
    <n v="1466"/>
    <n v="7"/>
    <x v="1"/>
    <s v="Male"/>
    <n v="2"/>
    <x v="3"/>
    <x v="2"/>
    <n v="5486"/>
    <n v="24795"/>
    <n v="4"/>
    <x v="1"/>
    <n v="3"/>
    <n v="1"/>
    <n v="80"/>
    <n v="15"/>
    <x v="1"/>
    <x v="1"/>
    <n v="2"/>
    <x v="3"/>
    <n v="2"/>
    <n v="2"/>
  </r>
  <r>
    <n v="34"/>
    <x v="1"/>
    <x v="0"/>
    <s v="Travel_Rarely"/>
    <x v="2"/>
    <s v="Technical Degree"/>
    <x v="8"/>
    <n v="1467"/>
    <n v="9"/>
    <x v="3"/>
    <s v="Female"/>
    <n v="1"/>
    <x v="2"/>
    <x v="1"/>
    <n v="2742"/>
    <n v="3072"/>
    <n v="1"/>
    <x v="1"/>
    <n v="3"/>
    <n v="4"/>
    <n v="80"/>
    <n v="2"/>
    <x v="0"/>
    <x v="1"/>
    <n v="2"/>
    <x v="3"/>
    <n v="2"/>
    <n v="2"/>
  </r>
  <r>
    <n v="40"/>
    <x v="1"/>
    <x v="1"/>
    <s v="Non-Travel"/>
    <x v="1"/>
    <s v="Medical"/>
    <x v="7"/>
    <n v="1468"/>
    <n v="8"/>
    <x v="2"/>
    <s v="Male"/>
    <n v="3"/>
    <x v="1"/>
    <x v="2"/>
    <n v="13757"/>
    <n v="25178"/>
    <n v="2"/>
    <x v="1"/>
    <n v="3"/>
    <n v="3"/>
    <n v="80"/>
    <n v="16"/>
    <x v="3"/>
    <x v="1"/>
    <n v="9"/>
    <x v="6"/>
    <n v="4"/>
    <n v="8"/>
  </r>
  <r>
    <n v="28"/>
    <x v="2"/>
    <x v="1"/>
    <s v="Travel_Rarely"/>
    <x v="0"/>
    <s v="Medical"/>
    <x v="0"/>
    <n v="1469"/>
    <n v="5"/>
    <x v="2"/>
    <s v="Male"/>
    <n v="2"/>
    <x v="3"/>
    <x v="0"/>
    <n v="8463"/>
    <n v="23490"/>
    <n v="0"/>
    <x v="1"/>
    <n v="3"/>
    <n v="4"/>
    <n v="80"/>
    <n v="6"/>
    <x v="5"/>
    <x v="1"/>
    <n v="5"/>
    <x v="0"/>
    <n v="1"/>
    <n v="3"/>
  </r>
  <r>
    <n v="44"/>
    <x v="0"/>
    <x v="1"/>
    <s v="Non-Travel"/>
    <x v="1"/>
    <s v="Life Sciences"/>
    <x v="2"/>
    <n v="1471"/>
    <n v="5"/>
    <x v="1"/>
    <s v="Male"/>
    <n v="1"/>
    <x v="2"/>
    <x v="0"/>
    <n v="3162"/>
    <n v="7973"/>
    <n v="3"/>
    <x v="1"/>
    <n v="3"/>
    <n v="4"/>
    <n v="80"/>
    <n v="7"/>
    <x v="3"/>
    <x v="1"/>
    <n v="5"/>
    <x v="3"/>
    <n v="0"/>
    <n v="3"/>
  </r>
  <r>
    <n v="53"/>
    <x v="3"/>
    <x v="1"/>
    <s v="Travel_Rarely"/>
    <x v="1"/>
    <s v="Medical"/>
    <x v="7"/>
    <n v="1472"/>
    <n v="2"/>
    <x v="2"/>
    <s v="Male"/>
    <n v="4"/>
    <x v="1"/>
    <x v="0"/>
    <n v="16598"/>
    <n v="19764"/>
    <n v="4"/>
    <x v="1"/>
    <n v="3"/>
    <n v="2"/>
    <n v="80"/>
    <n v="35"/>
    <x v="2"/>
    <x v="2"/>
    <n v="9"/>
    <x v="6"/>
    <n v="8"/>
    <n v="8"/>
  </r>
  <r>
    <n v="49"/>
    <x v="0"/>
    <x v="1"/>
    <s v="Travel_Rarely"/>
    <x v="1"/>
    <s v="Technical Degree"/>
    <x v="4"/>
    <n v="1473"/>
    <n v="5"/>
    <x v="3"/>
    <s v="Male"/>
    <n v="2"/>
    <x v="2"/>
    <x v="1"/>
    <n v="6651"/>
    <n v="21534"/>
    <n v="2"/>
    <x v="1"/>
    <n v="3"/>
    <n v="2"/>
    <n v="80"/>
    <n v="20"/>
    <x v="0"/>
    <x v="2"/>
    <n v="3"/>
    <x v="3"/>
    <n v="1"/>
    <n v="2"/>
  </r>
  <r>
    <n v="40"/>
    <x v="1"/>
    <x v="1"/>
    <s v="Travel_Rarely"/>
    <x v="1"/>
    <s v="Medical"/>
    <x v="1"/>
    <n v="1474"/>
    <n v="2"/>
    <x v="1"/>
    <s v="Male"/>
    <n v="1"/>
    <x v="2"/>
    <x v="2"/>
    <n v="2345"/>
    <n v="8045"/>
    <n v="2"/>
    <x v="1"/>
    <n v="3"/>
    <n v="3"/>
    <n v="80"/>
    <n v="8"/>
    <x v="1"/>
    <x v="3"/>
    <n v="3"/>
    <x v="10"/>
    <n v="1"/>
    <n v="2"/>
  </r>
  <r>
    <n v="44"/>
    <x v="0"/>
    <x v="1"/>
    <s v="Travel_Rarely"/>
    <x v="1"/>
    <s v="Life Sciences"/>
    <x v="1"/>
    <n v="1475"/>
    <n v="20"/>
    <x v="2"/>
    <s v="Male"/>
    <n v="1"/>
    <x v="1"/>
    <x v="0"/>
    <n v="3420"/>
    <n v="21158"/>
    <n v="1"/>
    <x v="1"/>
    <n v="3"/>
    <n v="3"/>
    <n v="80"/>
    <n v="6"/>
    <x v="1"/>
    <x v="2"/>
    <n v="5"/>
    <x v="3"/>
    <n v="1"/>
    <n v="3"/>
  </r>
  <r>
    <n v="33"/>
    <x v="1"/>
    <x v="1"/>
    <s v="Travel_Frequently"/>
    <x v="0"/>
    <s v="Medical"/>
    <x v="0"/>
    <n v="1477"/>
    <n v="7"/>
    <x v="2"/>
    <s v="Male"/>
    <n v="2"/>
    <x v="3"/>
    <x v="1"/>
    <n v="4373"/>
    <n v="17456"/>
    <n v="0"/>
    <x v="1"/>
    <n v="3"/>
    <n v="1"/>
    <n v="80"/>
    <n v="5"/>
    <x v="2"/>
    <x v="1"/>
    <n v="4"/>
    <x v="7"/>
    <n v="0"/>
    <n v="3"/>
  </r>
  <r>
    <n v="34"/>
    <x v="1"/>
    <x v="1"/>
    <s v="Travel_Rarely"/>
    <x v="0"/>
    <s v="Other"/>
    <x v="0"/>
    <n v="1478"/>
    <n v="3"/>
    <x v="2"/>
    <s v="Male"/>
    <n v="2"/>
    <x v="3"/>
    <x v="0"/>
    <n v="4759"/>
    <n v="15891"/>
    <n v="3"/>
    <x v="1"/>
    <n v="3"/>
    <n v="4"/>
    <n v="80"/>
    <n v="15"/>
    <x v="2"/>
    <x v="1"/>
    <n v="13"/>
    <x v="5"/>
    <n v="3"/>
    <n v="12"/>
  </r>
  <r>
    <n v="30"/>
    <x v="2"/>
    <x v="1"/>
    <s v="Travel_Rarely"/>
    <x v="0"/>
    <s v="Life Sciences"/>
    <x v="0"/>
    <n v="1479"/>
    <n v="16"/>
    <x v="2"/>
    <s v="Male"/>
    <n v="2"/>
    <x v="2"/>
    <x v="1"/>
    <n v="5301"/>
    <n v="2939"/>
    <n v="8"/>
    <x v="1"/>
    <n v="3"/>
    <n v="3"/>
    <n v="80"/>
    <n v="4"/>
    <x v="2"/>
    <x v="2"/>
    <n v="2"/>
    <x v="10"/>
    <n v="2"/>
    <n v="2"/>
  </r>
  <r>
    <n v="42"/>
    <x v="0"/>
    <x v="1"/>
    <s v="Travel_Frequently"/>
    <x v="1"/>
    <s v="Medical"/>
    <x v="2"/>
    <n v="1480"/>
    <n v="9"/>
    <x v="3"/>
    <s v="Female"/>
    <n v="1"/>
    <x v="0"/>
    <x v="0"/>
    <n v="3673"/>
    <n v="16458"/>
    <n v="1"/>
    <x v="1"/>
    <n v="3"/>
    <n v="3"/>
    <n v="80"/>
    <n v="12"/>
    <x v="1"/>
    <x v="1"/>
    <n v="12"/>
    <x v="5"/>
    <n v="5"/>
    <n v="8"/>
  </r>
  <r>
    <n v="44"/>
    <x v="0"/>
    <x v="1"/>
    <s v="Travel_Frequently"/>
    <x v="0"/>
    <s v="Marketing"/>
    <x v="0"/>
    <n v="1481"/>
    <n v="1"/>
    <x v="3"/>
    <s v="Female"/>
    <n v="2"/>
    <x v="2"/>
    <x v="1"/>
    <n v="4768"/>
    <n v="9282"/>
    <n v="7"/>
    <x v="1"/>
    <n v="3"/>
    <n v="3"/>
    <n v="80"/>
    <n v="11"/>
    <x v="5"/>
    <x v="2"/>
    <n v="1"/>
    <x v="2"/>
    <n v="0"/>
    <n v="0"/>
  </r>
  <r>
    <n v="30"/>
    <x v="2"/>
    <x v="1"/>
    <s v="Non-Travel"/>
    <x v="1"/>
    <s v="Technical Degree"/>
    <x v="1"/>
    <n v="1482"/>
    <n v="7"/>
    <x v="1"/>
    <s v="Male"/>
    <n v="1"/>
    <x v="2"/>
    <x v="2"/>
    <n v="1274"/>
    <n v="7152"/>
    <n v="1"/>
    <x v="1"/>
    <n v="3"/>
    <n v="2"/>
    <n v="80"/>
    <n v="1"/>
    <x v="2"/>
    <x v="2"/>
    <n v="1"/>
    <x v="2"/>
    <n v="0"/>
    <n v="0"/>
  </r>
  <r>
    <n v="57"/>
    <x v="3"/>
    <x v="1"/>
    <s v="Travel_Rarely"/>
    <x v="1"/>
    <s v="Life Sciences"/>
    <x v="1"/>
    <n v="1483"/>
    <n v="1"/>
    <x v="0"/>
    <s v="Male"/>
    <n v="2"/>
    <x v="2"/>
    <x v="1"/>
    <n v="4900"/>
    <n v="2721"/>
    <n v="0"/>
    <x v="1"/>
    <n v="4"/>
    <n v="1"/>
    <n v="80"/>
    <n v="13"/>
    <x v="2"/>
    <x v="2"/>
    <n v="12"/>
    <x v="5"/>
    <n v="2"/>
    <n v="8"/>
  </r>
  <r>
    <n v="49"/>
    <x v="0"/>
    <x v="1"/>
    <s v="Travel_Rarely"/>
    <x v="1"/>
    <s v="Life Sciences"/>
    <x v="4"/>
    <n v="1484"/>
    <n v="7"/>
    <x v="1"/>
    <s v="Male"/>
    <n v="3"/>
    <x v="1"/>
    <x v="2"/>
    <n v="10466"/>
    <n v="20948"/>
    <n v="3"/>
    <x v="1"/>
    <n v="3"/>
    <n v="2"/>
    <n v="80"/>
    <n v="29"/>
    <x v="1"/>
    <x v="1"/>
    <n v="8"/>
    <x v="1"/>
    <n v="0"/>
    <n v="7"/>
  </r>
  <r>
    <n v="34"/>
    <x v="1"/>
    <x v="1"/>
    <s v="Travel_Frequently"/>
    <x v="1"/>
    <s v="Medical"/>
    <x v="7"/>
    <n v="1485"/>
    <n v="15"/>
    <x v="0"/>
    <s v="Male"/>
    <n v="4"/>
    <x v="3"/>
    <x v="2"/>
    <n v="17007"/>
    <n v="11929"/>
    <n v="7"/>
    <x v="1"/>
    <n v="3"/>
    <n v="4"/>
    <n v="80"/>
    <n v="16"/>
    <x v="1"/>
    <x v="2"/>
    <n v="14"/>
    <x v="6"/>
    <n v="6"/>
    <n v="9"/>
  </r>
  <r>
    <n v="28"/>
    <x v="2"/>
    <x v="0"/>
    <s v="Travel_Frequently"/>
    <x v="0"/>
    <s v="Technical Degree"/>
    <x v="6"/>
    <n v="1486"/>
    <n v="1"/>
    <x v="3"/>
    <s v="Male"/>
    <n v="1"/>
    <x v="2"/>
    <x v="1"/>
    <n v="2909"/>
    <n v="15747"/>
    <n v="3"/>
    <x v="1"/>
    <n v="3"/>
    <n v="4"/>
    <n v="80"/>
    <n v="5"/>
    <x v="1"/>
    <x v="3"/>
    <n v="3"/>
    <x v="3"/>
    <n v="1"/>
    <n v="2"/>
  </r>
  <r>
    <n v="29"/>
    <x v="2"/>
    <x v="0"/>
    <s v="Travel_Frequently"/>
    <x v="0"/>
    <s v="Technical Degree"/>
    <x v="0"/>
    <n v="1487"/>
    <n v="13"/>
    <x v="3"/>
    <s v="Female"/>
    <n v="2"/>
    <x v="1"/>
    <x v="0"/>
    <n v="5765"/>
    <n v="17485"/>
    <n v="5"/>
    <x v="1"/>
    <n v="3"/>
    <n v="1"/>
    <n v="80"/>
    <n v="7"/>
    <x v="5"/>
    <x v="0"/>
    <n v="5"/>
    <x v="7"/>
    <n v="0"/>
    <n v="0"/>
  </r>
  <r>
    <n v="34"/>
    <x v="1"/>
    <x v="0"/>
    <s v="Travel_Rarely"/>
    <x v="0"/>
    <s v="Medical"/>
    <x v="0"/>
    <n v="1489"/>
    <n v="24"/>
    <x v="3"/>
    <s v="Female"/>
    <n v="2"/>
    <x v="1"/>
    <x v="0"/>
    <n v="4599"/>
    <n v="7815"/>
    <n v="0"/>
    <x v="0"/>
    <n v="4"/>
    <n v="3"/>
    <n v="80"/>
    <n v="16"/>
    <x v="2"/>
    <x v="3"/>
    <n v="15"/>
    <x v="5"/>
    <n v="10"/>
    <n v="10"/>
  </r>
  <r>
    <n v="35"/>
    <x v="1"/>
    <x v="1"/>
    <s v="Travel_Rarely"/>
    <x v="0"/>
    <s v="Life Sciences"/>
    <x v="6"/>
    <n v="1492"/>
    <n v="7"/>
    <x v="2"/>
    <s v="Male"/>
    <n v="1"/>
    <x v="2"/>
    <x v="1"/>
    <n v="2404"/>
    <n v="16192"/>
    <n v="1"/>
    <x v="1"/>
    <n v="3"/>
    <n v="1"/>
    <n v="80"/>
    <n v="1"/>
    <x v="1"/>
    <x v="1"/>
    <n v="1"/>
    <x v="2"/>
    <n v="0"/>
    <n v="0"/>
  </r>
  <r>
    <n v="24"/>
    <x v="2"/>
    <x v="0"/>
    <s v="Travel_Frequently"/>
    <x v="1"/>
    <s v="Medical"/>
    <x v="2"/>
    <n v="1494"/>
    <n v="9"/>
    <x v="0"/>
    <s v="Male"/>
    <n v="1"/>
    <x v="3"/>
    <x v="0"/>
    <n v="3172"/>
    <n v="16998"/>
    <n v="2"/>
    <x v="0"/>
    <n v="3"/>
    <n v="3"/>
    <n v="80"/>
    <n v="4"/>
    <x v="2"/>
    <x v="2"/>
    <n v="0"/>
    <x v="2"/>
    <n v="0"/>
    <n v="0"/>
  </r>
  <r>
    <n v="24"/>
    <x v="2"/>
    <x v="1"/>
    <s v="Non-Travel"/>
    <x v="0"/>
    <s v="Life Sciences"/>
    <x v="6"/>
    <n v="1495"/>
    <n v="13"/>
    <x v="2"/>
    <s v="Female"/>
    <n v="1"/>
    <x v="1"/>
    <x v="1"/>
    <n v="2033"/>
    <n v="7103"/>
    <n v="1"/>
    <x v="1"/>
    <n v="3"/>
    <n v="3"/>
    <n v="80"/>
    <n v="1"/>
    <x v="2"/>
    <x v="1"/>
    <n v="1"/>
    <x v="2"/>
    <n v="0"/>
    <n v="0"/>
  </r>
  <r>
    <n v="44"/>
    <x v="0"/>
    <x v="1"/>
    <s v="Travel_Frequently"/>
    <x v="1"/>
    <s v="Medical"/>
    <x v="3"/>
    <n v="1496"/>
    <n v="2"/>
    <x v="0"/>
    <s v="Male"/>
    <n v="3"/>
    <x v="2"/>
    <x v="0"/>
    <n v="10209"/>
    <n v="19719"/>
    <n v="5"/>
    <x v="0"/>
    <n v="3"/>
    <n v="2"/>
    <n v="80"/>
    <n v="16"/>
    <x v="2"/>
    <x v="2"/>
    <n v="2"/>
    <x v="3"/>
    <n v="2"/>
    <n v="2"/>
  </r>
  <r>
    <n v="29"/>
    <x v="2"/>
    <x v="1"/>
    <s v="Travel_Rarely"/>
    <x v="0"/>
    <s v="Life Sciences"/>
    <x v="0"/>
    <n v="1497"/>
    <n v="19"/>
    <x v="1"/>
    <s v="Male"/>
    <n v="2"/>
    <x v="2"/>
    <x v="2"/>
    <n v="8620"/>
    <n v="23757"/>
    <n v="1"/>
    <x v="1"/>
    <n v="3"/>
    <n v="3"/>
    <n v="80"/>
    <n v="10"/>
    <x v="1"/>
    <x v="1"/>
    <n v="10"/>
    <x v="1"/>
    <n v="0"/>
    <n v="4"/>
  </r>
  <r>
    <n v="30"/>
    <x v="2"/>
    <x v="1"/>
    <s v="Travel_Rarely"/>
    <x v="2"/>
    <s v="Life Sciences"/>
    <x v="8"/>
    <n v="1499"/>
    <n v="1"/>
    <x v="1"/>
    <s v="Male"/>
    <n v="1"/>
    <x v="2"/>
    <x v="2"/>
    <n v="2064"/>
    <n v="15428"/>
    <n v="0"/>
    <x v="1"/>
    <n v="4"/>
    <n v="1"/>
    <n v="80"/>
    <n v="6"/>
    <x v="1"/>
    <x v="3"/>
    <n v="5"/>
    <x v="7"/>
    <n v="1"/>
    <n v="3"/>
  </r>
  <r>
    <n v="55"/>
    <x v="3"/>
    <x v="1"/>
    <s v="Travel_Rarely"/>
    <x v="1"/>
    <s v="Life Sciences"/>
    <x v="4"/>
    <n v="1501"/>
    <n v="4"/>
    <x v="2"/>
    <s v="Male"/>
    <n v="2"/>
    <x v="2"/>
    <x v="1"/>
    <n v="4035"/>
    <n v="16143"/>
    <n v="0"/>
    <x v="0"/>
    <n v="3"/>
    <n v="2"/>
    <n v="80"/>
    <n v="4"/>
    <x v="2"/>
    <x v="1"/>
    <n v="3"/>
    <x v="3"/>
    <n v="1"/>
    <n v="2"/>
  </r>
  <r>
    <n v="33"/>
    <x v="1"/>
    <x v="1"/>
    <s v="Travel_Rarely"/>
    <x v="1"/>
    <s v="Medical"/>
    <x v="2"/>
    <n v="1502"/>
    <n v="4"/>
    <x v="3"/>
    <s v="Female"/>
    <n v="1"/>
    <x v="1"/>
    <x v="1"/>
    <n v="3838"/>
    <n v="8192"/>
    <n v="8"/>
    <x v="1"/>
    <n v="3"/>
    <n v="4"/>
    <n v="80"/>
    <n v="8"/>
    <x v="3"/>
    <x v="1"/>
    <n v="5"/>
    <x v="0"/>
    <n v="0"/>
    <n v="2"/>
  </r>
  <r>
    <n v="47"/>
    <x v="0"/>
    <x v="1"/>
    <s v="Travel_Rarely"/>
    <x v="0"/>
    <s v="Medical"/>
    <x v="0"/>
    <n v="1503"/>
    <n v="14"/>
    <x v="1"/>
    <s v="Female"/>
    <n v="2"/>
    <x v="2"/>
    <x v="1"/>
    <n v="4591"/>
    <n v="24200"/>
    <n v="3"/>
    <x v="0"/>
    <n v="3"/>
    <n v="3"/>
    <n v="80"/>
    <n v="11"/>
    <x v="5"/>
    <x v="2"/>
    <n v="5"/>
    <x v="0"/>
    <n v="1"/>
    <n v="2"/>
  </r>
  <r>
    <n v="28"/>
    <x v="2"/>
    <x v="0"/>
    <s v="Travel_Frequently"/>
    <x v="1"/>
    <s v="Medical"/>
    <x v="2"/>
    <n v="1504"/>
    <n v="2"/>
    <x v="1"/>
    <s v="Male"/>
    <n v="1"/>
    <x v="3"/>
    <x v="0"/>
    <n v="2561"/>
    <n v="5355"/>
    <n v="7"/>
    <x v="1"/>
    <n v="3"/>
    <n v="3"/>
    <n v="80"/>
    <n v="8"/>
    <x v="2"/>
    <x v="2"/>
    <n v="0"/>
    <x v="2"/>
    <n v="0"/>
    <n v="0"/>
  </r>
  <r>
    <n v="28"/>
    <x v="2"/>
    <x v="1"/>
    <s v="Travel_Rarely"/>
    <x v="1"/>
    <s v="Life Sciences"/>
    <x v="1"/>
    <n v="1506"/>
    <n v="1"/>
    <x v="3"/>
    <s v="Male"/>
    <n v="1"/>
    <x v="2"/>
    <x v="2"/>
    <n v="1563"/>
    <n v="12530"/>
    <n v="1"/>
    <x v="1"/>
    <n v="3"/>
    <n v="4"/>
    <n v="80"/>
    <n v="1"/>
    <x v="2"/>
    <x v="0"/>
    <n v="1"/>
    <x v="2"/>
    <n v="0"/>
    <n v="0"/>
  </r>
  <r>
    <n v="28"/>
    <x v="2"/>
    <x v="1"/>
    <s v="Travel_Frequently"/>
    <x v="0"/>
    <s v="Life Sciences"/>
    <x v="0"/>
    <n v="1507"/>
    <n v="7"/>
    <x v="1"/>
    <s v="Male"/>
    <n v="2"/>
    <x v="3"/>
    <x v="0"/>
    <n v="4898"/>
    <n v="11827"/>
    <n v="0"/>
    <x v="1"/>
    <n v="3"/>
    <n v="4"/>
    <n v="80"/>
    <n v="5"/>
    <x v="3"/>
    <x v="1"/>
    <n v="4"/>
    <x v="3"/>
    <n v="1"/>
    <n v="3"/>
  </r>
  <r>
    <n v="49"/>
    <x v="0"/>
    <x v="1"/>
    <s v="Travel_Rarely"/>
    <x v="1"/>
    <s v="Medical"/>
    <x v="2"/>
    <n v="1509"/>
    <n v="3"/>
    <x v="1"/>
    <s v="Female"/>
    <n v="2"/>
    <x v="3"/>
    <x v="1"/>
    <n v="4789"/>
    <n v="23070"/>
    <n v="4"/>
    <x v="1"/>
    <n v="4"/>
    <n v="1"/>
    <n v="80"/>
    <n v="10"/>
    <x v="1"/>
    <x v="1"/>
    <n v="3"/>
    <x v="3"/>
    <n v="1"/>
    <n v="2"/>
  </r>
  <r>
    <n v="29"/>
    <x v="2"/>
    <x v="1"/>
    <s v="Travel_Frequently"/>
    <x v="1"/>
    <s v="Life Sciences"/>
    <x v="2"/>
    <n v="1513"/>
    <n v="2"/>
    <x v="2"/>
    <s v="Female"/>
    <n v="1"/>
    <x v="1"/>
    <x v="1"/>
    <n v="3180"/>
    <n v="4668"/>
    <n v="0"/>
    <x v="1"/>
    <n v="3"/>
    <n v="3"/>
    <n v="80"/>
    <n v="4"/>
    <x v="1"/>
    <x v="1"/>
    <n v="3"/>
    <x v="3"/>
    <n v="0"/>
    <n v="2"/>
  </r>
  <r>
    <n v="28"/>
    <x v="2"/>
    <x v="1"/>
    <s v="Travel_Rarely"/>
    <x v="1"/>
    <s v="Life Sciences"/>
    <x v="3"/>
    <n v="1514"/>
    <n v="29"/>
    <x v="1"/>
    <s v="Male"/>
    <n v="2"/>
    <x v="1"/>
    <x v="1"/>
    <n v="6549"/>
    <n v="3173"/>
    <n v="1"/>
    <x v="1"/>
    <n v="3"/>
    <n v="2"/>
    <n v="80"/>
    <n v="8"/>
    <x v="2"/>
    <x v="2"/>
    <n v="8"/>
    <x v="8"/>
    <n v="1"/>
    <n v="7"/>
  </r>
  <r>
    <n v="33"/>
    <x v="1"/>
    <x v="1"/>
    <s v="Travel_Rarely"/>
    <x v="1"/>
    <s v="Life Sciences"/>
    <x v="4"/>
    <n v="1515"/>
    <n v="8"/>
    <x v="2"/>
    <s v="Male"/>
    <n v="2"/>
    <x v="2"/>
    <x v="0"/>
    <n v="6388"/>
    <n v="22049"/>
    <n v="2"/>
    <x v="0"/>
    <n v="3"/>
    <n v="1"/>
    <n v="80"/>
    <n v="14"/>
    <x v="6"/>
    <x v="1"/>
    <n v="0"/>
    <x v="2"/>
    <n v="0"/>
    <n v="0"/>
  </r>
  <r>
    <n v="32"/>
    <x v="1"/>
    <x v="1"/>
    <s v="Travel_Rarely"/>
    <x v="1"/>
    <s v="Medical"/>
    <x v="5"/>
    <n v="1516"/>
    <n v="10"/>
    <x v="1"/>
    <s v="Male"/>
    <n v="3"/>
    <x v="0"/>
    <x v="0"/>
    <n v="11244"/>
    <n v="21072"/>
    <n v="2"/>
    <x v="1"/>
    <n v="4"/>
    <n v="2"/>
    <n v="80"/>
    <n v="10"/>
    <x v="3"/>
    <x v="3"/>
    <n v="5"/>
    <x v="3"/>
    <n v="0"/>
    <n v="0"/>
  </r>
  <r>
    <n v="54"/>
    <x v="3"/>
    <x v="1"/>
    <s v="Travel_Frequently"/>
    <x v="1"/>
    <s v="Medical"/>
    <x v="5"/>
    <n v="1520"/>
    <n v="11"/>
    <x v="0"/>
    <s v="Female"/>
    <n v="4"/>
    <x v="0"/>
    <x v="2"/>
    <n v="16032"/>
    <n v="24456"/>
    <n v="3"/>
    <x v="1"/>
    <n v="4"/>
    <n v="1"/>
    <n v="80"/>
    <n v="26"/>
    <x v="2"/>
    <x v="1"/>
    <n v="14"/>
    <x v="5"/>
    <n v="1"/>
    <n v="12"/>
  </r>
  <r>
    <n v="29"/>
    <x v="2"/>
    <x v="0"/>
    <s v="Travel_Rarely"/>
    <x v="1"/>
    <s v="Technical Degree"/>
    <x v="1"/>
    <n v="1522"/>
    <n v="1"/>
    <x v="3"/>
    <s v="Male"/>
    <n v="1"/>
    <x v="3"/>
    <x v="0"/>
    <n v="2362"/>
    <n v="7568"/>
    <n v="6"/>
    <x v="1"/>
    <n v="3"/>
    <n v="3"/>
    <n v="80"/>
    <n v="11"/>
    <x v="2"/>
    <x v="0"/>
    <n v="9"/>
    <x v="1"/>
    <n v="0"/>
    <n v="7"/>
  </r>
  <r>
    <n v="44"/>
    <x v="0"/>
    <x v="1"/>
    <s v="Travel_Rarely"/>
    <x v="1"/>
    <s v="Life Sciences"/>
    <x v="7"/>
    <n v="1523"/>
    <n v="28"/>
    <x v="2"/>
    <s v="Male"/>
    <n v="4"/>
    <x v="3"/>
    <x v="1"/>
    <n v="16328"/>
    <n v="22074"/>
    <n v="3"/>
    <x v="1"/>
    <n v="3"/>
    <n v="3"/>
    <n v="80"/>
    <n v="24"/>
    <x v="4"/>
    <x v="3"/>
    <n v="20"/>
    <x v="8"/>
    <n v="14"/>
    <n v="17"/>
  </r>
  <r>
    <n v="39"/>
    <x v="1"/>
    <x v="1"/>
    <s v="Travel_Rarely"/>
    <x v="1"/>
    <s v="Life Sciences"/>
    <x v="3"/>
    <n v="1525"/>
    <n v="6"/>
    <x v="0"/>
    <s v="Female"/>
    <n v="3"/>
    <x v="1"/>
    <x v="0"/>
    <n v="8376"/>
    <n v="9150"/>
    <n v="4"/>
    <x v="1"/>
    <n v="3"/>
    <n v="4"/>
    <n v="80"/>
    <n v="9"/>
    <x v="1"/>
    <x v="1"/>
    <n v="2"/>
    <x v="2"/>
    <n v="2"/>
    <n v="2"/>
  </r>
  <r>
    <n v="46"/>
    <x v="0"/>
    <x v="1"/>
    <s v="Travel_Rarely"/>
    <x v="0"/>
    <s v="Life Sciences"/>
    <x v="5"/>
    <n v="1527"/>
    <n v="3"/>
    <x v="1"/>
    <s v="Female"/>
    <n v="4"/>
    <x v="1"/>
    <x v="1"/>
    <n v="16606"/>
    <n v="11380"/>
    <n v="8"/>
    <x v="1"/>
    <n v="3"/>
    <n v="4"/>
    <n v="80"/>
    <n v="23"/>
    <x v="2"/>
    <x v="3"/>
    <n v="13"/>
    <x v="16"/>
    <n v="5"/>
    <n v="1"/>
  </r>
  <r>
    <n v="35"/>
    <x v="1"/>
    <x v="1"/>
    <s v="Travel_Rarely"/>
    <x v="1"/>
    <s v="Life Sciences"/>
    <x v="4"/>
    <n v="1529"/>
    <n v="16"/>
    <x v="2"/>
    <s v="Female"/>
    <n v="3"/>
    <x v="1"/>
    <x v="0"/>
    <n v="8606"/>
    <n v="21195"/>
    <n v="1"/>
    <x v="1"/>
    <n v="3"/>
    <n v="4"/>
    <n v="80"/>
    <n v="11"/>
    <x v="1"/>
    <x v="0"/>
    <n v="11"/>
    <x v="6"/>
    <n v="3"/>
    <n v="3"/>
  </r>
  <r>
    <n v="23"/>
    <x v="2"/>
    <x v="1"/>
    <s v="Travel_Rarely"/>
    <x v="1"/>
    <s v="Life Sciences"/>
    <x v="2"/>
    <n v="1533"/>
    <n v="20"/>
    <x v="3"/>
    <s v="Male"/>
    <n v="2"/>
    <x v="2"/>
    <x v="0"/>
    <n v="2272"/>
    <n v="24812"/>
    <n v="0"/>
    <x v="1"/>
    <n v="3"/>
    <n v="2"/>
    <n v="80"/>
    <n v="5"/>
    <x v="2"/>
    <x v="1"/>
    <n v="4"/>
    <x v="7"/>
    <n v="1"/>
    <n v="2"/>
  </r>
  <r>
    <n v="40"/>
    <x v="1"/>
    <x v="0"/>
    <s v="Travel_Rarely"/>
    <x v="1"/>
    <s v="Life Sciences"/>
    <x v="2"/>
    <n v="1534"/>
    <n v="9"/>
    <x v="2"/>
    <s v="Male"/>
    <n v="1"/>
    <x v="3"/>
    <x v="0"/>
    <n v="2018"/>
    <n v="21831"/>
    <n v="3"/>
    <x v="1"/>
    <n v="3"/>
    <n v="2"/>
    <n v="80"/>
    <n v="15"/>
    <x v="1"/>
    <x v="0"/>
    <n v="5"/>
    <x v="0"/>
    <n v="1"/>
    <n v="0"/>
  </r>
  <r>
    <n v="34"/>
    <x v="1"/>
    <x v="1"/>
    <s v="Travel_Rarely"/>
    <x v="0"/>
    <s v="Technical Degree"/>
    <x v="0"/>
    <n v="1535"/>
    <n v="1"/>
    <x v="2"/>
    <s v="Male"/>
    <n v="3"/>
    <x v="2"/>
    <x v="1"/>
    <n v="7083"/>
    <n v="12288"/>
    <n v="1"/>
    <x v="0"/>
    <n v="3"/>
    <n v="4"/>
    <n v="80"/>
    <n v="10"/>
    <x v="1"/>
    <x v="1"/>
    <n v="10"/>
    <x v="5"/>
    <n v="8"/>
    <n v="6"/>
  </r>
  <r>
    <n v="31"/>
    <x v="1"/>
    <x v="0"/>
    <s v="Travel_Frequently"/>
    <x v="1"/>
    <s v="Life Sciences"/>
    <x v="1"/>
    <n v="1537"/>
    <n v="3"/>
    <x v="2"/>
    <s v="Female"/>
    <n v="1"/>
    <x v="2"/>
    <x v="0"/>
    <n v="4084"/>
    <n v="4156"/>
    <n v="1"/>
    <x v="1"/>
    <n v="3"/>
    <n v="1"/>
    <n v="80"/>
    <n v="7"/>
    <x v="2"/>
    <x v="0"/>
    <n v="7"/>
    <x v="3"/>
    <n v="7"/>
    <n v="7"/>
  </r>
  <r>
    <n v="50"/>
    <x v="0"/>
    <x v="1"/>
    <s v="Travel_Frequently"/>
    <x v="1"/>
    <s v="Medical"/>
    <x v="7"/>
    <n v="1539"/>
    <n v="22"/>
    <x v="1"/>
    <s v="Male"/>
    <n v="4"/>
    <x v="0"/>
    <x v="0"/>
    <n v="14411"/>
    <n v="24450"/>
    <n v="1"/>
    <x v="0"/>
    <n v="3"/>
    <n v="4"/>
    <n v="80"/>
    <n v="32"/>
    <x v="2"/>
    <x v="1"/>
    <n v="32"/>
    <x v="8"/>
    <n v="13"/>
    <n v="9"/>
  </r>
  <r>
    <n v="34"/>
    <x v="1"/>
    <x v="1"/>
    <s v="Travel_Rarely"/>
    <x v="0"/>
    <s v="Technical Degree"/>
    <x v="6"/>
    <n v="1541"/>
    <n v="7"/>
    <x v="0"/>
    <s v="Male"/>
    <n v="1"/>
    <x v="2"/>
    <x v="1"/>
    <n v="2308"/>
    <n v="4944"/>
    <n v="0"/>
    <x v="0"/>
    <n v="4"/>
    <n v="2"/>
    <n v="80"/>
    <n v="12"/>
    <x v="5"/>
    <x v="1"/>
    <n v="11"/>
    <x v="15"/>
    <n v="5"/>
    <n v="7"/>
  </r>
  <r>
    <n v="42"/>
    <x v="0"/>
    <x v="1"/>
    <s v="Travel_Rarely"/>
    <x v="1"/>
    <s v="Medical"/>
    <x v="2"/>
    <n v="1542"/>
    <n v="2"/>
    <x v="1"/>
    <s v="Male"/>
    <n v="1"/>
    <x v="1"/>
    <x v="1"/>
    <n v="4841"/>
    <n v="24052"/>
    <n v="4"/>
    <x v="1"/>
    <n v="3"/>
    <n v="2"/>
    <n v="80"/>
    <n v="4"/>
    <x v="1"/>
    <x v="1"/>
    <n v="1"/>
    <x v="2"/>
    <n v="0"/>
    <n v="0"/>
  </r>
  <r>
    <n v="37"/>
    <x v="1"/>
    <x v="1"/>
    <s v="Travel_Rarely"/>
    <x v="1"/>
    <s v="Medical"/>
    <x v="1"/>
    <n v="1543"/>
    <n v="13"/>
    <x v="3"/>
    <s v="Male"/>
    <n v="2"/>
    <x v="0"/>
    <x v="1"/>
    <n v="4285"/>
    <n v="3031"/>
    <n v="1"/>
    <x v="1"/>
    <n v="3"/>
    <n v="1"/>
    <n v="80"/>
    <n v="10"/>
    <x v="2"/>
    <x v="1"/>
    <n v="10"/>
    <x v="6"/>
    <n v="3"/>
    <n v="7"/>
  </r>
  <r>
    <n v="29"/>
    <x v="2"/>
    <x v="1"/>
    <s v="Travel_Rarely"/>
    <x v="1"/>
    <s v="Other"/>
    <x v="4"/>
    <n v="1544"/>
    <n v="8"/>
    <x v="1"/>
    <s v="Female"/>
    <n v="2"/>
    <x v="3"/>
    <x v="1"/>
    <n v="9715"/>
    <n v="7288"/>
    <n v="3"/>
    <x v="1"/>
    <n v="3"/>
    <n v="3"/>
    <n v="80"/>
    <n v="9"/>
    <x v="1"/>
    <x v="1"/>
    <n v="7"/>
    <x v="1"/>
    <n v="0"/>
    <n v="7"/>
  </r>
  <r>
    <n v="33"/>
    <x v="1"/>
    <x v="1"/>
    <s v="Travel_Rarely"/>
    <x v="1"/>
    <s v="Life Sciences"/>
    <x v="3"/>
    <n v="1545"/>
    <n v="25"/>
    <x v="2"/>
    <s v="Male"/>
    <n v="2"/>
    <x v="1"/>
    <x v="0"/>
    <n v="4320"/>
    <n v="24152"/>
    <n v="1"/>
    <x v="1"/>
    <n v="3"/>
    <n v="4"/>
    <n v="80"/>
    <n v="5"/>
    <x v="2"/>
    <x v="1"/>
    <n v="5"/>
    <x v="7"/>
    <n v="0"/>
    <n v="2"/>
  </r>
  <r>
    <n v="45"/>
    <x v="0"/>
    <x v="1"/>
    <s v="Travel_Rarely"/>
    <x v="1"/>
    <s v="Technical Degree"/>
    <x v="1"/>
    <n v="1546"/>
    <n v="28"/>
    <x v="2"/>
    <s v="Male"/>
    <n v="1"/>
    <x v="0"/>
    <x v="1"/>
    <n v="2132"/>
    <n v="4585"/>
    <n v="4"/>
    <x v="1"/>
    <n v="4"/>
    <n v="4"/>
    <n v="80"/>
    <n v="8"/>
    <x v="1"/>
    <x v="1"/>
    <n v="5"/>
    <x v="0"/>
    <n v="0"/>
    <n v="3"/>
  </r>
  <r>
    <n v="42"/>
    <x v="0"/>
    <x v="1"/>
    <s v="Travel_Frequently"/>
    <x v="1"/>
    <s v="Life Sciences"/>
    <x v="4"/>
    <n v="1547"/>
    <n v="2"/>
    <x v="2"/>
    <s v="Male"/>
    <n v="3"/>
    <x v="0"/>
    <x v="1"/>
    <n v="10124"/>
    <n v="18611"/>
    <n v="2"/>
    <x v="0"/>
    <n v="3"/>
    <n v="3"/>
    <n v="80"/>
    <n v="24"/>
    <x v="1"/>
    <x v="0"/>
    <n v="20"/>
    <x v="6"/>
    <n v="13"/>
    <n v="9"/>
  </r>
  <r>
    <n v="40"/>
    <x v="1"/>
    <x v="1"/>
    <s v="Travel_Rarely"/>
    <x v="0"/>
    <s v="Medical"/>
    <x v="0"/>
    <n v="1548"/>
    <n v="9"/>
    <x v="3"/>
    <s v="Male"/>
    <n v="2"/>
    <x v="3"/>
    <x v="1"/>
    <n v="5473"/>
    <n v="19345"/>
    <n v="0"/>
    <x v="1"/>
    <n v="3"/>
    <n v="4"/>
    <n v="80"/>
    <n v="9"/>
    <x v="3"/>
    <x v="3"/>
    <n v="8"/>
    <x v="0"/>
    <n v="7"/>
    <n v="1"/>
  </r>
  <r>
    <n v="33"/>
    <x v="1"/>
    <x v="1"/>
    <s v="Travel_Rarely"/>
    <x v="1"/>
    <s v="Life Sciences"/>
    <x v="2"/>
    <n v="1549"/>
    <n v="28"/>
    <x v="0"/>
    <s v="Male"/>
    <n v="2"/>
    <x v="2"/>
    <x v="1"/>
    <n v="5207"/>
    <n v="22949"/>
    <n v="1"/>
    <x v="0"/>
    <n v="3"/>
    <n v="2"/>
    <n v="80"/>
    <n v="15"/>
    <x v="1"/>
    <x v="1"/>
    <n v="15"/>
    <x v="12"/>
    <n v="5"/>
    <n v="7"/>
  </r>
  <r>
    <n v="40"/>
    <x v="1"/>
    <x v="1"/>
    <s v="Travel_Rarely"/>
    <x v="2"/>
    <s v="Medical"/>
    <x v="5"/>
    <n v="1550"/>
    <n v="6"/>
    <x v="1"/>
    <s v="Male"/>
    <n v="4"/>
    <x v="0"/>
    <x v="0"/>
    <n v="16437"/>
    <n v="17381"/>
    <n v="1"/>
    <x v="0"/>
    <n v="4"/>
    <n v="4"/>
    <n v="80"/>
    <n v="21"/>
    <x v="2"/>
    <x v="1"/>
    <n v="21"/>
    <x v="1"/>
    <n v="7"/>
    <n v="7"/>
  </r>
  <r>
    <n v="24"/>
    <x v="2"/>
    <x v="1"/>
    <s v="Travel_Rarely"/>
    <x v="1"/>
    <s v="Technical Degree"/>
    <x v="2"/>
    <n v="1551"/>
    <n v="21"/>
    <x v="1"/>
    <s v="Male"/>
    <n v="1"/>
    <x v="3"/>
    <x v="2"/>
    <n v="2296"/>
    <n v="10036"/>
    <n v="0"/>
    <x v="1"/>
    <n v="3"/>
    <n v="2"/>
    <n v="80"/>
    <n v="2"/>
    <x v="1"/>
    <x v="1"/>
    <n v="1"/>
    <x v="10"/>
    <n v="0"/>
    <n v="0"/>
  </r>
  <r>
    <n v="40"/>
    <x v="1"/>
    <x v="1"/>
    <s v="Non-Travel"/>
    <x v="1"/>
    <s v="Life Sciences"/>
    <x v="4"/>
    <n v="1552"/>
    <n v="8"/>
    <x v="2"/>
    <s v="Male"/>
    <n v="2"/>
    <x v="0"/>
    <x v="2"/>
    <n v="4069"/>
    <n v="8841"/>
    <n v="3"/>
    <x v="0"/>
    <n v="3"/>
    <n v="3"/>
    <n v="80"/>
    <n v="8"/>
    <x v="2"/>
    <x v="1"/>
    <n v="2"/>
    <x v="3"/>
    <n v="2"/>
    <n v="2"/>
  </r>
  <r>
    <n v="45"/>
    <x v="0"/>
    <x v="1"/>
    <s v="Travel_Rarely"/>
    <x v="1"/>
    <s v="Technical Degree"/>
    <x v="4"/>
    <n v="1553"/>
    <n v="1"/>
    <x v="3"/>
    <s v="Male"/>
    <n v="3"/>
    <x v="1"/>
    <x v="2"/>
    <n v="7441"/>
    <n v="20933"/>
    <n v="1"/>
    <x v="1"/>
    <n v="3"/>
    <n v="1"/>
    <n v="80"/>
    <n v="10"/>
    <x v="5"/>
    <x v="1"/>
    <n v="10"/>
    <x v="6"/>
    <n v="7"/>
    <n v="7"/>
  </r>
  <r>
    <n v="35"/>
    <x v="1"/>
    <x v="1"/>
    <s v="Travel_Rarely"/>
    <x v="0"/>
    <s v="Life Sciences"/>
    <x v="6"/>
    <n v="1554"/>
    <n v="28"/>
    <x v="0"/>
    <s v="Female"/>
    <n v="1"/>
    <x v="2"/>
    <x v="1"/>
    <n v="2430"/>
    <n v="26204"/>
    <n v="0"/>
    <x v="1"/>
    <n v="4"/>
    <n v="1"/>
    <n v="80"/>
    <n v="6"/>
    <x v="3"/>
    <x v="1"/>
    <n v="5"/>
    <x v="7"/>
    <n v="4"/>
    <n v="2"/>
  </r>
  <r>
    <n v="32"/>
    <x v="1"/>
    <x v="1"/>
    <s v="Travel_Rarely"/>
    <x v="1"/>
    <s v="Life Sciences"/>
    <x v="1"/>
    <n v="1555"/>
    <n v="5"/>
    <x v="2"/>
    <s v="Female"/>
    <n v="2"/>
    <x v="1"/>
    <x v="1"/>
    <n v="5878"/>
    <n v="15624"/>
    <n v="3"/>
    <x v="1"/>
    <n v="3"/>
    <n v="1"/>
    <n v="80"/>
    <n v="12"/>
    <x v="2"/>
    <x v="1"/>
    <n v="7"/>
    <x v="10"/>
    <n v="2"/>
    <n v="5"/>
  </r>
  <r>
    <n v="36"/>
    <x v="1"/>
    <x v="1"/>
    <s v="Travel_Rarely"/>
    <x v="0"/>
    <s v="Life Sciences"/>
    <x v="6"/>
    <n v="1556"/>
    <n v="2"/>
    <x v="1"/>
    <s v="Male"/>
    <n v="1"/>
    <x v="0"/>
    <x v="0"/>
    <n v="2644"/>
    <n v="17001"/>
    <n v="3"/>
    <x v="0"/>
    <n v="4"/>
    <n v="4"/>
    <n v="80"/>
    <n v="7"/>
    <x v="1"/>
    <x v="2"/>
    <n v="3"/>
    <x v="3"/>
    <n v="1"/>
    <n v="2"/>
  </r>
  <r>
    <n v="48"/>
    <x v="0"/>
    <x v="1"/>
    <s v="Travel_Rarely"/>
    <x v="0"/>
    <s v="Life Sciences"/>
    <x v="0"/>
    <n v="1557"/>
    <n v="16"/>
    <x v="1"/>
    <s v="Female"/>
    <n v="2"/>
    <x v="2"/>
    <x v="2"/>
    <n v="6439"/>
    <n v="13693"/>
    <n v="8"/>
    <x v="1"/>
    <n v="3"/>
    <n v="3"/>
    <n v="80"/>
    <n v="18"/>
    <x v="2"/>
    <x v="1"/>
    <n v="8"/>
    <x v="1"/>
    <n v="7"/>
    <n v="7"/>
  </r>
  <r>
    <n v="29"/>
    <x v="2"/>
    <x v="1"/>
    <s v="Travel_Rarely"/>
    <x v="1"/>
    <s v="Life Sciences"/>
    <x v="1"/>
    <n v="1558"/>
    <n v="9"/>
    <x v="1"/>
    <s v="Male"/>
    <n v="1"/>
    <x v="2"/>
    <x v="1"/>
    <n v="2451"/>
    <n v="22376"/>
    <n v="6"/>
    <x v="1"/>
    <n v="3"/>
    <n v="1"/>
    <n v="80"/>
    <n v="5"/>
    <x v="2"/>
    <x v="2"/>
    <n v="1"/>
    <x v="2"/>
    <n v="0"/>
    <n v="0"/>
  </r>
  <r>
    <n v="33"/>
    <x v="1"/>
    <x v="1"/>
    <s v="Travel_Rarely"/>
    <x v="0"/>
    <s v="Life Sciences"/>
    <x v="0"/>
    <n v="1560"/>
    <n v="8"/>
    <x v="3"/>
    <s v="Male"/>
    <n v="2"/>
    <x v="3"/>
    <x v="1"/>
    <n v="6392"/>
    <n v="10589"/>
    <n v="2"/>
    <x v="1"/>
    <n v="3"/>
    <n v="4"/>
    <n v="80"/>
    <n v="8"/>
    <x v="6"/>
    <x v="0"/>
    <n v="2"/>
    <x v="3"/>
    <n v="2"/>
    <n v="2"/>
  </r>
  <r>
    <n v="30"/>
    <x v="2"/>
    <x v="0"/>
    <s v="Travel_Rarely"/>
    <x v="0"/>
    <s v="Life Sciences"/>
    <x v="0"/>
    <n v="1562"/>
    <n v="1"/>
    <x v="0"/>
    <s v="Male"/>
    <n v="2"/>
    <x v="3"/>
    <x v="1"/>
    <n v="9714"/>
    <n v="5323"/>
    <n v="1"/>
    <x v="1"/>
    <n v="3"/>
    <n v="4"/>
    <n v="80"/>
    <n v="10"/>
    <x v="5"/>
    <x v="1"/>
    <n v="10"/>
    <x v="6"/>
    <n v="6"/>
    <n v="7"/>
  </r>
  <r>
    <n v="38"/>
    <x v="1"/>
    <x v="1"/>
    <s v="Travel_Frequently"/>
    <x v="2"/>
    <s v="Human Resources"/>
    <x v="8"/>
    <n v="1563"/>
    <n v="10"/>
    <x v="1"/>
    <s v="Male"/>
    <n v="2"/>
    <x v="2"/>
    <x v="1"/>
    <n v="6077"/>
    <n v="14814"/>
    <n v="3"/>
    <x v="1"/>
    <n v="3"/>
    <n v="3"/>
    <n v="80"/>
    <n v="10"/>
    <x v="2"/>
    <x v="1"/>
    <n v="6"/>
    <x v="7"/>
    <n v="1"/>
    <n v="2"/>
  </r>
  <r>
    <n v="35"/>
    <x v="1"/>
    <x v="1"/>
    <s v="Travel_Rarely"/>
    <x v="1"/>
    <s v="Medical"/>
    <x v="2"/>
    <n v="1564"/>
    <n v="1"/>
    <x v="2"/>
    <s v="Male"/>
    <n v="1"/>
    <x v="3"/>
    <x v="0"/>
    <n v="2450"/>
    <n v="21731"/>
    <n v="1"/>
    <x v="1"/>
    <n v="3"/>
    <n v="2"/>
    <n v="80"/>
    <n v="3"/>
    <x v="1"/>
    <x v="1"/>
    <n v="3"/>
    <x v="2"/>
    <n v="1"/>
    <n v="2"/>
  </r>
  <r>
    <n v="30"/>
    <x v="2"/>
    <x v="1"/>
    <s v="Travel_Rarely"/>
    <x v="0"/>
    <s v="Technical Degree"/>
    <x v="0"/>
    <n v="1568"/>
    <n v="29"/>
    <x v="1"/>
    <s v="Male"/>
    <n v="3"/>
    <x v="1"/>
    <x v="1"/>
    <n v="9250"/>
    <n v="17799"/>
    <n v="3"/>
    <x v="1"/>
    <n v="3"/>
    <n v="2"/>
    <n v="80"/>
    <n v="9"/>
    <x v="1"/>
    <x v="1"/>
    <n v="4"/>
    <x v="3"/>
    <n v="1"/>
    <n v="3"/>
  </r>
  <r>
    <n v="35"/>
    <x v="1"/>
    <x v="0"/>
    <s v="Travel_Rarely"/>
    <x v="1"/>
    <s v="Life Sciences"/>
    <x v="2"/>
    <n v="1569"/>
    <n v="2"/>
    <x v="3"/>
    <s v="Female"/>
    <n v="1"/>
    <x v="3"/>
    <x v="2"/>
    <n v="2074"/>
    <n v="26619"/>
    <n v="1"/>
    <x v="0"/>
    <n v="3"/>
    <n v="4"/>
    <n v="80"/>
    <n v="1"/>
    <x v="2"/>
    <x v="1"/>
    <n v="1"/>
    <x v="2"/>
    <n v="0"/>
    <n v="0"/>
  </r>
  <r>
    <n v="53"/>
    <x v="3"/>
    <x v="0"/>
    <s v="Travel_Rarely"/>
    <x v="1"/>
    <s v="Technical Degree"/>
    <x v="3"/>
    <n v="1572"/>
    <n v="2"/>
    <x v="1"/>
    <s v="Female"/>
    <n v="3"/>
    <x v="0"/>
    <x v="1"/>
    <n v="10169"/>
    <n v="14618"/>
    <n v="0"/>
    <x v="1"/>
    <n v="3"/>
    <n v="2"/>
    <n v="80"/>
    <n v="34"/>
    <x v="5"/>
    <x v="1"/>
    <n v="33"/>
    <x v="1"/>
    <n v="1"/>
    <n v="9"/>
  </r>
  <r>
    <n v="38"/>
    <x v="1"/>
    <x v="0"/>
    <s v="Travel_Rarely"/>
    <x v="1"/>
    <s v="Medical"/>
    <x v="3"/>
    <n v="1573"/>
    <n v="2"/>
    <x v="1"/>
    <s v="Male"/>
    <n v="2"/>
    <x v="1"/>
    <x v="1"/>
    <n v="4855"/>
    <n v="7653"/>
    <n v="4"/>
    <x v="1"/>
    <n v="3"/>
    <n v="1"/>
    <n v="80"/>
    <n v="7"/>
    <x v="2"/>
    <x v="1"/>
    <n v="5"/>
    <x v="3"/>
    <n v="1"/>
    <n v="4"/>
  </r>
  <r>
    <n v="32"/>
    <x v="1"/>
    <x v="1"/>
    <s v="Non-Travel"/>
    <x v="1"/>
    <s v="Technical Degree"/>
    <x v="1"/>
    <n v="1574"/>
    <n v="1"/>
    <x v="2"/>
    <s v="Male"/>
    <n v="2"/>
    <x v="3"/>
    <x v="1"/>
    <n v="4087"/>
    <n v="25174"/>
    <n v="4"/>
    <x v="1"/>
    <n v="3"/>
    <n v="2"/>
    <n v="80"/>
    <n v="9"/>
    <x v="1"/>
    <x v="2"/>
    <n v="6"/>
    <x v="4"/>
    <n v="1"/>
    <n v="2"/>
  </r>
  <r>
    <n v="48"/>
    <x v="0"/>
    <x v="1"/>
    <s v="Travel_Rarely"/>
    <x v="1"/>
    <s v="Other"/>
    <x v="1"/>
    <n v="1576"/>
    <n v="15"/>
    <x v="1"/>
    <s v="Female"/>
    <n v="1"/>
    <x v="3"/>
    <x v="1"/>
    <n v="2367"/>
    <n v="16530"/>
    <n v="8"/>
    <x v="1"/>
    <n v="3"/>
    <n v="4"/>
    <n v="80"/>
    <n v="10"/>
    <x v="1"/>
    <x v="2"/>
    <n v="8"/>
    <x v="3"/>
    <n v="7"/>
    <n v="6"/>
  </r>
  <r>
    <n v="34"/>
    <x v="1"/>
    <x v="1"/>
    <s v="Travel_Rarely"/>
    <x v="1"/>
    <s v="Medical"/>
    <x v="1"/>
    <n v="1577"/>
    <n v="7"/>
    <x v="3"/>
    <s v="Male"/>
    <n v="1"/>
    <x v="0"/>
    <x v="0"/>
    <n v="2972"/>
    <n v="22061"/>
    <n v="1"/>
    <x v="1"/>
    <n v="3"/>
    <n v="3"/>
    <n v="80"/>
    <n v="1"/>
    <x v="5"/>
    <x v="0"/>
    <n v="1"/>
    <x v="2"/>
    <n v="0"/>
    <n v="0"/>
  </r>
  <r>
    <n v="55"/>
    <x v="3"/>
    <x v="1"/>
    <s v="Travel_Rarely"/>
    <x v="0"/>
    <s v="Marketing"/>
    <x v="5"/>
    <n v="1578"/>
    <n v="26"/>
    <x v="1"/>
    <s v="Male"/>
    <n v="5"/>
    <x v="0"/>
    <x v="1"/>
    <n v="19586"/>
    <n v="23037"/>
    <n v="1"/>
    <x v="1"/>
    <n v="4"/>
    <n v="3"/>
    <n v="80"/>
    <n v="36"/>
    <x v="1"/>
    <x v="1"/>
    <n v="36"/>
    <x v="8"/>
    <n v="2"/>
    <n v="13"/>
  </r>
  <r>
    <n v="34"/>
    <x v="1"/>
    <x v="1"/>
    <s v="Travel_Rarely"/>
    <x v="1"/>
    <s v="Life Sciences"/>
    <x v="1"/>
    <n v="1580"/>
    <n v="1"/>
    <x v="0"/>
    <s v="Male"/>
    <n v="2"/>
    <x v="0"/>
    <x v="1"/>
    <n v="5484"/>
    <n v="13008"/>
    <n v="9"/>
    <x v="1"/>
    <n v="3"/>
    <n v="2"/>
    <n v="80"/>
    <n v="9"/>
    <x v="1"/>
    <x v="2"/>
    <n v="2"/>
    <x v="3"/>
    <n v="2"/>
    <n v="1"/>
  </r>
  <r>
    <n v="26"/>
    <x v="2"/>
    <x v="1"/>
    <s v="Travel_Rarely"/>
    <x v="1"/>
    <s v="Life Sciences"/>
    <x v="1"/>
    <n v="1581"/>
    <n v="3"/>
    <x v="3"/>
    <s v="Female"/>
    <n v="1"/>
    <x v="0"/>
    <x v="1"/>
    <n v="2061"/>
    <n v="11133"/>
    <n v="1"/>
    <x v="1"/>
    <n v="4"/>
    <n v="1"/>
    <n v="80"/>
    <n v="1"/>
    <x v="3"/>
    <x v="1"/>
    <n v="1"/>
    <x v="2"/>
    <n v="0"/>
    <n v="0"/>
  </r>
  <r>
    <n v="38"/>
    <x v="1"/>
    <x v="1"/>
    <s v="Travel_Rarely"/>
    <x v="0"/>
    <s v="Life Sciences"/>
    <x v="0"/>
    <n v="1582"/>
    <n v="14"/>
    <x v="1"/>
    <s v="Male"/>
    <n v="2"/>
    <x v="1"/>
    <x v="1"/>
    <n v="9924"/>
    <n v="12355"/>
    <n v="0"/>
    <x v="1"/>
    <n v="3"/>
    <n v="4"/>
    <n v="80"/>
    <n v="10"/>
    <x v="1"/>
    <x v="1"/>
    <n v="9"/>
    <x v="6"/>
    <n v="7"/>
    <n v="7"/>
  </r>
  <r>
    <n v="38"/>
    <x v="1"/>
    <x v="1"/>
    <s v="Travel_Rarely"/>
    <x v="0"/>
    <s v="Life Sciences"/>
    <x v="0"/>
    <n v="1583"/>
    <n v="16"/>
    <x v="0"/>
    <s v="Female"/>
    <n v="2"/>
    <x v="1"/>
    <x v="0"/>
    <n v="4198"/>
    <n v="16379"/>
    <n v="2"/>
    <x v="1"/>
    <n v="3"/>
    <n v="2"/>
    <n v="80"/>
    <n v="8"/>
    <x v="3"/>
    <x v="3"/>
    <n v="3"/>
    <x v="3"/>
    <n v="1"/>
    <n v="2"/>
  </r>
  <r>
    <n v="36"/>
    <x v="1"/>
    <x v="1"/>
    <s v="Travel_Rarely"/>
    <x v="0"/>
    <s v="Life Sciences"/>
    <x v="0"/>
    <n v="1585"/>
    <n v="1"/>
    <x v="0"/>
    <s v="Female"/>
    <n v="2"/>
    <x v="2"/>
    <x v="0"/>
    <n v="6815"/>
    <n v="21447"/>
    <n v="6"/>
    <x v="1"/>
    <n v="3"/>
    <n v="1"/>
    <n v="80"/>
    <n v="15"/>
    <x v="3"/>
    <x v="1"/>
    <n v="1"/>
    <x v="2"/>
    <n v="0"/>
    <n v="0"/>
  </r>
  <r>
    <n v="29"/>
    <x v="2"/>
    <x v="1"/>
    <s v="Travel_Rarely"/>
    <x v="1"/>
    <s v="Medical"/>
    <x v="2"/>
    <n v="1586"/>
    <n v="3"/>
    <x v="0"/>
    <s v="Male"/>
    <n v="1"/>
    <x v="3"/>
    <x v="0"/>
    <n v="4723"/>
    <n v="16213"/>
    <n v="1"/>
    <x v="0"/>
    <n v="3"/>
    <n v="4"/>
    <n v="80"/>
    <n v="10"/>
    <x v="1"/>
    <x v="1"/>
    <n v="10"/>
    <x v="5"/>
    <n v="1"/>
    <n v="5"/>
  </r>
  <r>
    <n v="35"/>
    <x v="1"/>
    <x v="1"/>
    <s v="Travel_Rarely"/>
    <x v="1"/>
    <s v="Medical"/>
    <x v="4"/>
    <n v="1587"/>
    <n v="10"/>
    <x v="3"/>
    <s v="Female"/>
    <n v="2"/>
    <x v="2"/>
    <x v="0"/>
    <n v="6142"/>
    <n v="4223"/>
    <n v="3"/>
    <x v="0"/>
    <n v="3"/>
    <n v="3"/>
    <n v="80"/>
    <n v="10"/>
    <x v="5"/>
    <x v="1"/>
    <n v="5"/>
    <x v="3"/>
    <n v="0"/>
    <n v="4"/>
  </r>
  <r>
    <n v="39"/>
    <x v="1"/>
    <x v="1"/>
    <s v="Travel_Rarely"/>
    <x v="0"/>
    <s v="Medical"/>
    <x v="0"/>
    <n v="1588"/>
    <n v="6"/>
    <x v="2"/>
    <s v="Male"/>
    <n v="3"/>
    <x v="2"/>
    <x v="1"/>
    <n v="8237"/>
    <n v="4658"/>
    <n v="2"/>
    <x v="1"/>
    <n v="3"/>
    <n v="1"/>
    <n v="80"/>
    <n v="11"/>
    <x v="1"/>
    <x v="1"/>
    <n v="7"/>
    <x v="8"/>
    <n v="7"/>
    <n v="6"/>
  </r>
  <r>
    <n v="29"/>
    <x v="2"/>
    <x v="1"/>
    <s v="Travel_Frequently"/>
    <x v="1"/>
    <s v="Life Sciences"/>
    <x v="4"/>
    <n v="1590"/>
    <n v="2"/>
    <x v="3"/>
    <s v="Male"/>
    <n v="2"/>
    <x v="0"/>
    <x v="2"/>
    <n v="8853"/>
    <n v="24483"/>
    <n v="1"/>
    <x v="1"/>
    <n v="3"/>
    <n v="4"/>
    <n v="80"/>
    <n v="6"/>
    <x v="0"/>
    <x v="3"/>
    <n v="6"/>
    <x v="0"/>
    <n v="1"/>
    <n v="3"/>
  </r>
  <r>
    <n v="50"/>
    <x v="0"/>
    <x v="1"/>
    <s v="Travel_Rarely"/>
    <x v="0"/>
    <s v="Marketing"/>
    <x v="5"/>
    <n v="1591"/>
    <n v="9"/>
    <x v="1"/>
    <s v="Male"/>
    <n v="5"/>
    <x v="2"/>
    <x v="1"/>
    <n v="19331"/>
    <n v="19519"/>
    <n v="4"/>
    <x v="0"/>
    <n v="3"/>
    <n v="3"/>
    <n v="80"/>
    <n v="27"/>
    <x v="2"/>
    <x v="1"/>
    <n v="1"/>
    <x v="2"/>
    <n v="0"/>
    <n v="0"/>
  </r>
  <r>
    <n v="23"/>
    <x v="2"/>
    <x v="1"/>
    <s v="Travel_Rarely"/>
    <x v="1"/>
    <s v="Technical Degree"/>
    <x v="1"/>
    <n v="1592"/>
    <n v="10"/>
    <x v="2"/>
    <s v="Male"/>
    <n v="1"/>
    <x v="2"/>
    <x v="1"/>
    <n v="2073"/>
    <n v="12826"/>
    <n v="2"/>
    <x v="1"/>
    <n v="3"/>
    <n v="4"/>
    <n v="80"/>
    <n v="4"/>
    <x v="2"/>
    <x v="1"/>
    <n v="2"/>
    <x v="3"/>
    <n v="2"/>
    <n v="2"/>
  </r>
  <r>
    <n v="36"/>
    <x v="1"/>
    <x v="1"/>
    <s v="Travel_Frequently"/>
    <x v="1"/>
    <s v="Life Sciences"/>
    <x v="2"/>
    <n v="1594"/>
    <n v="6"/>
    <x v="3"/>
    <s v="Male"/>
    <n v="2"/>
    <x v="3"/>
    <x v="1"/>
    <n v="5562"/>
    <n v="19711"/>
    <n v="3"/>
    <x v="0"/>
    <n v="3"/>
    <n v="4"/>
    <n v="80"/>
    <n v="9"/>
    <x v="1"/>
    <x v="1"/>
    <n v="3"/>
    <x v="3"/>
    <n v="0"/>
    <n v="2"/>
  </r>
  <r>
    <n v="42"/>
    <x v="0"/>
    <x v="1"/>
    <s v="Travel_Rarely"/>
    <x v="1"/>
    <s v="Other"/>
    <x v="5"/>
    <n v="1595"/>
    <n v="9"/>
    <x v="2"/>
    <s v="Male"/>
    <n v="5"/>
    <x v="0"/>
    <x v="0"/>
    <n v="19613"/>
    <n v="26362"/>
    <n v="8"/>
    <x v="1"/>
    <n v="4"/>
    <n v="4"/>
    <n v="80"/>
    <n v="24"/>
    <x v="2"/>
    <x v="1"/>
    <n v="1"/>
    <x v="2"/>
    <n v="0"/>
    <n v="1"/>
  </r>
  <r>
    <n v="35"/>
    <x v="1"/>
    <x v="1"/>
    <s v="Travel_Rarely"/>
    <x v="1"/>
    <s v="Life Sciences"/>
    <x v="2"/>
    <n v="1596"/>
    <n v="28"/>
    <x v="0"/>
    <s v="Male"/>
    <n v="2"/>
    <x v="2"/>
    <x v="1"/>
    <n v="3407"/>
    <n v="25348"/>
    <n v="1"/>
    <x v="1"/>
    <n v="3"/>
    <n v="4"/>
    <n v="80"/>
    <n v="10"/>
    <x v="1"/>
    <x v="2"/>
    <n v="10"/>
    <x v="5"/>
    <n v="6"/>
    <n v="8"/>
  </r>
  <r>
    <n v="34"/>
    <x v="1"/>
    <x v="1"/>
    <s v="Travel_Frequently"/>
    <x v="1"/>
    <s v="Technical Degree"/>
    <x v="4"/>
    <n v="1597"/>
    <n v="10"/>
    <x v="2"/>
    <s v="Male"/>
    <n v="2"/>
    <x v="2"/>
    <x v="1"/>
    <n v="5063"/>
    <n v="15332"/>
    <n v="1"/>
    <x v="1"/>
    <n v="3"/>
    <n v="2"/>
    <n v="80"/>
    <n v="8"/>
    <x v="1"/>
    <x v="2"/>
    <n v="8"/>
    <x v="3"/>
    <n v="7"/>
    <n v="7"/>
  </r>
  <r>
    <n v="40"/>
    <x v="1"/>
    <x v="1"/>
    <s v="Travel_Rarely"/>
    <x v="0"/>
    <s v="Life Sciences"/>
    <x v="0"/>
    <n v="1598"/>
    <n v="14"/>
    <x v="2"/>
    <s v="Female"/>
    <n v="2"/>
    <x v="3"/>
    <x v="1"/>
    <n v="4639"/>
    <n v="11262"/>
    <n v="1"/>
    <x v="1"/>
    <n v="3"/>
    <n v="3"/>
    <n v="80"/>
    <n v="5"/>
    <x v="2"/>
    <x v="1"/>
    <n v="5"/>
    <x v="0"/>
    <n v="1"/>
    <n v="2"/>
  </r>
  <r>
    <n v="43"/>
    <x v="0"/>
    <x v="1"/>
    <s v="Travel_Rarely"/>
    <x v="1"/>
    <s v="Technical Degree"/>
    <x v="2"/>
    <n v="1599"/>
    <n v="27"/>
    <x v="2"/>
    <s v="Male"/>
    <n v="1"/>
    <x v="1"/>
    <x v="2"/>
    <n v="4876"/>
    <n v="5855"/>
    <n v="5"/>
    <x v="1"/>
    <n v="3"/>
    <n v="3"/>
    <n v="80"/>
    <n v="8"/>
    <x v="0"/>
    <x v="1"/>
    <n v="6"/>
    <x v="0"/>
    <n v="0"/>
    <n v="2"/>
  </r>
  <r>
    <n v="35"/>
    <x v="1"/>
    <x v="1"/>
    <s v="Travel_Rarely"/>
    <x v="1"/>
    <s v="Life Sciences"/>
    <x v="2"/>
    <n v="1601"/>
    <n v="7"/>
    <x v="1"/>
    <s v="Male"/>
    <n v="1"/>
    <x v="0"/>
    <x v="1"/>
    <n v="2690"/>
    <n v="7713"/>
    <n v="1"/>
    <x v="1"/>
    <n v="3"/>
    <n v="4"/>
    <n v="80"/>
    <n v="1"/>
    <x v="3"/>
    <x v="2"/>
    <n v="1"/>
    <x v="2"/>
    <n v="0"/>
    <n v="1"/>
  </r>
  <r>
    <n v="46"/>
    <x v="0"/>
    <x v="1"/>
    <s v="Travel_Rarely"/>
    <x v="0"/>
    <s v="Life Sciences"/>
    <x v="5"/>
    <n v="1602"/>
    <n v="1"/>
    <x v="2"/>
    <s v="Male"/>
    <n v="4"/>
    <x v="3"/>
    <x v="0"/>
    <n v="17567"/>
    <n v="3156"/>
    <n v="1"/>
    <x v="1"/>
    <n v="3"/>
    <n v="2"/>
    <n v="80"/>
    <n v="27"/>
    <x v="3"/>
    <x v="0"/>
    <n v="26"/>
    <x v="2"/>
    <n v="0"/>
    <n v="12"/>
  </r>
  <r>
    <n v="28"/>
    <x v="2"/>
    <x v="0"/>
    <s v="Travel_Rarely"/>
    <x v="1"/>
    <s v="Medical"/>
    <x v="2"/>
    <n v="1604"/>
    <n v="24"/>
    <x v="1"/>
    <s v="Male"/>
    <n v="1"/>
    <x v="1"/>
    <x v="1"/>
    <n v="2408"/>
    <n v="7324"/>
    <n v="1"/>
    <x v="0"/>
    <n v="3"/>
    <n v="3"/>
    <n v="80"/>
    <n v="1"/>
    <x v="1"/>
    <x v="1"/>
    <n v="1"/>
    <x v="10"/>
    <n v="0"/>
    <n v="0"/>
  </r>
  <r>
    <n v="22"/>
    <x v="2"/>
    <x v="1"/>
    <s v="Non-Travel"/>
    <x v="1"/>
    <s v="Other"/>
    <x v="1"/>
    <n v="1605"/>
    <n v="26"/>
    <x v="0"/>
    <s v="Female"/>
    <n v="1"/>
    <x v="2"/>
    <x v="1"/>
    <n v="2814"/>
    <n v="10293"/>
    <n v="1"/>
    <x v="0"/>
    <n v="3"/>
    <n v="2"/>
    <n v="80"/>
    <n v="4"/>
    <x v="2"/>
    <x v="2"/>
    <n v="4"/>
    <x v="3"/>
    <n v="1"/>
    <n v="3"/>
  </r>
  <r>
    <n v="50"/>
    <x v="0"/>
    <x v="1"/>
    <s v="Travel_Frequently"/>
    <x v="1"/>
    <s v="Medical"/>
    <x v="4"/>
    <n v="1606"/>
    <n v="20"/>
    <x v="0"/>
    <s v="Male"/>
    <n v="4"/>
    <x v="2"/>
    <x v="1"/>
    <n v="11245"/>
    <n v="20689"/>
    <n v="2"/>
    <x v="0"/>
    <n v="3"/>
    <n v="3"/>
    <n v="80"/>
    <n v="32"/>
    <x v="1"/>
    <x v="1"/>
    <n v="30"/>
    <x v="6"/>
    <n v="12"/>
    <n v="13"/>
  </r>
  <r>
    <n v="32"/>
    <x v="1"/>
    <x v="1"/>
    <s v="Travel_Rarely"/>
    <x v="1"/>
    <s v="Other"/>
    <x v="1"/>
    <n v="1607"/>
    <n v="5"/>
    <x v="0"/>
    <s v="Female"/>
    <n v="1"/>
    <x v="0"/>
    <x v="1"/>
    <n v="3312"/>
    <n v="18783"/>
    <n v="3"/>
    <x v="1"/>
    <n v="3"/>
    <n v="4"/>
    <n v="80"/>
    <n v="6"/>
    <x v="1"/>
    <x v="1"/>
    <n v="3"/>
    <x v="3"/>
    <n v="0"/>
    <n v="2"/>
  </r>
  <r>
    <n v="44"/>
    <x v="0"/>
    <x v="1"/>
    <s v="Travel_Rarely"/>
    <x v="1"/>
    <s v="Medical"/>
    <x v="7"/>
    <n v="1608"/>
    <n v="7"/>
    <x v="0"/>
    <s v="Female"/>
    <n v="5"/>
    <x v="0"/>
    <x v="2"/>
    <n v="19049"/>
    <n v="3549"/>
    <n v="0"/>
    <x v="0"/>
    <n v="3"/>
    <n v="4"/>
    <n v="80"/>
    <n v="23"/>
    <x v="5"/>
    <x v="2"/>
    <n v="22"/>
    <x v="1"/>
    <n v="1"/>
    <n v="10"/>
  </r>
  <r>
    <n v="30"/>
    <x v="2"/>
    <x v="1"/>
    <s v="Travel_Rarely"/>
    <x v="1"/>
    <s v="Medical"/>
    <x v="1"/>
    <n v="1609"/>
    <n v="7"/>
    <x v="0"/>
    <s v="Male"/>
    <n v="1"/>
    <x v="1"/>
    <x v="1"/>
    <n v="2141"/>
    <n v="5348"/>
    <n v="1"/>
    <x v="1"/>
    <n v="3"/>
    <n v="2"/>
    <n v="80"/>
    <n v="6"/>
    <x v="1"/>
    <x v="2"/>
    <n v="6"/>
    <x v="0"/>
    <n v="1"/>
    <n v="1"/>
  </r>
  <r>
    <n v="45"/>
    <x v="0"/>
    <x v="1"/>
    <s v="Travel_Rarely"/>
    <x v="1"/>
    <s v="Medical"/>
    <x v="2"/>
    <n v="1611"/>
    <n v="5"/>
    <x v="1"/>
    <s v="Female"/>
    <n v="2"/>
    <x v="3"/>
    <x v="0"/>
    <n v="5769"/>
    <n v="23447"/>
    <n v="1"/>
    <x v="0"/>
    <n v="3"/>
    <n v="1"/>
    <n v="80"/>
    <n v="10"/>
    <x v="1"/>
    <x v="1"/>
    <n v="10"/>
    <x v="1"/>
    <n v="1"/>
    <n v="4"/>
  </r>
  <r>
    <n v="45"/>
    <x v="0"/>
    <x v="1"/>
    <s v="Non-Travel"/>
    <x v="0"/>
    <s v="Marketing"/>
    <x v="0"/>
    <n v="1612"/>
    <n v="26"/>
    <x v="3"/>
    <s v="Male"/>
    <n v="2"/>
    <x v="3"/>
    <x v="1"/>
    <n v="4385"/>
    <n v="24162"/>
    <n v="1"/>
    <x v="1"/>
    <n v="3"/>
    <n v="1"/>
    <n v="80"/>
    <n v="10"/>
    <x v="2"/>
    <x v="1"/>
    <n v="10"/>
    <x v="1"/>
    <n v="4"/>
    <n v="5"/>
  </r>
  <r>
    <n v="31"/>
    <x v="1"/>
    <x v="1"/>
    <s v="Travel_Frequently"/>
    <x v="0"/>
    <s v="Other"/>
    <x v="0"/>
    <n v="1613"/>
    <n v="2"/>
    <x v="2"/>
    <s v="Male"/>
    <n v="2"/>
    <x v="3"/>
    <x v="0"/>
    <n v="5332"/>
    <n v="21602"/>
    <n v="7"/>
    <x v="1"/>
    <n v="3"/>
    <n v="4"/>
    <n v="80"/>
    <n v="10"/>
    <x v="1"/>
    <x v="1"/>
    <n v="5"/>
    <x v="3"/>
    <n v="0"/>
    <n v="3"/>
  </r>
  <r>
    <n v="36"/>
    <x v="1"/>
    <x v="1"/>
    <s v="Travel_Rarely"/>
    <x v="1"/>
    <s v="Life Sciences"/>
    <x v="3"/>
    <n v="1614"/>
    <n v="12"/>
    <x v="1"/>
    <s v="Female"/>
    <n v="2"/>
    <x v="2"/>
    <x v="1"/>
    <n v="4663"/>
    <n v="12421"/>
    <n v="9"/>
    <x v="0"/>
    <n v="3"/>
    <n v="2"/>
    <n v="80"/>
    <n v="7"/>
    <x v="2"/>
    <x v="1"/>
    <n v="3"/>
    <x v="3"/>
    <n v="1"/>
    <n v="1"/>
  </r>
  <r>
    <n v="34"/>
    <x v="1"/>
    <x v="1"/>
    <s v="Travel_Frequently"/>
    <x v="1"/>
    <s v="Life Sciences"/>
    <x v="3"/>
    <n v="1615"/>
    <n v="10"/>
    <x v="1"/>
    <s v="Male"/>
    <n v="2"/>
    <x v="0"/>
    <x v="2"/>
    <n v="4724"/>
    <n v="17000"/>
    <n v="1"/>
    <x v="1"/>
    <n v="3"/>
    <n v="1"/>
    <n v="80"/>
    <n v="9"/>
    <x v="1"/>
    <x v="1"/>
    <n v="9"/>
    <x v="1"/>
    <n v="7"/>
    <n v="2"/>
  </r>
  <r>
    <n v="49"/>
    <x v="0"/>
    <x v="1"/>
    <s v="Travel_Rarely"/>
    <x v="1"/>
    <s v="Life Sciences"/>
    <x v="2"/>
    <n v="1617"/>
    <n v="25"/>
    <x v="1"/>
    <s v="Female"/>
    <n v="1"/>
    <x v="3"/>
    <x v="1"/>
    <n v="3211"/>
    <n v="22102"/>
    <n v="1"/>
    <x v="1"/>
    <n v="3"/>
    <n v="4"/>
    <n v="80"/>
    <n v="10"/>
    <x v="1"/>
    <x v="2"/>
    <n v="9"/>
    <x v="8"/>
    <n v="1"/>
    <n v="4"/>
  </r>
  <r>
    <n v="39"/>
    <x v="1"/>
    <x v="1"/>
    <s v="Travel_Rarely"/>
    <x v="1"/>
    <s v="Medical"/>
    <x v="3"/>
    <n v="1618"/>
    <n v="10"/>
    <x v="0"/>
    <s v="Male"/>
    <n v="2"/>
    <x v="3"/>
    <x v="1"/>
    <n v="5377"/>
    <n v="3835"/>
    <n v="2"/>
    <x v="1"/>
    <n v="3"/>
    <n v="4"/>
    <n v="80"/>
    <n v="10"/>
    <x v="1"/>
    <x v="1"/>
    <n v="7"/>
    <x v="1"/>
    <n v="7"/>
    <n v="7"/>
  </r>
  <r>
    <n v="27"/>
    <x v="2"/>
    <x v="1"/>
    <s v="Travel_Rarely"/>
    <x v="1"/>
    <s v="Other"/>
    <x v="2"/>
    <n v="1619"/>
    <n v="19"/>
    <x v="2"/>
    <s v="Male"/>
    <n v="1"/>
    <x v="3"/>
    <x v="2"/>
    <n v="4066"/>
    <n v="16290"/>
    <n v="1"/>
    <x v="1"/>
    <n v="3"/>
    <n v="1"/>
    <n v="80"/>
    <n v="7"/>
    <x v="1"/>
    <x v="1"/>
    <n v="7"/>
    <x v="1"/>
    <n v="0"/>
    <n v="7"/>
  </r>
  <r>
    <n v="35"/>
    <x v="1"/>
    <x v="1"/>
    <s v="Travel_Rarely"/>
    <x v="1"/>
    <s v="Life Sciences"/>
    <x v="1"/>
    <n v="1621"/>
    <n v="18"/>
    <x v="0"/>
    <s v="Male"/>
    <n v="2"/>
    <x v="3"/>
    <x v="1"/>
    <n v="5208"/>
    <n v="26312"/>
    <n v="1"/>
    <x v="1"/>
    <n v="3"/>
    <n v="4"/>
    <n v="80"/>
    <n v="16"/>
    <x v="2"/>
    <x v="1"/>
    <n v="16"/>
    <x v="11"/>
    <n v="1"/>
    <n v="10"/>
  </r>
  <r>
    <n v="28"/>
    <x v="2"/>
    <x v="1"/>
    <s v="Travel_Rarely"/>
    <x v="1"/>
    <s v="Medical"/>
    <x v="3"/>
    <n v="1622"/>
    <n v="27"/>
    <x v="0"/>
    <s v="Female"/>
    <n v="2"/>
    <x v="3"/>
    <x v="2"/>
    <n v="4877"/>
    <n v="20460"/>
    <n v="0"/>
    <x v="1"/>
    <n v="4"/>
    <n v="2"/>
    <n v="80"/>
    <n v="6"/>
    <x v="3"/>
    <x v="2"/>
    <n v="5"/>
    <x v="7"/>
    <n v="0"/>
    <n v="0"/>
  </r>
  <r>
    <n v="21"/>
    <x v="2"/>
    <x v="1"/>
    <s v="Travel_Rarely"/>
    <x v="1"/>
    <s v="Medical"/>
    <x v="1"/>
    <n v="1623"/>
    <n v="5"/>
    <x v="1"/>
    <s v="Male"/>
    <n v="1"/>
    <x v="0"/>
    <x v="0"/>
    <n v="3117"/>
    <n v="26009"/>
    <n v="1"/>
    <x v="1"/>
    <n v="3"/>
    <n v="3"/>
    <n v="80"/>
    <n v="3"/>
    <x v="2"/>
    <x v="1"/>
    <n v="2"/>
    <x v="3"/>
    <n v="2"/>
    <n v="2"/>
  </r>
  <r>
    <n v="18"/>
    <x v="4"/>
    <x v="0"/>
    <s v="Travel_Frequently"/>
    <x v="0"/>
    <s v="Medical"/>
    <x v="6"/>
    <n v="1624"/>
    <n v="3"/>
    <x v="0"/>
    <s v="Female"/>
    <n v="1"/>
    <x v="0"/>
    <x v="0"/>
    <n v="1569"/>
    <n v="18420"/>
    <n v="1"/>
    <x v="0"/>
    <n v="3"/>
    <n v="3"/>
    <n v="80"/>
    <n v="0"/>
    <x v="2"/>
    <x v="3"/>
    <n v="0"/>
    <x v="2"/>
    <n v="0"/>
    <n v="0"/>
  </r>
  <r>
    <n v="47"/>
    <x v="0"/>
    <x v="1"/>
    <s v="Travel_Rarely"/>
    <x v="2"/>
    <s v="Life Sciences"/>
    <x v="5"/>
    <n v="1625"/>
    <n v="26"/>
    <x v="2"/>
    <s v="Female"/>
    <n v="5"/>
    <x v="2"/>
    <x v="1"/>
    <n v="19658"/>
    <n v="5220"/>
    <n v="3"/>
    <x v="1"/>
    <n v="3"/>
    <n v="3"/>
    <n v="80"/>
    <n v="27"/>
    <x v="2"/>
    <x v="1"/>
    <n v="5"/>
    <x v="3"/>
    <n v="1"/>
    <n v="0"/>
  </r>
  <r>
    <n v="39"/>
    <x v="1"/>
    <x v="1"/>
    <s v="Travel_Rarely"/>
    <x v="1"/>
    <s v="Medical"/>
    <x v="2"/>
    <n v="1627"/>
    <n v="3"/>
    <x v="1"/>
    <s v="Male"/>
    <n v="2"/>
    <x v="2"/>
    <x v="2"/>
    <n v="3069"/>
    <n v="10302"/>
    <n v="0"/>
    <x v="1"/>
    <n v="3"/>
    <n v="4"/>
    <n v="80"/>
    <n v="11"/>
    <x v="1"/>
    <x v="1"/>
    <n v="10"/>
    <x v="6"/>
    <n v="0"/>
    <n v="7"/>
  </r>
  <r>
    <n v="40"/>
    <x v="1"/>
    <x v="1"/>
    <s v="Travel_Rarely"/>
    <x v="1"/>
    <s v="Life Sciences"/>
    <x v="3"/>
    <n v="1628"/>
    <n v="15"/>
    <x v="3"/>
    <s v="Female"/>
    <n v="3"/>
    <x v="2"/>
    <x v="1"/>
    <n v="10435"/>
    <n v="25800"/>
    <n v="1"/>
    <x v="1"/>
    <n v="3"/>
    <n v="4"/>
    <n v="80"/>
    <n v="18"/>
    <x v="2"/>
    <x v="1"/>
    <n v="18"/>
    <x v="11"/>
    <n v="14"/>
    <n v="12"/>
  </r>
  <r>
    <n v="35"/>
    <x v="1"/>
    <x v="1"/>
    <s v="Non-Travel"/>
    <x v="1"/>
    <s v="Life Sciences"/>
    <x v="4"/>
    <n v="1630"/>
    <n v="8"/>
    <x v="1"/>
    <s v="Female"/>
    <n v="2"/>
    <x v="2"/>
    <x v="1"/>
    <n v="4148"/>
    <n v="12250"/>
    <n v="1"/>
    <x v="1"/>
    <n v="3"/>
    <n v="4"/>
    <n v="80"/>
    <n v="15"/>
    <x v="3"/>
    <x v="1"/>
    <n v="14"/>
    <x v="14"/>
    <n v="2"/>
    <n v="9"/>
  </r>
  <r>
    <n v="37"/>
    <x v="1"/>
    <x v="1"/>
    <s v="Travel_Rarely"/>
    <x v="1"/>
    <s v="Life Sciences"/>
    <x v="3"/>
    <n v="1631"/>
    <n v="19"/>
    <x v="1"/>
    <s v="Male"/>
    <n v="2"/>
    <x v="2"/>
    <x v="1"/>
    <n v="5768"/>
    <n v="26493"/>
    <n v="3"/>
    <x v="1"/>
    <n v="3"/>
    <n v="1"/>
    <n v="80"/>
    <n v="9"/>
    <x v="2"/>
    <x v="2"/>
    <n v="4"/>
    <x v="7"/>
    <n v="0"/>
    <n v="2"/>
  </r>
  <r>
    <n v="39"/>
    <x v="1"/>
    <x v="1"/>
    <s v="Travel_Frequently"/>
    <x v="1"/>
    <s v="Medical"/>
    <x v="3"/>
    <n v="1633"/>
    <n v="4"/>
    <x v="3"/>
    <s v="Female"/>
    <n v="2"/>
    <x v="2"/>
    <x v="0"/>
    <n v="5042"/>
    <n v="3140"/>
    <n v="0"/>
    <x v="1"/>
    <n v="3"/>
    <n v="4"/>
    <n v="80"/>
    <n v="10"/>
    <x v="2"/>
    <x v="0"/>
    <n v="9"/>
    <x v="3"/>
    <n v="3"/>
    <n v="8"/>
  </r>
  <r>
    <n v="45"/>
    <x v="0"/>
    <x v="1"/>
    <s v="Travel_Rarely"/>
    <x v="1"/>
    <s v="Other"/>
    <x v="3"/>
    <n v="1635"/>
    <n v="2"/>
    <x v="2"/>
    <s v="Female"/>
    <n v="2"/>
    <x v="0"/>
    <x v="2"/>
    <n v="5770"/>
    <n v="5388"/>
    <n v="1"/>
    <x v="1"/>
    <n v="3"/>
    <n v="1"/>
    <n v="80"/>
    <n v="10"/>
    <x v="1"/>
    <x v="1"/>
    <n v="10"/>
    <x v="1"/>
    <n v="3"/>
    <n v="9"/>
  </r>
  <r>
    <n v="38"/>
    <x v="1"/>
    <x v="1"/>
    <s v="Travel_Rarely"/>
    <x v="1"/>
    <s v="Medical"/>
    <x v="3"/>
    <n v="1638"/>
    <n v="2"/>
    <x v="2"/>
    <s v="Female"/>
    <n v="3"/>
    <x v="2"/>
    <x v="1"/>
    <n v="7756"/>
    <n v="14199"/>
    <n v="3"/>
    <x v="0"/>
    <n v="3"/>
    <n v="4"/>
    <n v="80"/>
    <n v="10"/>
    <x v="6"/>
    <x v="3"/>
    <n v="5"/>
    <x v="0"/>
    <n v="0"/>
    <n v="2"/>
  </r>
  <r>
    <n v="35"/>
    <x v="1"/>
    <x v="0"/>
    <s v="Travel_Rarely"/>
    <x v="0"/>
    <s v="Medical"/>
    <x v="0"/>
    <n v="1639"/>
    <n v="10"/>
    <x v="2"/>
    <s v="Male"/>
    <n v="3"/>
    <x v="3"/>
    <x v="1"/>
    <n v="10306"/>
    <n v="21530"/>
    <n v="9"/>
    <x v="1"/>
    <n v="3"/>
    <n v="3"/>
    <n v="80"/>
    <n v="15"/>
    <x v="1"/>
    <x v="1"/>
    <n v="13"/>
    <x v="16"/>
    <n v="6"/>
    <n v="0"/>
  </r>
  <r>
    <n v="37"/>
    <x v="1"/>
    <x v="1"/>
    <s v="Travel_Rarely"/>
    <x v="1"/>
    <s v="Medical"/>
    <x v="1"/>
    <n v="1640"/>
    <n v="10"/>
    <x v="0"/>
    <s v="Female"/>
    <n v="1"/>
    <x v="1"/>
    <x v="1"/>
    <n v="3936"/>
    <n v="9953"/>
    <n v="1"/>
    <x v="1"/>
    <n v="3"/>
    <n v="1"/>
    <n v="80"/>
    <n v="8"/>
    <x v="2"/>
    <x v="0"/>
    <n v="8"/>
    <x v="0"/>
    <n v="7"/>
    <n v="7"/>
  </r>
  <r>
    <n v="40"/>
    <x v="1"/>
    <x v="1"/>
    <s v="Travel_Rarely"/>
    <x v="1"/>
    <s v="Life Sciences"/>
    <x v="3"/>
    <n v="1641"/>
    <n v="16"/>
    <x v="1"/>
    <s v="Female"/>
    <n v="3"/>
    <x v="0"/>
    <x v="0"/>
    <n v="7945"/>
    <n v="19948"/>
    <n v="6"/>
    <x v="0"/>
    <n v="3"/>
    <n v="4"/>
    <n v="80"/>
    <n v="18"/>
    <x v="2"/>
    <x v="2"/>
    <n v="4"/>
    <x v="3"/>
    <n v="3"/>
    <n v="3"/>
  </r>
  <r>
    <n v="44"/>
    <x v="0"/>
    <x v="1"/>
    <s v="Travel_Frequently"/>
    <x v="2"/>
    <s v="Human Resources"/>
    <x v="8"/>
    <n v="1642"/>
    <n v="1"/>
    <x v="3"/>
    <s v="Male"/>
    <n v="2"/>
    <x v="0"/>
    <x v="1"/>
    <n v="5743"/>
    <n v="10503"/>
    <n v="4"/>
    <x v="0"/>
    <n v="3"/>
    <n v="3"/>
    <n v="80"/>
    <n v="14"/>
    <x v="1"/>
    <x v="1"/>
    <n v="10"/>
    <x v="1"/>
    <n v="0"/>
    <n v="2"/>
  </r>
  <r>
    <n v="48"/>
    <x v="0"/>
    <x v="1"/>
    <s v="Travel_Frequently"/>
    <x v="1"/>
    <s v="Medical"/>
    <x v="5"/>
    <n v="1644"/>
    <n v="4"/>
    <x v="1"/>
    <s v="Male"/>
    <n v="4"/>
    <x v="0"/>
    <x v="1"/>
    <n v="15202"/>
    <n v="5602"/>
    <n v="2"/>
    <x v="1"/>
    <n v="4"/>
    <n v="2"/>
    <n v="80"/>
    <n v="23"/>
    <x v="1"/>
    <x v="1"/>
    <n v="2"/>
    <x v="3"/>
    <n v="2"/>
    <n v="2"/>
  </r>
  <r>
    <n v="35"/>
    <x v="1"/>
    <x v="0"/>
    <s v="Travel_Rarely"/>
    <x v="0"/>
    <s v="Medical"/>
    <x v="0"/>
    <n v="1645"/>
    <n v="15"/>
    <x v="3"/>
    <s v="Male"/>
    <n v="2"/>
    <x v="0"/>
    <x v="2"/>
    <n v="5440"/>
    <n v="22098"/>
    <n v="6"/>
    <x v="0"/>
    <n v="3"/>
    <n v="4"/>
    <n v="80"/>
    <n v="7"/>
    <x v="2"/>
    <x v="2"/>
    <n v="2"/>
    <x v="3"/>
    <n v="2"/>
    <n v="2"/>
  </r>
  <r>
    <n v="24"/>
    <x v="2"/>
    <x v="1"/>
    <s v="Travel_Frequently"/>
    <x v="1"/>
    <s v="Technical Degree"/>
    <x v="1"/>
    <n v="1646"/>
    <n v="2"/>
    <x v="3"/>
    <s v="Female"/>
    <n v="1"/>
    <x v="0"/>
    <x v="0"/>
    <n v="3760"/>
    <n v="17218"/>
    <n v="1"/>
    <x v="0"/>
    <n v="3"/>
    <n v="3"/>
    <n v="80"/>
    <n v="6"/>
    <x v="2"/>
    <x v="1"/>
    <n v="6"/>
    <x v="7"/>
    <n v="1"/>
    <n v="3"/>
  </r>
  <r>
    <n v="27"/>
    <x v="2"/>
    <x v="1"/>
    <s v="Travel_Rarely"/>
    <x v="1"/>
    <s v="Medical"/>
    <x v="1"/>
    <n v="1647"/>
    <n v="8"/>
    <x v="0"/>
    <s v="Female"/>
    <n v="1"/>
    <x v="2"/>
    <x v="1"/>
    <n v="3517"/>
    <n v="22490"/>
    <n v="7"/>
    <x v="1"/>
    <n v="3"/>
    <n v="1"/>
    <n v="80"/>
    <n v="5"/>
    <x v="0"/>
    <x v="1"/>
    <n v="3"/>
    <x v="3"/>
    <n v="0"/>
    <n v="2"/>
  </r>
  <r>
    <n v="27"/>
    <x v="2"/>
    <x v="1"/>
    <s v="Travel_Frequently"/>
    <x v="1"/>
    <s v="Medical"/>
    <x v="1"/>
    <n v="1648"/>
    <n v="2"/>
    <x v="2"/>
    <s v="Male"/>
    <n v="1"/>
    <x v="0"/>
    <x v="0"/>
    <n v="2580"/>
    <n v="6297"/>
    <n v="2"/>
    <x v="1"/>
    <n v="3"/>
    <n v="3"/>
    <n v="80"/>
    <n v="6"/>
    <x v="0"/>
    <x v="2"/>
    <n v="4"/>
    <x v="3"/>
    <n v="1"/>
    <n v="2"/>
  </r>
  <r>
    <n v="40"/>
    <x v="1"/>
    <x v="0"/>
    <s v="Travel_Rarely"/>
    <x v="1"/>
    <s v="Life Sciences"/>
    <x v="2"/>
    <n v="1649"/>
    <n v="7"/>
    <x v="3"/>
    <s v="Male"/>
    <n v="1"/>
    <x v="3"/>
    <x v="0"/>
    <n v="2166"/>
    <n v="3339"/>
    <n v="3"/>
    <x v="0"/>
    <n v="3"/>
    <n v="2"/>
    <n v="80"/>
    <n v="10"/>
    <x v="1"/>
    <x v="0"/>
    <n v="4"/>
    <x v="3"/>
    <n v="0"/>
    <n v="3"/>
  </r>
  <r>
    <n v="29"/>
    <x v="2"/>
    <x v="1"/>
    <s v="Travel_Rarely"/>
    <x v="0"/>
    <s v="Medical"/>
    <x v="0"/>
    <n v="1650"/>
    <n v="10"/>
    <x v="1"/>
    <s v="Male"/>
    <n v="2"/>
    <x v="2"/>
    <x v="0"/>
    <n v="5869"/>
    <n v="23413"/>
    <n v="9"/>
    <x v="1"/>
    <n v="3"/>
    <n v="3"/>
    <n v="80"/>
    <n v="8"/>
    <x v="2"/>
    <x v="1"/>
    <n v="5"/>
    <x v="3"/>
    <n v="1"/>
    <n v="4"/>
  </r>
  <r>
    <n v="36"/>
    <x v="1"/>
    <x v="1"/>
    <s v="Travel_Rarely"/>
    <x v="1"/>
    <s v="Life Sciences"/>
    <x v="4"/>
    <n v="1651"/>
    <n v="5"/>
    <x v="0"/>
    <s v="Female"/>
    <n v="3"/>
    <x v="3"/>
    <x v="1"/>
    <n v="8008"/>
    <n v="22792"/>
    <n v="4"/>
    <x v="1"/>
    <n v="3"/>
    <n v="3"/>
    <n v="80"/>
    <n v="9"/>
    <x v="6"/>
    <x v="1"/>
    <n v="3"/>
    <x v="3"/>
    <n v="0"/>
    <n v="2"/>
  </r>
  <r>
    <n v="25"/>
    <x v="2"/>
    <x v="1"/>
    <s v="Travel_Frequently"/>
    <x v="1"/>
    <s v="Life Sciences"/>
    <x v="3"/>
    <n v="1653"/>
    <n v="2"/>
    <x v="2"/>
    <s v="Male"/>
    <n v="2"/>
    <x v="2"/>
    <x v="2"/>
    <n v="5206"/>
    <n v="4973"/>
    <n v="1"/>
    <x v="1"/>
    <n v="3"/>
    <n v="3"/>
    <n v="80"/>
    <n v="7"/>
    <x v="6"/>
    <x v="1"/>
    <n v="7"/>
    <x v="1"/>
    <n v="0"/>
    <n v="7"/>
  </r>
  <r>
    <n v="39"/>
    <x v="1"/>
    <x v="1"/>
    <s v="Travel_Rarely"/>
    <x v="1"/>
    <s v="Medical"/>
    <x v="3"/>
    <n v="1654"/>
    <n v="12"/>
    <x v="2"/>
    <s v="Male"/>
    <n v="2"/>
    <x v="1"/>
    <x v="1"/>
    <n v="5295"/>
    <n v="7693"/>
    <n v="4"/>
    <x v="1"/>
    <n v="4"/>
    <n v="3"/>
    <n v="80"/>
    <n v="7"/>
    <x v="1"/>
    <x v="1"/>
    <n v="5"/>
    <x v="0"/>
    <n v="1"/>
    <n v="0"/>
  </r>
  <r>
    <n v="49"/>
    <x v="0"/>
    <x v="1"/>
    <s v="Travel_Rarely"/>
    <x v="1"/>
    <s v="Other"/>
    <x v="7"/>
    <n v="1655"/>
    <n v="22"/>
    <x v="3"/>
    <s v="Female"/>
    <n v="4"/>
    <x v="1"/>
    <x v="1"/>
    <n v="16413"/>
    <n v="3498"/>
    <n v="3"/>
    <x v="1"/>
    <n v="3"/>
    <n v="2"/>
    <n v="80"/>
    <n v="27"/>
    <x v="2"/>
    <x v="1"/>
    <n v="4"/>
    <x v="3"/>
    <n v="1"/>
    <n v="2"/>
  </r>
  <r>
    <n v="50"/>
    <x v="0"/>
    <x v="1"/>
    <s v="Travel_Rarely"/>
    <x v="1"/>
    <s v="Life Sciences"/>
    <x v="7"/>
    <n v="1656"/>
    <n v="17"/>
    <x v="2"/>
    <s v="Female"/>
    <n v="3"/>
    <x v="3"/>
    <x v="2"/>
    <n v="13269"/>
    <n v="21981"/>
    <n v="5"/>
    <x v="1"/>
    <n v="3"/>
    <n v="3"/>
    <n v="80"/>
    <n v="19"/>
    <x v="1"/>
    <x v="1"/>
    <n v="14"/>
    <x v="14"/>
    <n v="1"/>
    <n v="11"/>
  </r>
  <r>
    <n v="20"/>
    <x v="4"/>
    <x v="1"/>
    <s v="Travel_Rarely"/>
    <x v="0"/>
    <s v="Medical"/>
    <x v="6"/>
    <n v="1657"/>
    <n v="2"/>
    <x v="1"/>
    <s v="Female"/>
    <n v="1"/>
    <x v="2"/>
    <x v="0"/>
    <n v="2783"/>
    <n v="13251"/>
    <n v="1"/>
    <x v="1"/>
    <n v="3"/>
    <n v="1"/>
    <n v="80"/>
    <n v="2"/>
    <x v="1"/>
    <x v="1"/>
    <n v="2"/>
    <x v="3"/>
    <n v="2"/>
    <n v="2"/>
  </r>
  <r>
    <n v="34"/>
    <x v="1"/>
    <x v="1"/>
    <s v="Travel_Rarely"/>
    <x v="1"/>
    <s v="Life Sciences"/>
    <x v="1"/>
    <n v="1658"/>
    <n v="3"/>
    <x v="2"/>
    <s v="Female"/>
    <n v="2"/>
    <x v="1"/>
    <x v="2"/>
    <n v="5433"/>
    <n v="19332"/>
    <n v="1"/>
    <x v="1"/>
    <n v="3"/>
    <n v="3"/>
    <n v="80"/>
    <n v="11"/>
    <x v="2"/>
    <x v="1"/>
    <n v="11"/>
    <x v="6"/>
    <n v="7"/>
    <n v="9"/>
  </r>
  <r>
    <n v="36"/>
    <x v="1"/>
    <x v="1"/>
    <s v="Travel_Rarely"/>
    <x v="1"/>
    <s v="Life Sciences"/>
    <x v="2"/>
    <n v="1659"/>
    <n v="7"/>
    <x v="3"/>
    <s v="Male"/>
    <n v="1"/>
    <x v="1"/>
    <x v="0"/>
    <n v="2013"/>
    <n v="10950"/>
    <n v="2"/>
    <x v="1"/>
    <n v="3"/>
    <n v="3"/>
    <n v="80"/>
    <n v="15"/>
    <x v="5"/>
    <x v="1"/>
    <n v="4"/>
    <x v="7"/>
    <n v="1"/>
    <n v="3"/>
  </r>
  <r>
    <n v="49"/>
    <x v="0"/>
    <x v="1"/>
    <s v="Travel_Rarely"/>
    <x v="1"/>
    <s v="Life Sciences"/>
    <x v="4"/>
    <n v="1661"/>
    <n v="6"/>
    <x v="1"/>
    <s v="Female"/>
    <n v="4"/>
    <x v="2"/>
    <x v="1"/>
    <n v="13966"/>
    <n v="11652"/>
    <n v="2"/>
    <x v="0"/>
    <n v="3"/>
    <n v="2"/>
    <n v="80"/>
    <n v="30"/>
    <x v="1"/>
    <x v="1"/>
    <n v="15"/>
    <x v="14"/>
    <n v="2"/>
    <n v="12"/>
  </r>
  <r>
    <n v="36"/>
    <x v="1"/>
    <x v="1"/>
    <s v="Non-Travel"/>
    <x v="1"/>
    <s v="Medical"/>
    <x v="3"/>
    <n v="1662"/>
    <n v="1"/>
    <x v="2"/>
    <s v="Female"/>
    <n v="2"/>
    <x v="2"/>
    <x v="1"/>
    <n v="4374"/>
    <n v="15411"/>
    <n v="0"/>
    <x v="1"/>
    <n v="3"/>
    <n v="3"/>
    <n v="80"/>
    <n v="4"/>
    <x v="6"/>
    <x v="1"/>
    <n v="3"/>
    <x v="3"/>
    <n v="1"/>
    <n v="2"/>
  </r>
  <r>
    <n v="36"/>
    <x v="1"/>
    <x v="1"/>
    <s v="Travel_Rarely"/>
    <x v="1"/>
    <s v="Life Sciences"/>
    <x v="4"/>
    <n v="1664"/>
    <n v="3"/>
    <x v="2"/>
    <s v="Male"/>
    <n v="2"/>
    <x v="3"/>
    <x v="2"/>
    <n v="6842"/>
    <n v="26308"/>
    <n v="6"/>
    <x v="1"/>
    <n v="4"/>
    <n v="1"/>
    <n v="80"/>
    <n v="13"/>
    <x v="1"/>
    <x v="1"/>
    <n v="5"/>
    <x v="0"/>
    <n v="0"/>
    <n v="4"/>
  </r>
  <r>
    <n v="54"/>
    <x v="3"/>
    <x v="1"/>
    <s v="Travel_Rarely"/>
    <x v="1"/>
    <s v="Medical"/>
    <x v="5"/>
    <n v="1665"/>
    <n v="22"/>
    <x v="0"/>
    <s v="Female"/>
    <n v="4"/>
    <x v="2"/>
    <x v="1"/>
    <n v="17426"/>
    <n v="18685"/>
    <n v="3"/>
    <x v="1"/>
    <n v="4"/>
    <n v="3"/>
    <n v="80"/>
    <n v="36"/>
    <x v="6"/>
    <x v="1"/>
    <n v="10"/>
    <x v="6"/>
    <n v="4"/>
    <n v="7"/>
  </r>
  <r>
    <n v="43"/>
    <x v="0"/>
    <x v="1"/>
    <s v="Travel_Rarely"/>
    <x v="1"/>
    <s v="Life Sciences"/>
    <x v="7"/>
    <n v="1666"/>
    <n v="15"/>
    <x v="1"/>
    <s v="Male"/>
    <n v="4"/>
    <x v="2"/>
    <x v="1"/>
    <n v="17603"/>
    <n v="3525"/>
    <n v="1"/>
    <x v="1"/>
    <n v="4"/>
    <n v="1"/>
    <n v="80"/>
    <n v="14"/>
    <x v="1"/>
    <x v="1"/>
    <n v="14"/>
    <x v="15"/>
    <n v="6"/>
    <n v="11"/>
  </r>
  <r>
    <n v="35"/>
    <x v="1"/>
    <x v="0"/>
    <s v="Travel_Frequently"/>
    <x v="0"/>
    <s v="Other"/>
    <x v="0"/>
    <n v="1667"/>
    <n v="12"/>
    <x v="2"/>
    <s v="Male"/>
    <n v="2"/>
    <x v="0"/>
    <x v="0"/>
    <n v="4581"/>
    <n v="10414"/>
    <n v="3"/>
    <x v="0"/>
    <n v="4"/>
    <n v="1"/>
    <n v="80"/>
    <n v="13"/>
    <x v="2"/>
    <x v="3"/>
    <n v="11"/>
    <x v="5"/>
    <n v="6"/>
    <n v="7"/>
  </r>
  <r>
    <n v="38"/>
    <x v="1"/>
    <x v="1"/>
    <s v="Travel_Frequently"/>
    <x v="1"/>
    <s v="Life Sciences"/>
    <x v="1"/>
    <n v="1668"/>
    <n v="1"/>
    <x v="2"/>
    <s v="Male"/>
    <n v="2"/>
    <x v="0"/>
    <x v="1"/>
    <n v="4735"/>
    <n v="9867"/>
    <n v="7"/>
    <x v="1"/>
    <n v="3"/>
    <n v="4"/>
    <n v="80"/>
    <n v="19"/>
    <x v="5"/>
    <x v="3"/>
    <n v="13"/>
    <x v="14"/>
    <n v="2"/>
    <n v="9"/>
  </r>
  <r>
    <n v="29"/>
    <x v="2"/>
    <x v="1"/>
    <s v="Travel_Rarely"/>
    <x v="0"/>
    <s v="Medical"/>
    <x v="0"/>
    <n v="1669"/>
    <n v="5"/>
    <x v="3"/>
    <s v="Male"/>
    <n v="2"/>
    <x v="1"/>
    <x v="2"/>
    <n v="4187"/>
    <n v="3356"/>
    <n v="1"/>
    <x v="0"/>
    <n v="3"/>
    <n v="2"/>
    <n v="80"/>
    <n v="10"/>
    <x v="1"/>
    <x v="2"/>
    <n v="10"/>
    <x v="2"/>
    <n v="0"/>
    <n v="9"/>
  </r>
  <r>
    <n v="33"/>
    <x v="1"/>
    <x v="1"/>
    <s v="Travel_Rarely"/>
    <x v="0"/>
    <s v="Medical"/>
    <x v="0"/>
    <n v="1670"/>
    <n v="2"/>
    <x v="2"/>
    <s v="Male"/>
    <n v="2"/>
    <x v="0"/>
    <x v="2"/>
    <n v="5505"/>
    <n v="3921"/>
    <n v="1"/>
    <x v="1"/>
    <n v="3"/>
    <n v="3"/>
    <n v="80"/>
    <n v="6"/>
    <x v="3"/>
    <x v="1"/>
    <n v="6"/>
    <x v="3"/>
    <n v="0"/>
    <n v="4"/>
  </r>
  <r>
    <n v="32"/>
    <x v="1"/>
    <x v="1"/>
    <s v="Travel_Rarely"/>
    <x v="1"/>
    <s v="Medical"/>
    <x v="1"/>
    <n v="1671"/>
    <n v="2"/>
    <x v="2"/>
    <s v="Male"/>
    <n v="2"/>
    <x v="1"/>
    <x v="2"/>
    <n v="5470"/>
    <n v="25518"/>
    <n v="0"/>
    <x v="1"/>
    <n v="3"/>
    <n v="3"/>
    <n v="80"/>
    <n v="10"/>
    <x v="5"/>
    <x v="2"/>
    <n v="9"/>
    <x v="4"/>
    <n v="1"/>
    <n v="6"/>
  </r>
  <r>
    <n v="31"/>
    <x v="1"/>
    <x v="1"/>
    <s v="Travel_Rarely"/>
    <x v="0"/>
    <s v="Life Sciences"/>
    <x v="0"/>
    <n v="1673"/>
    <n v="5"/>
    <x v="3"/>
    <s v="Female"/>
    <n v="2"/>
    <x v="0"/>
    <x v="1"/>
    <n v="5476"/>
    <n v="22589"/>
    <n v="1"/>
    <x v="1"/>
    <n v="3"/>
    <n v="1"/>
    <n v="80"/>
    <n v="10"/>
    <x v="2"/>
    <x v="1"/>
    <n v="10"/>
    <x v="2"/>
    <n v="0"/>
    <n v="2"/>
  </r>
  <r>
    <n v="49"/>
    <x v="0"/>
    <x v="1"/>
    <s v="Travel_Rarely"/>
    <x v="1"/>
    <s v="Medical"/>
    <x v="2"/>
    <n v="1674"/>
    <n v="16"/>
    <x v="2"/>
    <s v="Female"/>
    <n v="1"/>
    <x v="3"/>
    <x v="2"/>
    <n v="2587"/>
    <n v="24941"/>
    <n v="4"/>
    <x v="0"/>
    <n v="3"/>
    <n v="2"/>
    <n v="80"/>
    <n v="17"/>
    <x v="2"/>
    <x v="2"/>
    <n v="2"/>
    <x v="3"/>
    <n v="2"/>
    <n v="2"/>
  </r>
  <r>
    <n v="38"/>
    <x v="1"/>
    <x v="1"/>
    <s v="Travel_Frequently"/>
    <x v="1"/>
    <s v="Medical"/>
    <x v="2"/>
    <n v="1675"/>
    <n v="2"/>
    <x v="2"/>
    <s v="Female"/>
    <n v="1"/>
    <x v="1"/>
    <x v="0"/>
    <n v="2440"/>
    <n v="23826"/>
    <n v="1"/>
    <x v="1"/>
    <n v="4"/>
    <n v="2"/>
    <n v="80"/>
    <n v="4"/>
    <x v="1"/>
    <x v="1"/>
    <n v="4"/>
    <x v="7"/>
    <n v="3"/>
    <n v="3"/>
  </r>
  <r>
    <n v="47"/>
    <x v="0"/>
    <x v="1"/>
    <s v="Travel_Rarely"/>
    <x v="0"/>
    <s v="Life Sciences"/>
    <x v="5"/>
    <n v="1676"/>
    <n v="2"/>
    <x v="0"/>
    <s v="Female"/>
    <n v="4"/>
    <x v="1"/>
    <x v="2"/>
    <n v="15972"/>
    <n v="21086"/>
    <n v="6"/>
    <x v="1"/>
    <n v="3"/>
    <n v="3"/>
    <n v="80"/>
    <n v="29"/>
    <x v="2"/>
    <x v="1"/>
    <n v="3"/>
    <x v="3"/>
    <n v="1"/>
    <n v="2"/>
  </r>
  <r>
    <n v="49"/>
    <x v="0"/>
    <x v="1"/>
    <s v="Travel_Rarely"/>
    <x v="1"/>
    <s v="Life Sciences"/>
    <x v="5"/>
    <n v="1677"/>
    <n v="1"/>
    <x v="1"/>
    <s v="Male"/>
    <n v="4"/>
    <x v="2"/>
    <x v="0"/>
    <n v="15379"/>
    <n v="22384"/>
    <n v="4"/>
    <x v="1"/>
    <n v="3"/>
    <n v="1"/>
    <n v="80"/>
    <n v="23"/>
    <x v="2"/>
    <x v="1"/>
    <n v="8"/>
    <x v="1"/>
    <n v="0"/>
    <n v="0"/>
  </r>
  <r>
    <n v="41"/>
    <x v="0"/>
    <x v="1"/>
    <s v="Travel_Rarely"/>
    <x v="0"/>
    <s v="Life Sciences"/>
    <x v="0"/>
    <n v="1678"/>
    <n v="23"/>
    <x v="2"/>
    <s v="Male"/>
    <n v="3"/>
    <x v="2"/>
    <x v="0"/>
    <n v="7082"/>
    <n v="11591"/>
    <n v="3"/>
    <x v="0"/>
    <n v="3"/>
    <n v="4"/>
    <n v="80"/>
    <n v="21"/>
    <x v="2"/>
    <x v="1"/>
    <n v="2"/>
    <x v="2"/>
    <n v="0"/>
    <n v="2"/>
  </r>
  <r>
    <n v="20"/>
    <x v="4"/>
    <x v="1"/>
    <s v="Travel_Rarely"/>
    <x v="0"/>
    <s v="Life Sciences"/>
    <x v="6"/>
    <n v="1680"/>
    <n v="9"/>
    <x v="2"/>
    <s v="Male"/>
    <n v="1"/>
    <x v="3"/>
    <x v="0"/>
    <n v="2728"/>
    <n v="21082"/>
    <n v="1"/>
    <x v="1"/>
    <n v="3"/>
    <n v="1"/>
    <n v="80"/>
    <n v="2"/>
    <x v="1"/>
    <x v="1"/>
    <n v="2"/>
    <x v="3"/>
    <n v="0"/>
    <n v="2"/>
  </r>
  <r>
    <n v="33"/>
    <x v="1"/>
    <x v="1"/>
    <s v="Non-Travel"/>
    <x v="0"/>
    <s v="Life Sciences"/>
    <x v="0"/>
    <n v="1681"/>
    <n v="16"/>
    <x v="1"/>
    <s v="Female"/>
    <n v="2"/>
    <x v="0"/>
    <x v="2"/>
    <n v="5368"/>
    <n v="16130"/>
    <n v="1"/>
    <x v="0"/>
    <n v="4"/>
    <n v="3"/>
    <n v="80"/>
    <n v="7"/>
    <x v="2"/>
    <x v="1"/>
    <n v="6"/>
    <x v="4"/>
    <n v="1"/>
    <n v="2"/>
  </r>
  <r>
    <n v="36"/>
    <x v="1"/>
    <x v="1"/>
    <s v="Travel_Rarely"/>
    <x v="1"/>
    <s v="Life Sciences"/>
    <x v="4"/>
    <n v="1682"/>
    <n v="26"/>
    <x v="3"/>
    <s v="Male"/>
    <n v="2"/>
    <x v="2"/>
    <x v="1"/>
    <n v="5347"/>
    <n v="7419"/>
    <n v="6"/>
    <x v="1"/>
    <n v="3"/>
    <n v="2"/>
    <n v="80"/>
    <n v="10"/>
    <x v="2"/>
    <x v="2"/>
    <n v="3"/>
    <x v="3"/>
    <n v="0"/>
    <n v="2"/>
  </r>
  <r>
    <n v="44"/>
    <x v="0"/>
    <x v="1"/>
    <s v="Travel_Rarely"/>
    <x v="2"/>
    <s v="Life Sciences"/>
    <x v="8"/>
    <n v="1683"/>
    <n v="1"/>
    <x v="1"/>
    <s v="Female"/>
    <n v="1"/>
    <x v="0"/>
    <x v="2"/>
    <n v="3195"/>
    <n v="4167"/>
    <n v="4"/>
    <x v="0"/>
    <n v="3"/>
    <n v="1"/>
    <n v="80"/>
    <n v="8"/>
    <x v="2"/>
    <x v="1"/>
    <n v="2"/>
    <x v="3"/>
    <n v="2"/>
    <n v="2"/>
  </r>
  <r>
    <n v="23"/>
    <x v="2"/>
    <x v="0"/>
    <s v="Travel_Rarely"/>
    <x v="1"/>
    <s v="Medical"/>
    <x v="2"/>
    <n v="1684"/>
    <n v="8"/>
    <x v="2"/>
    <s v="Male"/>
    <n v="1"/>
    <x v="2"/>
    <x v="0"/>
    <n v="3989"/>
    <n v="20586"/>
    <n v="1"/>
    <x v="0"/>
    <n v="3"/>
    <n v="1"/>
    <n v="80"/>
    <n v="5"/>
    <x v="2"/>
    <x v="1"/>
    <n v="5"/>
    <x v="0"/>
    <n v="1"/>
    <n v="2"/>
  </r>
  <r>
    <n v="38"/>
    <x v="1"/>
    <x v="1"/>
    <s v="Travel_Rarely"/>
    <x v="1"/>
    <s v="Medical"/>
    <x v="2"/>
    <n v="1687"/>
    <n v="4"/>
    <x v="2"/>
    <s v="Female"/>
    <n v="1"/>
    <x v="2"/>
    <x v="1"/>
    <n v="3306"/>
    <n v="26176"/>
    <n v="7"/>
    <x v="1"/>
    <n v="3"/>
    <n v="4"/>
    <n v="80"/>
    <n v="7"/>
    <x v="3"/>
    <x v="2"/>
    <n v="0"/>
    <x v="2"/>
    <n v="0"/>
    <n v="0"/>
  </r>
  <r>
    <n v="53"/>
    <x v="3"/>
    <x v="1"/>
    <s v="Travel_Rarely"/>
    <x v="1"/>
    <s v="Medical"/>
    <x v="4"/>
    <n v="1689"/>
    <n v="24"/>
    <x v="0"/>
    <s v="Male"/>
    <n v="3"/>
    <x v="0"/>
    <x v="1"/>
    <n v="7005"/>
    <n v="3458"/>
    <n v="3"/>
    <x v="1"/>
    <n v="3"/>
    <n v="3"/>
    <n v="80"/>
    <n v="11"/>
    <x v="2"/>
    <x v="1"/>
    <n v="4"/>
    <x v="7"/>
    <n v="1"/>
    <n v="2"/>
  </r>
  <r>
    <n v="48"/>
    <x v="0"/>
    <x v="0"/>
    <s v="Travel_Frequently"/>
    <x v="0"/>
    <s v="Medical"/>
    <x v="6"/>
    <n v="1691"/>
    <n v="7"/>
    <x v="2"/>
    <s v="Female"/>
    <n v="1"/>
    <x v="2"/>
    <x v="1"/>
    <n v="2655"/>
    <n v="11740"/>
    <n v="2"/>
    <x v="0"/>
    <n v="3"/>
    <n v="3"/>
    <n v="80"/>
    <n v="19"/>
    <x v="1"/>
    <x v="1"/>
    <n v="9"/>
    <x v="1"/>
    <n v="7"/>
    <n v="7"/>
  </r>
  <r>
    <n v="32"/>
    <x v="1"/>
    <x v="0"/>
    <s v="Travel_Rarely"/>
    <x v="1"/>
    <s v="Life Sciences"/>
    <x v="2"/>
    <n v="1692"/>
    <n v="2"/>
    <x v="2"/>
    <s v="Male"/>
    <n v="1"/>
    <x v="1"/>
    <x v="0"/>
    <n v="1393"/>
    <n v="24852"/>
    <n v="1"/>
    <x v="1"/>
    <n v="3"/>
    <n v="1"/>
    <n v="80"/>
    <n v="1"/>
    <x v="2"/>
    <x v="1"/>
    <n v="1"/>
    <x v="2"/>
    <n v="0"/>
    <n v="0"/>
  </r>
  <r>
    <n v="26"/>
    <x v="2"/>
    <x v="1"/>
    <s v="Non-Travel"/>
    <x v="1"/>
    <s v="Medical"/>
    <x v="2"/>
    <n v="1693"/>
    <n v="7"/>
    <x v="2"/>
    <s v="Male"/>
    <n v="1"/>
    <x v="0"/>
    <x v="0"/>
    <n v="2570"/>
    <n v="11925"/>
    <n v="1"/>
    <x v="1"/>
    <n v="4"/>
    <n v="3"/>
    <n v="80"/>
    <n v="7"/>
    <x v="3"/>
    <x v="1"/>
    <n v="7"/>
    <x v="1"/>
    <n v="5"/>
    <n v="7"/>
  </r>
  <r>
    <n v="55"/>
    <x v="3"/>
    <x v="1"/>
    <s v="Travel_Rarely"/>
    <x v="1"/>
    <s v="Technical Degree"/>
    <x v="1"/>
    <n v="1694"/>
    <n v="22"/>
    <x v="3"/>
    <s v="Male"/>
    <n v="1"/>
    <x v="1"/>
    <x v="2"/>
    <n v="3537"/>
    <n v="23737"/>
    <n v="5"/>
    <x v="1"/>
    <n v="3"/>
    <n v="4"/>
    <n v="80"/>
    <n v="8"/>
    <x v="4"/>
    <x v="1"/>
    <n v="4"/>
    <x v="3"/>
    <n v="1"/>
    <n v="2"/>
  </r>
  <r>
    <n v="34"/>
    <x v="1"/>
    <x v="1"/>
    <s v="Travel_Rarely"/>
    <x v="1"/>
    <s v="Medical"/>
    <x v="2"/>
    <n v="1696"/>
    <n v="5"/>
    <x v="0"/>
    <s v="Male"/>
    <n v="2"/>
    <x v="0"/>
    <x v="1"/>
    <n v="3986"/>
    <n v="11912"/>
    <n v="1"/>
    <x v="1"/>
    <n v="3"/>
    <n v="3"/>
    <n v="80"/>
    <n v="15"/>
    <x v="1"/>
    <x v="3"/>
    <n v="15"/>
    <x v="15"/>
    <n v="4"/>
    <n v="13"/>
  </r>
  <r>
    <n v="60"/>
    <x v="3"/>
    <x v="1"/>
    <s v="Travel_Rarely"/>
    <x v="1"/>
    <s v="Medical"/>
    <x v="4"/>
    <n v="1697"/>
    <n v="1"/>
    <x v="1"/>
    <s v="Male"/>
    <n v="3"/>
    <x v="0"/>
    <x v="2"/>
    <n v="10883"/>
    <n v="20467"/>
    <n v="3"/>
    <x v="1"/>
    <n v="4"/>
    <n v="3"/>
    <n v="80"/>
    <n v="19"/>
    <x v="2"/>
    <x v="3"/>
    <n v="1"/>
    <x v="2"/>
    <n v="0"/>
    <n v="0"/>
  </r>
  <r>
    <n v="33"/>
    <x v="1"/>
    <x v="1"/>
    <s v="Travel_Rarely"/>
    <x v="1"/>
    <s v="Medical"/>
    <x v="2"/>
    <n v="1698"/>
    <n v="21"/>
    <x v="0"/>
    <s v="Male"/>
    <n v="1"/>
    <x v="1"/>
    <x v="1"/>
    <n v="2028"/>
    <n v="13637"/>
    <n v="1"/>
    <x v="1"/>
    <n v="3"/>
    <n v="4"/>
    <n v="80"/>
    <n v="14"/>
    <x v="6"/>
    <x v="1"/>
    <n v="14"/>
    <x v="14"/>
    <n v="2"/>
    <n v="13"/>
  </r>
  <r>
    <n v="37"/>
    <x v="1"/>
    <x v="1"/>
    <s v="Travel_Frequently"/>
    <x v="0"/>
    <s v="Medical"/>
    <x v="0"/>
    <n v="1700"/>
    <n v="1"/>
    <x v="1"/>
    <s v="Male"/>
    <n v="2"/>
    <x v="0"/>
    <x v="2"/>
    <n v="9525"/>
    <n v="7677"/>
    <n v="1"/>
    <x v="1"/>
    <n v="3"/>
    <n v="3"/>
    <n v="80"/>
    <n v="6"/>
    <x v="2"/>
    <x v="2"/>
    <n v="6"/>
    <x v="7"/>
    <n v="1"/>
    <n v="3"/>
  </r>
  <r>
    <n v="34"/>
    <x v="1"/>
    <x v="1"/>
    <s v="Travel_Rarely"/>
    <x v="1"/>
    <s v="Life Sciences"/>
    <x v="1"/>
    <n v="1701"/>
    <n v="19"/>
    <x v="0"/>
    <s v="Female"/>
    <n v="1"/>
    <x v="0"/>
    <x v="1"/>
    <n v="2929"/>
    <n v="20338"/>
    <n v="1"/>
    <x v="1"/>
    <n v="3"/>
    <n v="2"/>
    <n v="80"/>
    <n v="10"/>
    <x v="1"/>
    <x v="1"/>
    <n v="10"/>
    <x v="5"/>
    <n v="8"/>
    <n v="7"/>
  </r>
  <r>
    <n v="23"/>
    <x v="2"/>
    <x v="0"/>
    <s v="Travel_Rarely"/>
    <x v="0"/>
    <s v="Life Sciences"/>
    <x v="6"/>
    <n v="1702"/>
    <n v="7"/>
    <x v="1"/>
    <s v="Male"/>
    <n v="1"/>
    <x v="0"/>
    <x v="2"/>
    <n v="2275"/>
    <n v="25103"/>
    <n v="1"/>
    <x v="0"/>
    <n v="4"/>
    <n v="2"/>
    <n v="80"/>
    <n v="3"/>
    <x v="2"/>
    <x v="1"/>
    <n v="3"/>
    <x v="3"/>
    <n v="0"/>
    <n v="2"/>
  </r>
  <r>
    <n v="44"/>
    <x v="0"/>
    <x v="1"/>
    <s v="Travel_Rarely"/>
    <x v="1"/>
    <s v="Life Sciences"/>
    <x v="4"/>
    <n v="1703"/>
    <n v="2"/>
    <x v="1"/>
    <s v="Female"/>
    <n v="3"/>
    <x v="0"/>
    <x v="1"/>
    <n v="7879"/>
    <n v="14810"/>
    <n v="1"/>
    <x v="0"/>
    <n v="3"/>
    <n v="2"/>
    <n v="80"/>
    <n v="9"/>
    <x v="2"/>
    <x v="1"/>
    <n v="8"/>
    <x v="1"/>
    <n v="6"/>
    <n v="7"/>
  </r>
  <r>
    <n v="35"/>
    <x v="1"/>
    <x v="1"/>
    <s v="Travel_Frequently"/>
    <x v="1"/>
    <s v="Medical"/>
    <x v="1"/>
    <n v="1704"/>
    <n v="2"/>
    <x v="3"/>
    <s v="Male"/>
    <n v="1"/>
    <x v="0"/>
    <x v="0"/>
    <n v="4930"/>
    <n v="13970"/>
    <n v="0"/>
    <x v="0"/>
    <n v="3"/>
    <n v="3"/>
    <n v="80"/>
    <n v="6"/>
    <x v="2"/>
    <x v="3"/>
    <n v="5"/>
    <x v="0"/>
    <n v="1"/>
    <n v="4"/>
  </r>
  <r>
    <n v="43"/>
    <x v="0"/>
    <x v="1"/>
    <s v="Travel_Rarely"/>
    <x v="0"/>
    <s v="Medical"/>
    <x v="0"/>
    <n v="1706"/>
    <n v="2"/>
    <x v="2"/>
    <s v="Male"/>
    <n v="2"/>
    <x v="0"/>
    <x v="1"/>
    <n v="7847"/>
    <n v="6069"/>
    <n v="1"/>
    <x v="0"/>
    <n v="3"/>
    <n v="1"/>
    <n v="80"/>
    <n v="10"/>
    <x v="1"/>
    <x v="1"/>
    <n v="10"/>
    <x v="5"/>
    <n v="8"/>
    <n v="8"/>
  </r>
  <r>
    <n v="24"/>
    <x v="2"/>
    <x v="1"/>
    <s v="Travel_Rarely"/>
    <x v="1"/>
    <s v="Medical"/>
    <x v="1"/>
    <n v="1707"/>
    <n v="9"/>
    <x v="1"/>
    <s v="Male"/>
    <n v="1"/>
    <x v="2"/>
    <x v="1"/>
    <n v="4401"/>
    <n v="17616"/>
    <n v="1"/>
    <x v="1"/>
    <n v="3"/>
    <n v="4"/>
    <n v="80"/>
    <n v="5"/>
    <x v="4"/>
    <x v="1"/>
    <n v="5"/>
    <x v="7"/>
    <n v="0"/>
    <n v="4"/>
  </r>
  <r>
    <n v="41"/>
    <x v="0"/>
    <x v="1"/>
    <s v="Travel_Rarely"/>
    <x v="0"/>
    <s v="Marketing"/>
    <x v="0"/>
    <n v="1708"/>
    <n v="6"/>
    <x v="2"/>
    <s v="Male"/>
    <n v="3"/>
    <x v="2"/>
    <x v="0"/>
    <n v="9241"/>
    <n v="15869"/>
    <n v="1"/>
    <x v="1"/>
    <n v="3"/>
    <n v="2"/>
    <n v="80"/>
    <n v="10"/>
    <x v="1"/>
    <x v="1"/>
    <n v="10"/>
    <x v="6"/>
    <n v="8"/>
    <n v="7"/>
  </r>
  <r>
    <n v="29"/>
    <x v="2"/>
    <x v="1"/>
    <s v="Travel_Rarely"/>
    <x v="1"/>
    <s v="Medical"/>
    <x v="2"/>
    <n v="1709"/>
    <n v="9"/>
    <x v="2"/>
    <s v="Female"/>
    <n v="1"/>
    <x v="2"/>
    <x v="1"/>
    <n v="2974"/>
    <n v="25412"/>
    <n v="9"/>
    <x v="1"/>
    <n v="3"/>
    <n v="3"/>
    <n v="80"/>
    <n v="9"/>
    <x v="2"/>
    <x v="1"/>
    <n v="5"/>
    <x v="7"/>
    <n v="1"/>
    <n v="2"/>
  </r>
  <r>
    <n v="36"/>
    <x v="1"/>
    <x v="1"/>
    <s v="Travel_Rarely"/>
    <x v="0"/>
    <s v="Life Sciences"/>
    <x v="6"/>
    <n v="1710"/>
    <n v="2"/>
    <x v="1"/>
    <s v="Female"/>
    <n v="2"/>
    <x v="0"/>
    <x v="0"/>
    <n v="4502"/>
    <n v="7439"/>
    <n v="3"/>
    <x v="1"/>
    <n v="3"/>
    <n v="3"/>
    <n v="80"/>
    <n v="17"/>
    <x v="2"/>
    <x v="2"/>
    <n v="13"/>
    <x v="1"/>
    <n v="6"/>
    <n v="7"/>
  </r>
  <r>
    <n v="45"/>
    <x v="0"/>
    <x v="1"/>
    <s v="Non-Travel"/>
    <x v="1"/>
    <s v="Life Sciences"/>
    <x v="4"/>
    <n v="1712"/>
    <n v="1"/>
    <x v="1"/>
    <s v="Male"/>
    <n v="3"/>
    <x v="2"/>
    <x v="1"/>
    <n v="10748"/>
    <n v="3395"/>
    <n v="3"/>
    <x v="1"/>
    <n v="4"/>
    <n v="4"/>
    <n v="80"/>
    <n v="25"/>
    <x v="1"/>
    <x v="2"/>
    <n v="23"/>
    <x v="11"/>
    <n v="14"/>
    <n v="4"/>
  </r>
  <r>
    <n v="24"/>
    <x v="2"/>
    <x v="0"/>
    <s v="Travel_Rarely"/>
    <x v="2"/>
    <s v="Human Resources"/>
    <x v="8"/>
    <n v="1714"/>
    <n v="22"/>
    <x v="2"/>
    <s v="Male"/>
    <n v="1"/>
    <x v="2"/>
    <x v="1"/>
    <n v="1555"/>
    <n v="11585"/>
    <n v="1"/>
    <x v="1"/>
    <n v="3"/>
    <n v="3"/>
    <n v="80"/>
    <n v="1"/>
    <x v="2"/>
    <x v="1"/>
    <n v="1"/>
    <x v="2"/>
    <n v="0"/>
    <n v="0"/>
  </r>
  <r>
    <n v="47"/>
    <x v="0"/>
    <x v="0"/>
    <s v="Travel_Frequently"/>
    <x v="0"/>
    <s v="Life Sciences"/>
    <x v="0"/>
    <n v="1716"/>
    <n v="9"/>
    <x v="1"/>
    <s v="Male"/>
    <n v="4"/>
    <x v="2"/>
    <x v="1"/>
    <n v="12936"/>
    <n v="24164"/>
    <n v="7"/>
    <x v="1"/>
    <n v="3"/>
    <n v="3"/>
    <n v="80"/>
    <n v="25"/>
    <x v="1"/>
    <x v="0"/>
    <n v="23"/>
    <x v="4"/>
    <n v="14"/>
    <n v="10"/>
  </r>
  <r>
    <n v="26"/>
    <x v="2"/>
    <x v="1"/>
    <s v="Travel_Rarely"/>
    <x v="1"/>
    <s v="Medical"/>
    <x v="2"/>
    <n v="1718"/>
    <n v="17"/>
    <x v="2"/>
    <s v="Male"/>
    <n v="1"/>
    <x v="2"/>
    <x v="1"/>
    <n v="2305"/>
    <n v="6217"/>
    <n v="1"/>
    <x v="1"/>
    <n v="3"/>
    <n v="3"/>
    <n v="80"/>
    <n v="3"/>
    <x v="1"/>
    <x v="3"/>
    <n v="3"/>
    <x v="3"/>
    <n v="0"/>
    <n v="2"/>
  </r>
  <r>
    <n v="45"/>
    <x v="0"/>
    <x v="1"/>
    <s v="Travel_Rarely"/>
    <x v="1"/>
    <s v="Technical Degree"/>
    <x v="7"/>
    <n v="1719"/>
    <n v="28"/>
    <x v="2"/>
    <s v="Female"/>
    <n v="4"/>
    <x v="1"/>
    <x v="0"/>
    <n v="16704"/>
    <n v="17119"/>
    <n v="1"/>
    <x v="1"/>
    <n v="3"/>
    <n v="3"/>
    <n v="80"/>
    <n v="21"/>
    <x v="2"/>
    <x v="1"/>
    <n v="21"/>
    <x v="8"/>
    <n v="8"/>
    <n v="6"/>
  </r>
  <r>
    <n v="32"/>
    <x v="1"/>
    <x v="1"/>
    <s v="Travel_Frequently"/>
    <x v="1"/>
    <s v="Life Sciences"/>
    <x v="1"/>
    <n v="1720"/>
    <n v="10"/>
    <x v="3"/>
    <s v="Male"/>
    <n v="1"/>
    <x v="2"/>
    <x v="1"/>
    <n v="3433"/>
    <n v="17360"/>
    <n v="6"/>
    <x v="1"/>
    <n v="3"/>
    <n v="1"/>
    <n v="80"/>
    <n v="10"/>
    <x v="1"/>
    <x v="2"/>
    <n v="5"/>
    <x v="3"/>
    <n v="1"/>
    <n v="3"/>
  </r>
  <r>
    <n v="31"/>
    <x v="1"/>
    <x v="1"/>
    <s v="Travel_Rarely"/>
    <x v="1"/>
    <s v="Life Sciences"/>
    <x v="2"/>
    <n v="1721"/>
    <n v="2"/>
    <x v="0"/>
    <s v="Male"/>
    <n v="1"/>
    <x v="2"/>
    <x v="1"/>
    <n v="3477"/>
    <n v="18103"/>
    <n v="1"/>
    <x v="1"/>
    <n v="3"/>
    <n v="4"/>
    <n v="80"/>
    <n v="6"/>
    <x v="2"/>
    <x v="3"/>
    <n v="5"/>
    <x v="3"/>
    <n v="0"/>
    <n v="3"/>
  </r>
  <r>
    <n v="41"/>
    <x v="0"/>
    <x v="1"/>
    <s v="Non-Travel"/>
    <x v="2"/>
    <s v="Human Resources"/>
    <x v="8"/>
    <n v="1722"/>
    <n v="4"/>
    <x v="1"/>
    <s v="Male"/>
    <n v="2"/>
    <x v="1"/>
    <x v="1"/>
    <n v="6430"/>
    <n v="20794"/>
    <n v="6"/>
    <x v="1"/>
    <n v="3"/>
    <n v="2"/>
    <n v="80"/>
    <n v="10"/>
    <x v="5"/>
    <x v="1"/>
    <n v="3"/>
    <x v="3"/>
    <n v="1"/>
    <n v="2"/>
  </r>
  <r>
    <n v="40"/>
    <x v="1"/>
    <x v="1"/>
    <s v="Travel_Rarely"/>
    <x v="1"/>
    <s v="Life Sciences"/>
    <x v="3"/>
    <n v="1724"/>
    <n v="8"/>
    <x v="0"/>
    <s v="Female"/>
    <n v="2"/>
    <x v="3"/>
    <x v="1"/>
    <n v="6516"/>
    <n v="5041"/>
    <n v="2"/>
    <x v="0"/>
    <n v="3"/>
    <n v="2"/>
    <n v="80"/>
    <n v="18"/>
    <x v="1"/>
    <x v="1"/>
    <n v="1"/>
    <x v="2"/>
    <n v="0"/>
    <n v="0"/>
  </r>
  <r>
    <n v="24"/>
    <x v="2"/>
    <x v="1"/>
    <s v="Travel_Rarely"/>
    <x v="1"/>
    <s v="Medical"/>
    <x v="2"/>
    <n v="1725"/>
    <n v="29"/>
    <x v="0"/>
    <s v="Male"/>
    <n v="1"/>
    <x v="3"/>
    <x v="2"/>
    <n v="3907"/>
    <n v="3622"/>
    <n v="1"/>
    <x v="1"/>
    <n v="3"/>
    <n v="2"/>
    <n v="80"/>
    <n v="6"/>
    <x v="2"/>
    <x v="3"/>
    <n v="6"/>
    <x v="3"/>
    <n v="1"/>
    <n v="2"/>
  </r>
  <r>
    <n v="46"/>
    <x v="0"/>
    <x v="1"/>
    <s v="Travel_Rarely"/>
    <x v="1"/>
    <s v="Life Sciences"/>
    <x v="4"/>
    <n v="1727"/>
    <n v="13"/>
    <x v="1"/>
    <s v="Male"/>
    <n v="2"/>
    <x v="1"/>
    <x v="0"/>
    <n v="5562"/>
    <n v="9697"/>
    <n v="6"/>
    <x v="1"/>
    <n v="3"/>
    <n v="4"/>
    <n v="80"/>
    <n v="19"/>
    <x v="1"/>
    <x v="1"/>
    <n v="10"/>
    <x v="1"/>
    <n v="0"/>
    <n v="9"/>
  </r>
  <r>
    <n v="35"/>
    <x v="1"/>
    <x v="1"/>
    <s v="Travel_Rarely"/>
    <x v="1"/>
    <s v="Life Sciences"/>
    <x v="3"/>
    <n v="1728"/>
    <n v="27"/>
    <x v="2"/>
    <s v="Male"/>
    <n v="2"/>
    <x v="2"/>
    <x v="1"/>
    <n v="6883"/>
    <n v="5151"/>
    <n v="2"/>
    <x v="1"/>
    <n v="3"/>
    <n v="2"/>
    <n v="80"/>
    <n v="17"/>
    <x v="1"/>
    <x v="1"/>
    <n v="7"/>
    <x v="1"/>
    <n v="0"/>
    <n v="7"/>
  </r>
  <r>
    <n v="30"/>
    <x v="2"/>
    <x v="1"/>
    <s v="Travel_Rarely"/>
    <x v="1"/>
    <s v="Life Sciences"/>
    <x v="1"/>
    <n v="1729"/>
    <n v="16"/>
    <x v="0"/>
    <s v="Male"/>
    <n v="1"/>
    <x v="0"/>
    <x v="1"/>
    <n v="2862"/>
    <n v="3811"/>
    <n v="1"/>
    <x v="1"/>
    <n v="3"/>
    <n v="2"/>
    <n v="80"/>
    <n v="10"/>
    <x v="2"/>
    <x v="2"/>
    <n v="10"/>
    <x v="2"/>
    <n v="0"/>
    <n v="8"/>
  </r>
  <r>
    <n v="47"/>
    <x v="0"/>
    <x v="1"/>
    <s v="Non-Travel"/>
    <x v="0"/>
    <s v="Marketing"/>
    <x v="0"/>
    <n v="1731"/>
    <n v="2"/>
    <x v="1"/>
    <s v="Male"/>
    <n v="2"/>
    <x v="1"/>
    <x v="1"/>
    <n v="4978"/>
    <n v="3536"/>
    <n v="7"/>
    <x v="1"/>
    <n v="3"/>
    <n v="4"/>
    <n v="80"/>
    <n v="4"/>
    <x v="1"/>
    <x v="0"/>
    <n v="1"/>
    <x v="2"/>
    <n v="0"/>
    <n v="0"/>
  </r>
  <r>
    <n v="46"/>
    <x v="0"/>
    <x v="1"/>
    <s v="Travel_Rarely"/>
    <x v="0"/>
    <s v="Life Sciences"/>
    <x v="0"/>
    <n v="1732"/>
    <n v="2"/>
    <x v="1"/>
    <s v="Male"/>
    <n v="3"/>
    <x v="0"/>
    <x v="2"/>
    <n v="10368"/>
    <n v="5596"/>
    <n v="4"/>
    <x v="0"/>
    <n v="3"/>
    <n v="2"/>
    <n v="80"/>
    <n v="13"/>
    <x v="3"/>
    <x v="2"/>
    <n v="10"/>
    <x v="8"/>
    <n v="0"/>
    <n v="3"/>
  </r>
  <r>
    <n v="36"/>
    <x v="1"/>
    <x v="0"/>
    <s v="Travel_Rarely"/>
    <x v="0"/>
    <s v="Marketing"/>
    <x v="0"/>
    <n v="1733"/>
    <n v="13"/>
    <x v="0"/>
    <s v="Male"/>
    <n v="2"/>
    <x v="3"/>
    <x v="2"/>
    <n v="6134"/>
    <n v="8658"/>
    <n v="5"/>
    <x v="0"/>
    <n v="3"/>
    <n v="2"/>
    <n v="80"/>
    <n v="16"/>
    <x v="1"/>
    <x v="1"/>
    <n v="2"/>
    <x v="3"/>
    <n v="2"/>
    <n v="2"/>
  </r>
  <r>
    <n v="32"/>
    <x v="1"/>
    <x v="0"/>
    <s v="Travel_Rarely"/>
    <x v="0"/>
    <s v="Life Sciences"/>
    <x v="0"/>
    <n v="1734"/>
    <n v="1"/>
    <x v="3"/>
    <s v="Male"/>
    <n v="2"/>
    <x v="1"/>
    <x v="0"/>
    <n v="6735"/>
    <n v="12147"/>
    <n v="6"/>
    <x v="1"/>
    <n v="3"/>
    <n v="2"/>
    <n v="80"/>
    <n v="10"/>
    <x v="2"/>
    <x v="1"/>
    <n v="0"/>
    <x v="2"/>
    <n v="0"/>
    <n v="0"/>
  </r>
  <r>
    <n v="23"/>
    <x v="2"/>
    <x v="1"/>
    <s v="Travel_Rarely"/>
    <x v="1"/>
    <s v="Medical"/>
    <x v="2"/>
    <n v="1735"/>
    <n v="4"/>
    <x v="1"/>
    <s v="Female"/>
    <n v="1"/>
    <x v="1"/>
    <x v="0"/>
    <n v="3295"/>
    <n v="12862"/>
    <n v="1"/>
    <x v="1"/>
    <n v="3"/>
    <n v="3"/>
    <n v="80"/>
    <n v="3"/>
    <x v="1"/>
    <x v="0"/>
    <n v="3"/>
    <x v="3"/>
    <n v="1"/>
    <n v="2"/>
  </r>
  <r>
    <n v="31"/>
    <x v="1"/>
    <x v="1"/>
    <s v="Travel_Frequently"/>
    <x v="1"/>
    <s v="Technical Degree"/>
    <x v="3"/>
    <n v="1736"/>
    <n v="24"/>
    <x v="2"/>
    <s v="Female"/>
    <n v="2"/>
    <x v="0"/>
    <x v="0"/>
    <n v="5238"/>
    <n v="6670"/>
    <n v="2"/>
    <x v="1"/>
    <n v="4"/>
    <n v="4"/>
    <n v="80"/>
    <n v="9"/>
    <x v="1"/>
    <x v="2"/>
    <n v="5"/>
    <x v="0"/>
    <n v="1"/>
    <n v="4"/>
  </r>
  <r>
    <n v="39"/>
    <x v="1"/>
    <x v="1"/>
    <s v="Non-Travel"/>
    <x v="1"/>
    <s v="Life Sciences"/>
    <x v="2"/>
    <n v="1737"/>
    <n v="1"/>
    <x v="2"/>
    <s v="Male"/>
    <n v="2"/>
    <x v="0"/>
    <x v="1"/>
    <n v="6472"/>
    <n v="8989"/>
    <n v="1"/>
    <x v="0"/>
    <n v="3"/>
    <n v="4"/>
    <n v="80"/>
    <n v="9"/>
    <x v="2"/>
    <x v="1"/>
    <n v="9"/>
    <x v="6"/>
    <n v="5"/>
    <n v="8"/>
  </r>
  <r>
    <n v="32"/>
    <x v="1"/>
    <x v="1"/>
    <s v="Travel_Rarely"/>
    <x v="0"/>
    <s v="Life Sciences"/>
    <x v="0"/>
    <n v="1739"/>
    <n v="19"/>
    <x v="2"/>
    <s v="Male"/>
    <n v="3"/>
    <x v="2"/>
    <x v="1"/>
    <n v="9610"/>
    <n v="3840"/>
    <n v="3"/>
    <x v="1"/>
    <n v="3"/>
    <n v="3"/>
    <n v="80"/>
    <n v="10"/>
    <x v="2"/>
    <x v="0"/>
    <n v="4"/>
    <x v="7"/>
    <n v="0"/>
    <n v="2"/>
  </r>
  <r>
    <n v="40"/>
    <x v="1"/>
    <x v="1"/>
    <s v="Travel_Rarely"/>
    <x v="0"/>
    <s v="Medical"/>
    <x v="5"/>
    <n v="1740"/>
    <n v="7"/>
    <x v="0"/>
    <s v="Male"/>
    <n v="5"/>
    <x v="1"/>
    <x v="0"/>
    <n v="19833"/>
    <n v="4349"/>
    <n v="1"/>
    <x v="1"/>
    <n v="3"/>
    <n v="2"/>
    <n v="80"/>
    <n v="21"/>
    <x v="1"/>
    <x v="2"/>
    <n v="21"/>
    <x v="6"/>
    <n v="12"/>
    <n v="8"/>
  </r>
  <r>
    <n v="45"/>
    <x v="0"/>
    <x v="1"/>
    <s v="Travel_Rarely"/>
    <x v="2"/>
    <s v="Life Sciences"/>
    <x v="8"/>
    <n v="1744"/>
    <n v="4"/>
    <x v="1"/>
    <s v="Female"/>
    <n v="3"/>
    <x v="2"/>
    <x v="1"/>
    <n v="9756"/>
    <n v="6595"/>
    <n v="4"/>
    <x v="1"/>
    <n v="4"/>
    <n v="3"/>
    <n v="80"/>
    <n v="9"/>
    <x v="2"/>
    <x v="3"/>
    <n v="5"/>
    <x v="2"/>
    <n v="0"/>
    <n v="3"/>
  </r>
  <r>
    <n v="30"/>
    <x v="2"/>
    <x v="1"/>
    <s v="Travel_Frequently"/>
    <x v="1"/>
    <s v="Technical Degree"/>
    <x v="1"/>
    <n v="1745"/>
    <n v="2"/>
    <x v="2"/>
    <s v="Female"/>
    <n v="1"/>
    <x v="3"/>
    <x v="0"/>
    <n v="4968"/>
    <n v="26427"/>
    <n v="0"/>
    <x v="1"/>
    <n v="3"/>
    <n v="4"/>
    <n v="80"/>
    <n v="10"/>
    <x v="2"/>
    <x v="1"/>
    <n v="9"/>
    <x v="1"/>
    <n v="0"/>
    <n v="7"/>
  </r>
  <r>
    <n v="24"/>
    <x v="2"/>
    <x v="1"/>
    <s v="Travel_Frequently"/>
    <x v="2"/>
    <s v="Medical"/>
    <x v="8"/>
    <n v="1746"/>
    <n v="10"/>
    <x v="3"/>
    <s v="Male"/>
    <n v="1"/>
    <x v="0"/>
    <x v="1"/>
    <n v="2145"/>
    <n v="2097"/>
    <n v="0"/>
    <x v="1"/>
    <n v="3"/>
    <n v="4"/>
    <n v="80"/>
    <n v="3"/>
    <x v="2"/>
    <x v="1"/>
    <n v="2"/>
    <x v="3"/>
    <n v="2"/>
    <n v="1"/>
  </r>
  <r>
    <n v="30"/>
    <x v="2"/>
    <x v="0"/>
    <s v="Travel_Frequently"/>
    <x v="2"/>
    <s v="Human Resources"/>
    <x v="8"/>
    <n v="1747"/>
    <n v="8"/>
    <x v="1"/>
    <s v="Female"/>
    <n v="1"/>
    <x v="0"/>
    <x v="2"/>
    <n v="2180"/>
    <n v="9732"/>
    <n v="6"/>
    <x v="1"/>
    <n v="3"/>
    <n v="3"/>
    <n v="80"/>
    <n v="6"/>
    <x v="0"/>
    <x v="2"/>
    <n v="4"/>
    <x v="3"/>
    <n v="1"/>
    <n v="2"/>
  </r>
  <r>
    <n v="31"/>
    <x v="1"/>
    <x v="1"/>
    <s v="Travel_Rarely"/>
    <x v="0"/>
    <s v="Technical Degree"/>
    <x v="0"/>
    <n v="1749"/>
    <n v="5"/>
    <x v="3"/>
    <s v="Male"/>
    <n v="2"/>
    <x v="2"/>
    <x v="1"/>
    <n v="8346"/>
    <n v="20943"/>
    <n v="1"/>
    <x v="1"/>
    <n v="3"/>
    <n v="3"/>
    <n v="80"/>
    <n v="6"/>
    <x v="1"/>
    <x v="1"/>
    <n v="5"/>
    <x v="3"/>
    <n v="0"/>
    <n v="2"/>
  </r>
  <r>
    <n v="27"/>
    <x v="2"/>
    <x v="1"/>
    <s v="Travel_Rarely"/>
    <x v="1"/>
    <s v="Medical"/>
    <x v="1"/>
    <n v="1751"/>
    <n v="8"/>
    <x v="1"/>
    <s v="Female"/>
    <n v="1"/>
    <x v="0"/>
    <x v="0"/>
    <n v="3445"/>
    <n v="6152"/>
    <n v="1"/>
    <x v="1"/>
    <n v="3"/>
    <n v="3"/>
    <n v="80"/>
    <n v="6"/>
    <x v="3"/>
    <x v="2"/>
    <n v="6"/>
    <x v="3"/>
    <n v="1"/>
    <n v="4"/>
  </r>
  <r>
    <n v="29"/>
    <x v="2"/>
    <x v="0"/>
    <s v="Travel_Rarely"/>
    <x v="0"/>
    <s v="Marketing"/>
    <x v="6"/>
    <n v="1752"/>
    <n v="9"/>
    <x v="0"/>
    <s v="Female"/>
    <n v="1"/>
    <x v="1"/>
    <x v="0"/>
    <n v="2760"/>
    <n v="14630"/>
    <n v="1"/>
    <x v="1"/>
    <n v="3"/>
    <n v="3"/>
    <n v="80"/>
    <n v="2"/>
    <x v="1"/>
    <x v="1"/>
    <n v="2"/>
    <x v="3"/>
    <n v="2"/>
    <n v="2"/>
  </r>
  <r>
    <n v="29"/>
    <x v="2"/>
    <x v="1"/>
    <s v="Travel_Frequently"/>
    <x v="1"/>
    <s v="Life Sciences"/>
    <x v="4"/>
    <n v="1753"/>
    <n v="1"/>
    <x v="2"/>
    <s v="Male"/>
    <n v="2"/>
    <x v="2"/>
    <x v="0"/>
    <n v="6294"/>
    <n v="23060"/>
    <n v="8"/>
    <x v="0"/>
    <n v="3"/>
    <n v="4"/>
    <n v="80"/>
    <n v="10"/>
    <x v="3"/>
    <x v="3"/>
    <n v="3"/>
    <x v="3"/>
    <n v="0"/>
    <n v="2"/>
  </r>
  <r>
    <n v="30"/>
    <x v="2"/>
    <x v="1"/>
    <s v="Travel_Rarely"/>
    <x v="0"/>
    <s v="Marketing"/>
    <x v="0"/>
    <n v="1754"/>
    <n v="15"/>
    <x v="1"/>
    <s v="Male"/>
    <n v="3"/>
    <x v="3"/>
    <x v="2"/>
    <n v="7140"/>
    <n v="3088"/>
    <n v="2"/>
    <x v="1"/>
    <n v="3"/>
    <n v="1"/>
    <n v="80"/>
    <n v="12"/>
    <x v="2"/>
    <x v="1"/>
    <n v="7"/>
    <x v="1"/>
    <n v="1"/>
    <n v="7"/>
  </r>
  <r>
    <n v="34"/>
    <x v="1"/>
    <x v="1"/>
    <s v="Travel_Rarely"/>
    <x v="1"/>
    <s v="Medical"/>
    <x v="1"/>
    <n v="1755"/>
    <n v="2"/>
    <x v="2"/>
    <s v="Male"/>
    <n v="1"/>
    <x v="0"/>
    <x v="1"/>
    <n v="2932"/>
    <n v="5586"/>
    <n v="0"/>
    <x v="0"/>
    <n v="3"/>
    <n v="1"/>
    <n v="80"/>
    <n v="6"/>
    <x v="1"/>
    <x v="1"/>
    <n v="5"/>
    <x v="2"/>
    <n v="1"/>
    <n v="2"/>
  </r>
  <r>
    <n v="33"/>
    <x v="1"/>
    <x v="1"/>
    <s v="Non-Travel"/>
    <x v="0"/>
    <s v="Marketing"/>
    <x v="0"/>
    <n v="1756"/>
    <n v="2"/>
    <x v="2"/>
    <s v="Female"/>
    <n v="2"/>
    <x v="1"/>
    <x v="0"/>
    <n v="5147"/>
    <n v="10697"/>
    <n v="8"/>
    <x v="1"/>
    <n v="3"/>
    <n v="4"/>
    <n v="80"/>
    <n v="13"/>
    <x v="2"/>
    <x v="2"/>
    <n v="11"/>
    <x v="1"/>
    <n v="1"/>
    <n v="7"/>
  </r>
  <r>
    <n v="49"/>
    <x v="0"/>
    <x v="1"/>
    <s v="Travel_Rarely"/>
    <x v="0"/>
    <s v="Marketing"/>
    <x v="0"/>
    <n v="1757"/>
    <n v="11"/>
    <x v="2"/>
    <s v="Female"/>
    <n v="2"/>
    <x v="0"/>
    <x v="0"/>
    <n v="4507"/>
    <n v="8191"/>
    <n v="3"/>
    <x v="1"/>
    <n v="3"/>
    <n v="3"/>
    <n v="80"/>
    <n v="8"/>
    <x v="4"/>
    <x v="3"/>
    <n v="5"/>
    <x v="10"/>
    <n v="0"/>
    <n v="4"/>
  </r>
  <r>
    <n v="33"/>
    <x v="1"/>
    <x v="0"/>
    <s v="Travel_Rarely"/>
    <x v="0"/>
    <s v="Life Sciences"/>
    <x v="0"/>
    <n v="1758"/>
    <n v="16"/>
    <x v="3"/>
    <s v="Female"/>
    <n v="3"/>
    <x v="3"/>
    <x v="0"/>
    <n v="8564"/>
    <n v="10092"/>
    <n v="2"/>
    <x v="0"/>
    <n v="4"/>
    <n v="3"/>
    <n v="80"/>
    <n v="11"/>
    <x v="2"/>
    <x v="2"/>
    <n v="0"/>
    <x v="2"/>
    <n v="0"/>
    <n v="0"/>
  </r>
  <r>
    <n v="38"/>
    <x v="1"/>
    <x v="1"/>
    <s v="Travel_Frequently"/>
    <x v="1"/>
    <s v="Medical"/>
    <x v="2"/>
    <n v="1760"/>
    <n v="2"/>
    <x v="1"/>
    <s v="Female"/>
    <n v="1"/>
    <x v="1"/>
    <x v="1"/>
    <n v="2468"/>
    <n v="15963"/>
    <n v="4"/>
    <x v="1"/>
    <n v="3"/>
    <n v="2"/>
    <n v="80"/>
    <n v="9"/>
    <x v="5"/>
    <x v="2"/>
    <n v="6"/>
    <x v="10"/>
    <n v="0"/>
    <n v="5"/>
  </r>
  <r>
    <n v="31"/>
    <x v="1"/>
    <x v="0"/>
    <s v="Travel_Rarely"/>
    <x v="0"/>
    <s v="Marketing"/>
    <x v="0"/>
    <n v="1761"/>
    <n v="16"/>
    <x v="3"/>
    <s v="Male"/>
    <n v="3"/>
    <x v="2"/>
    <x v="1"/>
    <n v="8161"/>
    <n v="19002"/>
    <n v="2"/>
    <x v="1"/>
    <n v="3"/>
    <n v="1"/>
    <n v="80"/>
    <n v="10"/>
    <x v="2"/>
    <x v="1"/>
    <n v="1"/>
    <x v="2"/>
    <n v="0"/>
    <n v="0"/>
  </r>
  <r>
    <n v="29"/>
    <x v="2"/>
    <x v="1"/>
    <s v="Travel_Rarely"/>
    <x v="1"/>
    <s v="Technical Degree"/>
    <x v="1"/>
    <n v="1762"/>
    <n v="4"/>
    <x v="2"/>
    <s v="Female"/>
    <n v="1"/>
    <x v="3"/>
    <x v="2"/>
    <n v="2109"/>
    <n v="10007"/>
    <n v="1"/>
    <x v="1"/>
    <n v="3"/>
    <n v="3"/>
    <n v="80"/>
    <n v="1"/>
    <x v="2"/>
    <x v="1"/>
    <n v="1"/>
    <x v="2"/>
    <n v="0"/>
    <n v="0"/>
  </r>
  <r>
    <n v="30"/>
    <x v="2"/>
    <x v="1"/>
    <s v="Travel_Rarely"/>
    <x v="1"/>
    <s v="Life Sciences"/>
    <x v="4"/>
    <n v="1763"/>
    <n v="16"/>
    <x v="1"/>
    <s v="Male"/>
    <n v="2"/>
    <x v="2"/>
    <x v="1"/>
    <n v="5294"/>
    <n v="9128"/>
    <n v="3"/>
    <x v="1"/>
    <n v="3"/>
    <n v="3"/>
    <n v="80"/>
    <n v="10"/>
    <x v="1"/>
    <x v="1"/>
    <n v="7"/>
    <x v="2"/>
    <n v="1"/>
    <n v="7"/>
  </r>
  <r>
    <n v="32"/>
    <x v="1"/>
    <x v="1"/>
    <s v="Non-Travel"/>
    <x v="1"/>
    <s v="Technical Degree"/>
    <x v="1"/>
    <n v="1764"/>
    <n v="5"/>
    <x v="0"/>
    <s v="Male"/>
    <n v="1"/>
    <x v="1"/>
    <x v="0"/>
    <n v="2718"/>
    <n v="17674"/>
    <n v="2"/>
    <x v="1"/>
    <n v="3"/>
    <n v="2"/>
    <n v="80"/>
    <n v="12"/>
    <x v="1"/>
    <x v="1"/>
    <n v="7"/>
    <x v="1"/>
    <n v="0"/>
    <n v="7"/>
  </r>
  <r>
    <n v="38"/>
    <x v="1"/>
    <x v="1"/>
    <s v="Travel_Rarely"/>
    <x v="1"/>
    <s v="Medical"/>
    <x v="4"/>
    <n v="1766"/>
    <n v="18"/>
    <x v="0"/>
    <s v="Male"/>
    <n v="2"/>
    <x v="0"/>
    <x v="1"/>
    <n v="5811"/>
    <n v="24539"/>
    <n v="3"/>
    <x v="0"/>
    <n v="3"/>
    <n v="3"/>
    <n v="80"/>
    <n v="15"/>
    <x v="2"/>
    <x v="1"/>
    <n v="1"/>
    <x v="2"/>
    <n v="1"/>
    <n v="0"/>
  </r>
  <r>
    <n v="43"/>
    <x v="0"/>
    <x v="0"/>
    <s v="Travel_Frequently"/>
    <x v="1"/>
    <s v="Technical Degree"/>
    <x v="1"/>
    <n v="1767"/>
    <n v="17"/>
    <x v="1"/>
    <s v="Male"/>
    <n v="1"/>
    <x v="2"/>
    <x v="1"/>
    <n v="2437"/>
    <n v="15587"/>
    <n v="9"/>
    <x v="0"/>
    <n v="3"/>
    <n v="4"/>
    <n v="80"/>
    <n v="6"/>
    <x v="5"/>
    <x v="1"/>
    <n v="1"/>
    <x v="2"/>
    <n v="0"/>
    <n v="0"/>
  </r>
  <r>
    <n v="42"/>
    <x v="0"/>
    <x v="1"/>
    <s v="Travel_Rarely"/>
    <x v="1"/>
    <s v="Medical"/>
    <x v="2"/>
    <n v="1768"/>
    <n v="12"/>
    <x v="0"/>
    <s v="Male"/>
    <n v="1"/>
    <x v="1"/>
    <x v="2"/>
    <n v="2766"/>
    <n v="8952"/>
    <n v="8"/>
    <x v="1"/>
    <n v="4"/>
    <n v="2"/>
    <n v="80"/>
    <n v="7"/>
    <x v="6"/>
    <x v="2"/>
    <n v="5"/>
    <x v="7"/>
    <n v="0"/>
    <n v="4"/>
  </r>
  <r>
    <n v="55"/>
    <x v="3"/>
    <x v="1"/>
    <s v="Travel_Rarely"/>
    <x v="1"/>
    <s v="Medical"/>
    <x v="7"/>
    <n v="1770"/>
    <n v="2"/>
    <x v="1"/>
    <s v="Male"/>
    <n v="5"/>
    <x v="3"/>
    <x v="1"/>
    <n v="19038"/>
    <n v="19805"/>
    <n v="8"/>
    <x v="1"/>
    <n v="3"/>
    <n v="2"/>
    <n v="80"/>
    <n v="34"/>
    <x v="2"/>
    <x v="1"/>
    <n v="1"/>
    <x v="2"/>
    <n v="0"/>
    <n v="0"/>
  </r>
  <r>
    <n v="33"/>
    <x v="1"/>
    <x v="1"/>
    <s v="Non-Travel"/>
    <x v="1"/>
    <s v="Technical Degree"/>
    <x v="1"/>
    <n v="1771"/>
    <n v="4"/>
    <x v="2"/>
    <s v="Male"/>
    <n v="2"/>
    <x v="1"/>
    <x v="2"/>
    <n v="3055"/>
    <n v="6194"/>
    <n v="5"/>
    <x v="1"/>
    <n v="3"/>
    <n v="4"/>
    <n v="80"/>
    <n v="11"/>
    <x v="2"/>
    <x v="2"/>
    <n v="9"/>
    <x v="6"/>
    <n v="1"/>
    <n v="7"/>
  </r>
  <r>
    <n v="41"/>
    <x v="0"/>
    <x v="1"/>
    <s v="Travel_Rarely"/>
    <x v="1"/>
    <s v="Life Sciences"/>
    <x v="2"/>
    <n v="1772"/>
    <n v="9"/>
    <x v="1"/>
    <s v="Male"/>
    <n v="1"/>
    <x v="3"/>
    <x v="2"/>
    <n v="2289"/>
    <n v="20520"/>
    <n v="1"/>
    <x v="1"/>
    <n v="4"/>
    <n v="2"/>
    <n v="80"/>
    <n v="5"/>
    <x v="2"/>
    <x v="1"/>
    <n v="5"/>
    <x v="7"/>
    <n v="0"/>
    <n v="4"/>
  </r>
  <r>
    <n v="34"/>
    <x v="1"/>
    <x v="1"/>
    <s v="Non-Travel"/>
    <x v="0"/>
    <s v="Life Sciences"/>
    <x v="0"/>
    <n v="1774"/>
    <n v="10"/>
    <x v="2"/>
    <s v="Male"/>
    <n v="2"/>
    <x v="2"/>
    <x v="2"/>
    <n v="4001"/>
    <n v="12313"/>
    <n v="1"/>
    <x v="0"/>
    <n v="3"/>
    <n v="3"/>
    <n v="80"/>
    <n v="15"/>
    <x v="1"/>
    <x v="1"/>
    <n v="15"/>
    <x v="12"/>
    <n v="0"/>
    <n v="7"/>
  </r>
  <r>
    <n v="53"/>
    <x v="3"/>
    <x v="1"/>
    <s v="Non-Travel"/>
    <x v="1"/>
    <s v="Medical"/>
    <x v="3"/>
    <n v="1775"/>
    <n v="1"/>
    <x v="3"/>
    <s v="Female"/>
    <n v="4"/>
    <x v="2"/>
    <x v="1"/>
    <n v="12965"/>
    <n v="22308"/>
    <n v="4"/>
    <x v="0"/>
    <n v="4"/>
    <n v="4"/>
    <n v="80"/>
    <n v="27"/>
    <x v="2"/>
    <x v="2"/>
    <n v="3"/>
    <x v="3"/>
    <n v="0"/>
    <n v="2"/>
  </r>
  <r>
    <n v="43"/>
    <x v="0"/>
    <x v="1"/>
    <s v="Travel_Rarely"/>
    <x v="2"/>
    <s v="Life Sciences"/>
    <x v="8"/>
    <n v="1778"/>
    <n v="2"/>
    <x v="0"/>
    <s v="Male"/>
    <n v="1"/>
    <x v="0"/>
    <x v="0"/>
    <n v="3539"/>
    <n v="5033"/>
    <n v="0"/>
    <x v="1"/>
    <n v="3"/>
    <n v="2"/>
    <n v="80"/>
    <n v="10"/>
    <x v="3"/>
    <x v="1"/>
    <n v="9"/>
    <x v="1"/>
    <n v="1"/>
    <n v="8"/>
  </r>
  <r>
    <n v="34"/>
    <x v="1"/>
    <x v="1"/>
    <s v="Travel_Rarely"/>
    <x v="0"/>
    <s v="Life Sciences"/>
    <x v="0"/>
    <n v="1779"/>
    <n v="3"/>
    <x v="2"/>
    <s v="Female"/>
    <n v="2"/>
    <x v="0"/>
    <x v="0"/>
    <n v="6029"/>
    <n v="25353"/>
    <n v="5"/>
    <x v="1"/>
    <n v="3"/>
    <n v="1"/>
    <n v="80"/>
    <n v="6"/>
    <x v="1"/>
    <x v="1"/>
    <n v="2"/>
    <x v="3"/>
    <n v="2"/>
    <n v="2"/>
  </r>
  <r>
    <n v="21"/>
    <x v="2"/>
    <x v="0"/>
    <s v="Travel_Rarely"/>
    <x v="0"/>
    <s v="Marketing"/>
    <x v="6"/>
    <n v="1780"/>
    <n v="7"/>
    <x v="0"/>
    <s v="Male"/>
    <n v="1"/>
    <x v="1"/>
    <x v="0"/>
    <n v="2679"/>
    <n v="4567"/>
    <n v="1"/>
    <x v="1"/>
    <n v="3"/>
    <n v="2"/>
    <n v="80"/>
    <n v="1"/>
    <x v="1"/>
    <x v="1"/>
    <n v="1"/>
    <x v="2"/>
    <n v="1"/>
    <n v="0"/>
  </r>
  <r>
    <n v="38"/>
    <x v="1"/>
    <x v="1"/>
    <s v="Travel_Rarely"/>
    <x v="1"/>
    <s v="Other"/>
    <x v="2"/>
    <n v="1782"/>
    <n v="6"/>
    <x v="2"/>
    <s v="Female"/>
    <n v="1"/>
    <x v="2"/>
    <x v="1"/>
    <n v="3702"/>
    <n v="16376"/>
    <n v="1"/>
    <x v="1"/>
    <n v="3"/>
    <n v="2"/>
    <n v="80"/>
    <n v="5"/>
    <x v="1"/>
    <x v="1"/>
    <n v="5"/>
    <x v="0"/>
    <n v="0"/>
    <n v="4"/>
  </r>
  <r>
    <n v="22"/>
    <x v="2"/>
    <x v="0"/>
    <s v="Travel_Rarely"/>
    <x v="1"/>
    <s v="Medical"/>
    <x v="2"/>
    <n v="1783"/>
    <n v="8"/>
    <x v="1"/>
    <s v="Female"/>
    <n v="1"/>
    <x v="3"/>
    <x v="1"/>
    <n v="2398"/>
    <n v="15999"/>
    <n v="1"/>
    <x v="0"/>
    <n v="3"/>
    <n v="3"/>
    <n v="80"/>
    <n v="1"/>
    <x v="6"/>
    <x v="1"/>
    <n v="1"/>
    <x v="2"/>
    <n v="0"/>
    <n v="0"/>
  </r>
  <r>
    <n v="31"/>
    <x v="1"/>
    <x v="1"/>
    <s v="Travel_Rarely"/>
    <x v="0"/>
    <s v="Marketing"/>
    <x v="0"/>
    <n v="1784"/>
    <n v="29"/>
    <x v="3"/>
    <s v="Female"/>
    <n v="2"/>
    <x v="0"/>
    <x v="1"/>
    <n v="5468"/>
    <n v="13402"/>
    <n v="1"/>
    <x v="1"/>
    <n v="3"/>
    <n v="1"/>
    <n v="80"/>
    <n v="13"/>
    <x v="1"/>
    <x v="1"/>
    <n v="12"/>
    <x v="1"/>
    <n v="5"/>
    <n v="7"/>
  </r>
  <r>
    <n v="51"/>
    <x v="3"/>
    <x v="1"/>
    <s v="Travel_Rarely"/>
    <x v="1"/>
    <s v="Technical Degree"/>
    <x v="5"/>
    <n v="1786"/>
    <n v="3"/>
    <x v="3"/>
    <s v="Female"/>
    <n v="3"/>
    <x v="2"/>
    <x v="1"/>
    <n v="13116"/>
    <n v="22984"/>
    <n v="2"/>
    <x v="1"/>
    <n v="3"/>
    <n v="4"/>
    <n v="80"/>
    <n v="15"/>
    <x v="2"/>
    <x v="1"/>
    <n v="2"/>
    <x v="3"/>
    <n v="2"/>
    <n v="2"/>
  </r>
  <r>
    <n v="37"/>
    <x v="1"/>
    <x v="1"/>
    <s v="Travel_Rarely"/>
    <x v="0"/>
    <s v="Marketing"/>
    <x v="0"/>
    <n v="1787"/>
    <n v="9"/>
    <x v="0"/>
    <s v="Male"/>
    <n v="2"/>
    <x v="1"/>
    <x v="1"/>
    <n v="4189"/>
    <n v="8800"/>
    <n v="1"/>
    <x v="1"/>
    <n v="3"/>
    <n v="1"/>
    <n v="80"/>
    <n v="5"/>
    <x v="2"/>
    <x v="1"/>
    <n v="5"/>
    <x v="3"/>
    <n v="0"/>
    <n v="3"/>
  </r>
  <r>
    <n v="46"/>
    <x v="0"/>
    <x v="1"/>
    <s v="Travel_Rarely"/>
    <x v="1"/>
    <s v="Medical"/>
    <x v="7"/>
    <n v="1789"/>
    <n v="2"/>
    <x v="1"/>
    <s v="Male"/>
    <n v="5"/>
    <x v="0"/>
    <x v="2"/>
    <n v="19328"/>
    <n v="14218"/>
    <n v="7"/>
    <x v="0"/>
    <n v="3"/>
    <n v="3"/>
    <n v="80"/>
    <n v="24"/>
    <x v="1"/>
    <x v="1"/>
    <n v="2"/>
    <x v="10"/>
    <n v="2"/>
    <n v="2"/>
  </r>
  <r>
    <n v="36"/>
    <x v="1"/>
    <x v="1"/>
    <s v="Travel_Rarely"/>
    <x v="1"/>
    <s v="Life Sciences"/>
    <x v="4"/>
    <n v="1790"/>
    <n v="10"/>
    <x v="2"/>
    <s v="Male"/>
    <n v="3"/>
    <x v="3"/>
    <x v="1"/>
    <n v="8321"/>
    <n v="25949"/>
    <n v="7"/>
    <x v="0"/>
    <n v="3"/>
    <n v="4"/>
    <n v="80"/>
    <n v="15"/>
    <x v="4"/>
    <x v="1"/>
    <n v="12"/>
    <x v="6"/>
    <n v="5"/>
    <n v="7"/>
  </r>
  <r>
    <n v="44"/>
    <x v="0"/>
    <x v="0"/>
    <s v="Travel_Frequently"/>
    <x v="1"/>
    <s v="Medical"/>
    <x v="1"/>
    <n v="1792"/>
    <n v="1"/>
    <x v="1"/>
    <s v="Male"/>
    <n v="1"/>
    <x v="1"/>
    <x v="2"/>
    <n v="2342"/>
    <n v="11092"/>
    <n v="1"/>
    <x v="0"/>
    <n v="3"/>
    <n v="3"/>
    <n v="80"/>
    <n v="6"/>
    <x v="2"/>
    <x v="2"/>
    <n v="5"/>
    <x v="7"/>
    <n v="2"/>
    <n v="3"/>
  </r>
  <r>
    <n v="37"/>
    <x v="1"/>
    <x v="1"/>
    <s v="Travel_Rarely"/>
    <x v="2"/>
    <s v="Other"/>
    <x v="8"/>
    <n v="1794"/>
    <n v="8"/>
    <x v="1"/>
    <s v="Male"/>
    <n v="2"/>
    <x v="1"/>
    <x v="2"/>
    <n v="4071"/>
    <n v="12832"/>
    <n v="2"/>
    <x v="1"/>
    <n v="3"/>
    <n v="3"/>
    <n v="80"/>
    <n v="19"/>
    <x v="5"/>
    <x v="2"/>
    <n v="10"/>
    <x v="2"/>
    <n v="4"/>
    <n v="7"/>
  </r>
  <r>
    <n v="35"/>
    <x v="1"/>
    <x v="0"/>
    <s v="Travel_Rarely"/>
    <x v="0"/>
    <s v="Life Sciences"/>
    <x v="0"/>
    <n v="1797"/>
    <n v="27"/>
    <x v="1"/>
    <s v="Male"/>
    <n v="2"/>
    <x v="0"/>
    <x v="0"/>
    <n v="5813"/>
    <n v="13492"/>
    <n v="1"/>
    <x v="0"/>
    <n v="3"/>
    <n v="4"/>
    <n v="80"/>
    <n v="10"/>
    <x v="2"/>
    <x v="1"/>
    <n v="10"/>
    <x v="1"/>
    <n v="7"/>
    <n v="7"/>
  </r>
  <r>
    <n v="33"/>
    <x v="1"/>
    <x v="1"/>
    <s v="Travel_Rarely"/>
    <x v="1"/>
    <s v="Life Sciences"/>
    <x v="1"/>
    <n v="1798"/>
    <n v="8"/>
    <x v="2"/>
    <s v="Male"/>
    <n v="1"/>
    <x v="3"/>
    <x v="1"/>
    <n v="3143"/>
    <n v="6076"/>
    <n v="6"/>
    <x v="1"/>
    <n v="3"/>
    <n v="2"/>
    <n v="80"/>
    <n v="14"/>
    <x v="4"/>
    <x v="1"/>
    <n v="10"/>
    <x v="6"/>
    <n v="7"/>
    <n v="6"/>
  </r>
  <r>
    <n v="28"/>
    <x v="2"/>
    <x v="1"/>
    <s v="Travel_Rarely"/>
    <x v="1"/>
    <s v="Life Sciences"/>
    <x v="1"/>
    <n v="1799"/>
    <n v="1"/>
    <x v="1"/>
    <s v="Male"/>
    <n v="1"/>
    <x v="0"/>
    <x v="1"/>
    <n v="2044"/>
    <n v="5531"/>
    <n v="1"/>
    <x v="1"/>
    <n v="3"/>
    <n v="3"/>
    <n v="80"/>
    <n v="5"/>
    <x v="6"/>
    <x v="3"/>
    <n v="5"/>
    <x v="7"/>
    <n v="0"/>
    <n v="3"/>
  </r>
  <r>
    <n v="39"/>
    <x v="1"/>
    <x v="1"/>
    <s v="Travel_Rarely"/>
    <x v="1"/>
    <s v="Medical"/>
    <x v="7"/>
    <n v="1800"/>
    <n v="10"/>
    <x v="1"/>
    <s v="Male"/>
    <n v="3"/>
    <x v="2"/>
    <x v="0"/>
    <n v="13464"/>
    <n v="7914"/>
    <n v="7"/>
    <x v="1"/>
    <n v="4"/>
    <n v="3"/>
    <n v="80"/>
    <n v="9"/>
    <x v="1"/>
    <x v="1"/>
    <n v="4"/>
    <x v="7"/>
    <n v="2"/>
    <n v="2"/>
  </r>
  <r>
    <n v="46"/>
    <x v="0"/>
    <x v="1"/>
    <s v="Non-Travel"/>
    <x v="0"/>
    <s v="Life Sciences"/>
    <x v="0"/>
    <n v="1801"/>
    <n v="26"/>
    <x v="0"/>
    <s v="Male"/>
    <n v="2"/>
    <x v="1"/>
    <x v="0"/>
    <n v="7991"/>
    <n v="25166"/>
    <n v="8"/>
    <x v="1"/>
    <n v="3"/>
    <n v="3"/>
    <n v="80"/>
    <n v="6"/>
    <x v="1"/>
    <x v="1"/>
    <n v="2"/>
    <x v="3"/>
    <n v="2"/>
    <n v="2"/>
  </r>
  <r>
    <n v="40"/>
    <x v="1"/>
    <x v="1"/>
    <s v="Travel_Rarely"/>
    <x v="1"/>
    <s v="Life Sciences"/>
    <x v="2"/>
    <n v="1802"/>
    <n v="2"/>
    <x v="1"/>
    <s v="Female"/>
    <n v="1"/>
    <x v="3"/>
    <x v="1"/>
    <n v="3377"/>
    <n v="25605"/>
    <n v="4"/>
    <x v="1"/>
    <n v="3"/>
    <n v="4"/>
    <n v="80"/>
    <n v="7"/>
    <x v="3"/>
    <x v="2"/>
    <n v="4"/>
    <x v="7"/>
    <n v="0"/>
    <n v="2"/>
  </r>
  <r>
    <n v="42"/>
    <x v="0"/>
    <x v="1"/>
    <s v="Travel_Rarely"/>
    <x v="1"/>
    <s v="Medical"/>
    <x v="4"/>
    <n v="1803"/>
    <n v="13"/>
    <x v="0"/>
    <s v="Male"/>
    <n v="2"/>
    <x v="3"/>
    <x v="1"/>
    <n v="5538"/>
    <n v="5696"/>
    <n v="5"/>
    <x v="1"/>
    <n v="3"/>
    <n v="3"/>
    <n v="80"/>
    <n v="10"/>
    <x v="2"/>
    <x v="2"/>
    <n v="0"/>
    <x v="2"/>
    <n v="0"/>
    <n v="0"/>
  </r>
  <r>
    <n v="35"/>
    <x v="1"/>
    <x v="1"/>
    <s v="Non-Travel"/>
    <x v="1"/>
    <s v="Medical"/>
    <x v="3"/>
    <n v="1804"/>
    <n v="2"/>
    <x v="0"/>
    <s v="Male"/>
    <n v="2"/>
    <x v="0"/>
    <x v="2"/>
    <n v="5762"/>
    <n v="24442"/>
    <n v="2"/>
    <x v="1"/>
    <n v="3"/>
    <n v="3"/>
    <n v="80"/>
    <n v="15"/>
    <x v="6"/>
    <x v="1"/>
    <n v="7"/>
    <x v="1"/>
    <n v="1"/>
    <n v="7"/>
  </r>
  <r>
    <n v="38"/>
    <x v="1"/>
    <x v="1"/>
    <s v="Non-Travel"/>
    <x v="2"/>
    <s v="Human Resources"/>
    <x v="8"/>
    <n v="1805"/>
    <n v="2"/>
    <x v="3"/>
    <s v="Male"/>
    <n v="1"/>
    <x v="1"/>
    <x v="2"/>
    <n v="2592"/>
    <n v="7129"/>
    <n v="5"/>
    <x v="1"/>
    <n v="3"/>
    <n v="4"/>
    <n v="80"/>
    <n v="13"/>
    <x v="1"/>
    <x v="1"/>
    <n v="11"/>
    <x v="15"/>
    <n v="3"/>
    <n v="8"/>
  </r>
  <r>
    <n v="34"/>
    <x v="1"/>
    <x v="0"/>
    <s v="Travel_Frequently"/>
    <x v="1"/>
    <s v="Life Sciences"/>
    <x v="2"/>
    <n v="1807"/>
    <n v="9"/>
    <x v="2"/>
    <s v="Male"/>
    <n v="2"/>
    <x v="3"/>
    <x v="1"/>
    <n v="5346"/>
    <n v="6208"/>
    <n v="4"/>
    <x v="1"/>
    <n v="3"/>
    <n v="3"/>
    <n v="80"/>
    <n v="11"/>
    <x v="1"/>
    <x v="2"/>
    <n v="7"/>
    <x v="10"/>
    <n v="0"/>
    <n v="7"/>
  </r>
  <r>
    <n v="37"/>
    <x v="1"/>
    <x v="0"/>
    <s v="Travel_Rarely"/>
    <x v="1"/>
    <s v="Medical"/>
    <x v="3"/>
    <n v="1809"/>
    <n v="10"/>
    <x v="2"/>
    <s v="Male"/>
    <n v="2"/>
    <x v="3"/>
    <x v="0"/>
    <n v="4213"/>
    <n v="4992"/>
    <n v="1"/>
    <x v="1"/>
    <n v="3"/>
    <n v="2"/>
    <n v="80"/>
    <n v="10"/>
    <x v="5"/>
    <x v="0"/>
    <n v="10"/>
    <x v="7"/>
    <n v="0"/>
    <n v="8"/>
  </r>
  <r>
    <n v="39"/>
    <x v="1"/>
    <x v="1"/>
    <s v="Travel_Frequently"/>
    <x v="0"/>
    <s v="Life Sciences"/>
    <x v="0"/>
    <n v="1812"/>
    <n v="20"/>
    <x v="1"/>
    <s v="Male"/>
    <n v="2"/>
    <x v="0"/>
    <x v="2"/>
    <n v="4127"/>
    <n v="19188"/>
    <n v="2"/>
    <x v="1"/>
    <n v="3"/>
    <n v="4"/>
    <n v="80"/>
    <n v="7"/>
    <x v="6"/>
    <x v="1"/>
    <n v="2"/>
    <x v="10"/>
    <n v="2"/>
    <n v="2"/>
  </r>
  <r>
    <n v="43"/>
    <x v="0"/>
    <x v="1"/>
    <s v="Non-Travel"/>
    <x v="1"/>
    <s v="Life Sciences"/>
    <x v="1"/>
    <n v="1813"/>
    <n v="9"/>
    <x v="3"/>
    <s v="Male"/>
    <n v="1"/>
    <x v="2"/>
    <x v="0"/>
    <n v="2438"/>
    <n v="24978"/>
    <n v="4"/>
    <x v="1"/>
    <n v="3"/>
    <n v="3"/>
    <n v="80"/>
    <n v="7"/>
    <x v="2"/>
    <x v="2"/>
    <n v="3"/>
    <x v="3"/>
    <n v="1"/>
    <n v="2"/>
  </r>
  <r>
    <n v="41"/>
    <x v="0"/>
    <x v="1"/>
    <s v="Travel_Rarely"/>
    <x v="1"/>
    <s v="Life Sciences"/>
    <x v="4"/>
    <n v="1814"/>
    <n v="5"/>
    <x v="0"/>
    <s v="Male"/>
    <n v="2"/>
    <x v="1"/>
    <x v="0"/>
    <n v="6870"/>
    <n v="15530"/>
    <n v="3"/>
    <x v="1"/>
    <n v="3"/>
    <n v="1"/>
    <n v="80"/>
    <n v="11"/>
    <x v="1"/>
    <x v="0"/>
    <n v="3"/>
    <x v="3"/>
    <n v="1"/>
    <n v="2"/>
  </r>
  <r>
    <n v="41"/>
    <x v="0"/>
    <x v="1"/>
    <s v="Travel_Rarely"/>
    <x v="0"/>
    <s v="Marketing"/>
    <x v="0"/>
    <n v="1815"/>
    <n v="4"/>
    <x v="1"/>
    <s v="Female"/>
    <n v="3"/>
    <x v="2"/>
    <x v="2"/>
    <n v="10447"/>
    <n v="26458"/>
    <n v="0"/>
    <x v="0"/>
    <n v="3"/>
    <n v="4"/>
    <n v="80"/>
    <n v="23"/>
    <x v="1"/>
    <x v="3"/>
    <n v="22"/>
    <x v="12"/>
    <n v="13"/>
    <n v="5"/>
  </r>
  <r>
    <n v="30"/>
    <x v="2"/>
    <x v="1"/>
    <s v="Travel_Rarely"/>
    <x v="1"/>
    <s v="Medical"/>
    <x v="3"/>
    <n v="1816"/>
    <n v="10"/>
    <x v="3"/>
    <s v="Female"/>
    <n v="3"/>
    <x v="2"/>
    <x v="0"/>
    <n v="9667"/>
    <n v="2739"/>
    <n v="9"/>
    <x v="1"/>
    <n v="3"/>
    <n v="2"/>
    <n v="80"/>
    <n v="9"/>
    <x v="1"/>
    <x v="1"/>
    <n v="7"/>
    <x v="1"/>
    <n v="0"/>
    <n v="2"/>
  </r>
  <r>
    <n v="26"/>
    <x v="2"/>
    <x v="0"/>
    <s v="Travel_Rarely"/>
    <x v="2"/>
    <s v="Medical"/>
    <x v="8"/>
    <n v="1818"/>
    <n v="20"/>
    <x v="2"/>
    <s v="Female"/>
    <n v="1"/>
    <x v="1"/>
    <x v="1"/>
    <n v="2148"/>
    <n v="6889"/>
    <n v="0"/>
    <x v="0"/>
    <n v="3"/>
    <n v="3"/>
    <n v="80"/>
    <n v="6"/>
    <x v="1"/>
    <x v="1"/>
    <n v="5"/>
    <x v="10"/>
    <n v="1"/>
    <n v="4"/>
  </r>
  <r>
    <n v="46"/>
    <x v="0"/>
    <x v="0"/>
    <s v="Travel_Rarely"/>
    <x v="1"/>
    <s v="Medical"/>
    <x v="4"/>
    <n v="1821"/>
    <n v="21"/>
    <x v="2"/>
    <s v="Female"/>
    <n v="2"/>
    <x v="1"/>
    <x v="1"/>
    <n v="8926"/>
    <n v="10842"/>
    <n v="4"/>
    <x v="1"/>
    <n v="4"/>
    <n v="4"/>
    <n v="80"/>
    <n v="13"/>
    <x v="2"/>
    <x v="3"/>
    <n v="9"/>
    <x v="1"/>
    <n v="3"/>
    <n v="7"/>
  </r>
  <r>
    <n v="40"/>
    <x v="1"/>
    <x v="1"/>
    <s v="Travel_Rarely"/>
    <x v="1"/>
    <s v="Life Sciences"/>
    <x v="4"/>
    <n v="1822"/>
    <n v="1"/>
    <x v="1"/>
    <s v="Female"/>
    <n v="2"/>
    <x v="0"/>
    <x v="2"/>
    <n v="6513"/>
    <n v="9060"/>
    <n v="4"/>
    <x v="1"/>
    <n v="3"/>
    <n v="4"/>
    <n v="80"/>
    <n v="12"/>
    <x v="1"/>
    <x v="1"/>
    <n v="5"/>
    <x v="7"/>
    <n v="0"/>
    <n v="3"/>
  </r>
  <r>
    <n v="34"/>
    <x v="1"/>
    <x v="1"/>
    <s v="Travel_Rarely"/>
    <x v="0"/>
    <s v="Technical Degree"/>
    <x v="0"/>
    <n v="1823"/>
    <n v="8"/>
    <x v="0"/>
    <s v="Male"/>
    <n v="2"/>
    <x v="2"/>
    <x v="1"/>
    <n v="6799"/>
    <n v="22128"/>
    <n v="1"/>
    <x v="1"/>
    <n v="4"/>
    <n v="3"/>
    <n v="80"/>
    <n v="10"/>
    <x v="3"/>
    <x v="1"/>
    <n v="10"/>
    <x v="6"/>
    <n v="4"/>
    <n v="8"/>
  </r>
  <r>
    <n v="58"/>
    <x v="3"/>
    <x v="1"/>
    <s v="Non-Travel"/>
    <x v="0"/>
    <s v="Medical"/>
    <x v="5"/>
    <n v="1824"/>
    <n v="2"/>
    <x v="0"/>
    <s v="Male"/>
    <n v="4"/>
    <x v="1"/>
    <x v="2"/>
    <n v="16291"/>
    <n v="22577"/>
    <n v="4"/>
    <x v="1"/>
    <n v="4"/>
    <n v="4"/>
    <n v="80"/>
    <n v="37"/>
    <x v="0"/>
    <x v="2"/>
    <n v="16"/>
    <x v="5"/>
    <n v="14"/>
    <n v="14"/>
  </r>
  <r>
    <n v="35"/>
    <x v="1"/>
    <x v="1"/>
    <s v="Travel_Rarely"/>
    <x v="1"/>
    <s v="Medical"/>
    <x v="2"/>
    <n v="1826"/>
    <n v="23"/>
    <x v="0"/>
    <s v="Male"/>
    <n v="1"/>
    <x v="2"/>
    <x v="1"/>
    <n v="2705"/>
    <n v="9696"/>
    <n v="0"/>
    <x v="1"/>
    <n v="3"/>
    <n v="2"/>
    <n v="80"/>
    <n v="6"/>
    <x v="2"/>
    <x v="3"/>
    <n v="5"/>
    <x v="0"/>
    <n v="0"/>
    <n v="3"/>
  </r>
  <r>
    <n v="47"/>
    <x v="0"/>
    <x v="1"/>
    <s v="Travel_Rarely"/>
    <x v="1"/>
    <s v="Life Sciences"/>
    <x v="3"/>
    <n v="1827"/>
    <n v="4"/>
    <x v="1"/>
    <s v="Female"/>
    <n v="3"/>
    <x v="1"/>
    <x v="2"/>
    <n v="10333"/>
    <n v="19271"/>
    <n v="8"/>
    <x v="0"/>
    <n v="3"/>
    <n v="3"/>
    <n v="80"/>
    <n v="28"/>
    <x v="5"/>
    <x v="1"/>
    <n v="22"/>
    <x v="14"/>
    <n v="14"/>
    <n v="10"/>
  </r>
  <r>
    <n v="40"/>
    <x v="1"/>
    <x v="1"/>
    <s v="Travel_Rarely"/>
    <x v="1"/>
    <s v="Life Sciences"/>
    <x v="4"/>
    <n v="1829"/>
    <n v="12"/>
    <x v="0"/>
    <s v="Female"/>
    <n v="2"/>
    <x v="3"/>
    <x v="2"/>
    <n v="4448"/>
    <n v="10748"/>
    <n v="2"/>
    <x v="1"/>
    <n v="3"/>
    <n v="2"/>
    <n v="80"/>
    <n v="15"/>
    <x v="1"/>
    <x v="1"/>
    <n v="7"/>
    <x v="0"/>
    <n v="7"/>
    <n v="7"/>
  </r>
  <r>
    <n v="54"/>
    <x v="3"/>
    <x v="1"/>
    <s v="Travel_Rarely"/>
    <x v="1"/>
    <s v="Medical"/>
    <x v="1"/>
    <n v="1830"/>
    <n v="7"/>
    <x v="2"/>
    <s v="Female"/>
    <n v="2"/>
    <x v="0"/>
    <x v="1"/>
    <n v="6854"/>
    <n v="15696"/>
    <n v="4"/>
    <x v="1"/>
    <n v="3"/>
    <n v="2"/>
    <n v="80"/>
    <n v="14"/>
    <x v="2"/>
    <x v="2"/>
    <n v="7"/>
    <x v="10"/>
    <n v="1"/>
    <n v="7"/>
  </r>
  <r>
    <n v="31"/>
    <x v="1"/>
    <x v="1"/>
    <s v="Travel_Frequently"/>
    <x v="0"/>
    <s v="Marketing"/>
    <x v="0"/>
    <n v="1833"/>
    <n v="7"/>
    <x v="3"/>
    <s v="Female"/>
    <n v="3"/>
    <x v="3"/>
    <x v="1"/>
    <n v="9637"/>
    <n v="8277"/>
    <n v="2"/>
    <x v="1"/>
    <n v="3"/>
    <n v="4"/>
    <n v="80"/>
    <n v="9"/>
    <x v="1"/>
    <x v="1"/>
    <n v="3"/>
    <x v="3"/>
    <n v="2"/>
    <n v="2"/>
  </r>
  <r>
    <n v="28"/>
    <x v="2"/>
    <x v="1"/>
    <s v="Travel_Rarely"/>
    <x v="1"/>
    <s v="Medical"/>
    <x v="1"/>
    <n v="1834"/>
    <n v="1"/>
    <x v="1"/>
    <s v="Female"/>
    <n v="1"/>
    <x v="3"/>
    <x v="1"/>
    <n v="3591"/>
    <n v="12719"/>
    <n v="1"/>
    <x v="1"/>
    <n v="4"/>
    <n v="3"/>
    <n v="80"/>
    <n v="3"/>
    <x v="1"/>
    <x v="1"/>
    <n v="3"/>
    <x v="3"/>
    <n v="1"/>
    <n v="2"/>
  </r>
  <r>
    <n v="38"/>
    <x v="1"/>
    <x v="1"/>
    <s v="Travel_Rarely"/>
    <x v="0"/>
    <s v="Marketing"/>
    <x v="6"/>
    <n v="1835"/>
    <n v="2"/>
    <x v="0"/>
    <s v="Female"/>
    <n v="2"/>
    <x v="0"/>
    <x v="1"/>
    <n v="5405"/>
    <n v="4244"/>
    <n v="2"/>
    <x v="0"/>
    <n v="4"/>
    <n v="1"/>
    <n v="80"/>
    <n v="20"/>
    <x v="5"/>
    <x v="2"/>
    <n v="4"/>
    <x v="3"/>
    <n v="0"/>
    <n v="3"/>
  </r>
  <r>
    <n v="26"/>
    <x v="2"/>
    <x v="1"/>
    <s v="Travel_Rarely"/>
    <x v="0"/>
    <s v="Medical"/>
    <x v="0"/>
    <n v="1836"/>
    <n v="10"/>
    <x v="1"/>
    <s v="Male"/>
    <n v="2"/>
    <x v="0"/>
    <x v="0"/>
    <n v="4684"/>
    <n v="9125"/>
    <n v="1"/>
    <x v="1"/>
    <n v="3"/>
    <n v="1"/>
    <n v="80"/>
    <n v="5"/>
    <x v="5"/>
    <x v="1"/>
    <n v="5"/>
    <x v="7"/>
    <n v="1"/>
    <n v="2"/>
  </r>
  <r>
    <n v="58"/>
    <x v="3"/>
    <x v="1"/>
    <s v="Travel_Frequently"/>
    <x v="1"/>
    <s v="Life Sciences"/>
    <x v="7"/>
    <n v="1837"/>
    <n v="15"/>
    <x v="3"/>
    <s v="Male"/>
    <n v="4"/>
    <x v="2"/>
    <x v="1"/>
    <n v="15787"/>
    <n v="21624"/>
    <n v="2"/>
    <x v="0"/>
    <n v="3"/>
    <n v="2"/>
    <n v="80"/>
    <n v="23"/>
    <x v="1"/>
    <x v="1"/>
    <n v="2"/>
    <x v="3"/>
    <n v="2"/>
    <n v="2"/>
  </r>
  <r>
    <n v="18"/>
    <x v="4"/>
    <x v="1"/>
    <s v="Non-Travel"/>
    <x v="1"/>
    <s v="Medical"/>
    <x v="1"/>
    <n v="1839"/>
    <n v="14"/>
    <x v="0"/>
    <s v="Female"/>
    <n v="1"/>
    <x v="2"/>
    <x v="0"/>
    <n v="1514"/>
    <n v="8018"/>
    <n v="1"/>
    <x v="1"/>
    <n v="3"/>
    <n v="3"/>
    <n v="80"/>
    <n v="0"/>
    <x v="5"/>
    <x v="0"/>
    <n v="0"/>
    <x v="2"/>
    <n v="0"/>
    <n v="0"/>
  </r>
  <r>
    <n v="31"/>
    <x v="1"/>
    <x v="0"/>
    <s v="Travel_Rarely"/>
    <x v="2"/>
    <s v="Human Resources"/>
    <x v="8"/>
    <n v="1842"/>
    <n v="18"/>
    <x v="2"/>
    <s v="Male"/>
    <n v="1"/>
    <x v="3"/>
    <x v="1"/>
    <n v="2956"/>
    <n v="21495"/>
    <n v="0"/>
    <x v="1"/>
    <n v="3"/>
    <n v="3"/>
    <n v="80"/>
    <n v="2"/>
    <x v="5"/>
    <x v="1"/>
    <n v="1"/>
    <x v="2"/>
    <n v="0"/>
    <n v="0"/>
  </r>
  <r>
    <n v="29"/>
    <x v="2"/>
    <x v="0"/>
    <s v="Travel_Rarely"/>
    <x v="2"/>
    <s v="Human Resources"/>
    <x v="8"/>
    <n v="1844"/>
    <n v="13"/>
    <x v="3"/>
    <s v="Male"/>
    <n v="1"/>
    <x v="3"/>
    <x v="2"/>
    <n v="2335"/>
    <n v="3157"/>
    <n v="4"/>
    <x v="0"/>
    <n v="3"/>
    <n v="4"/>
    <n v="80"/>
    <n v="4"/>
    <x v="1"/>
    <x v="1"/>
    <n v="2"/>
    <x v="3"/>
    <n v="2"/>
    <n v="0"/>
  </r>
  <r>
    <n v="45"/>
    <x v="0"/>
    <x v="1"/>
    <s v="Non-Travel"/>
    <x v="0"/>
    <s v="Life Sciences"/>
    <x v="0"/>
    <n v="1845"/>
    <n v="2"/>
    <x v="1"/>
    <s v="Female"/>
    <n v="2"/>
    <x v="2"/>
    <x v="1"/>
    <n v="5154"/>
    <n v="19665"/>
    <n v="4"/>
    <x v="1"/>
    <n v="4"/>
    <n v="2"/>
    <n v="80"/>
    <n v="10"/>
    <x v="1"/>
    <x v="3"/>
    <n v="8"/>
    <x v="1"/>
    <n v="5"/>
    <n v="7"/>
  </r>
  <r>
    <n v="36"/>
    <x v="1"/>
    <x v="1"/>
    <s v="Travel_Rarely"/>
    <x v="1"/>
    <s v="Other"/>
    <x v="1"/>
    <n v="1847"/>
    <n v="2"/>
    <x v="2"/>
    <s v="Female"/>
    <n v="2"/>
    <x v="1"/>
    <x v="1"/>
    <n v="6962"/>
    <n v="19573"/>
    <n v="4"/>
    <x v="0"/>
    <n v="4"/>
    <n v="4"/>
    <n v="80"/>
    <n v="15"/>
    <x v="2"/>
    <x v="1"/>
    <n v="1"/>
    <x v="2"/>
    <n v="0"/>
    <n v="0"/>
  </r>
  <r>
    <n v="43"/>
    <x v="0"/>
    <x v="1"/>
    <s v="Travel_Frequently"/>
    <x v="0"/>
    <s v="Life Sciences"/>
    <x v="0"/>
    <n v="1849"/>
    <n v="2"/>
    <x v="3"/>
    <s v="Male"/>
    <n v="2"/>
    <x v="0"/>
    <x v="1"/>
    <n v="5675"/>
    <n v="19246"/>
    <n v="1"/>
    <x v="1"/>
    <n v="4"/>
    <n v="3"/>
    <n v="80"/>
    <n v="7"/>
    <x v="3"/>
    <x v="1"/>
    <n v="7"/>
    <x v="1"/>
    <n v="7"/>
    <n v="7"/>
  </r>
  <r>
    <n v="27"/>
    <x v="2"/>
    <x v="1"/>
    <s v="Travel_Frequently"/>
    <x v="1"/>
    <s v="Life Sciences"/>
    <x v="2"/>
    <n v="1850"/>
    <n v="5"/>
    <x v="2"/>
    <s v="Female"/>
    <n v="1"/>
    <x v="0"/>
    <x v="0"/>
    <n v="2379"/>
    <n v="19826"/>
    <n v="0"/>
    <x v="0"/>
    <n v="3"/>
    <n v="3"/>
    <n v="80"/>
    <n v="6"/>
    <x v="1"/>
    <x v="2"/>
    <n v="5"/>
    <x v="0"/>
    <n v="0"/>
    <n v="2"/>
  </r>
  <r>
    <n v="29"/>
    <x v="2"/>
    <x v="1"/>
    <s v="Travel_Frequently"/>
    <x v="1"/>
    <s v="Medical"/>
    <x v="2"/>
    <n v="1852"/>
    <n v="20"/>
    <x v="2"/>
    <s v="Male"/>
    <n v="1"/>
    <x v="0"/>
    <x v="1"/>
    <n v="3812"/>
    <n v="7003"/>
    <n v="1"/>
    <x v="1"/>
    <n v="3"/>
    <n v="2"/>
    <n v="80"/>
    <n v="11"/>
    <x v="1"/>
    <x v="3"/>
    <n v="11"/>
    <x v="6"/>
    <n v="3"/>
    <n v="10"/>
  </r>
  <r>
    <n v="32"/>
    <x v="1"/>
    <x v="1"/>
    <s v="Travel_Frequently"/>
    <x v="0"/>
    <s v="Marketing"/>
    <x v="0"/>
    <n v="1853"/>
    <n v="10"/>
    <x v="2"/>
    <s v="Male"/>
    <n v="2"/>
    <x v="0"/>
    <x v="0"/>
    <n v="4648"/>
    <n v="26075"/>
    <n v="8"/>
    <x v="1"/>
    <n v="3"/>
    <n v="3"/>
    <n v="80"/>
    <n v="4"/>
    <x v="2"/>
    <x v="3"/>
    <n v="0"/>
    <x v="2"/>
    <n v="0"/>
    <n v="0"/>
  </r>
  <r>
    <n v="42"/>
    <x v="0"/>
    <x v="1"/>
    <s v="Non-Travel"/>
    <x v="1"/>
    <s v="Technical Degree"/>
    <x v="1"/>
    <n v="1854"/>
    <n v="10"/>
    <x v="1"/>
    <s v="Male"/>
    <n v="1"/>
    <x v="2"/>
    <x v="1"/>
    <n v="2936"/>
    <n v="6161"/>
    <n v="3"/>
    <x v="1"/>
    <n v="4"/>
    <n v="2"/>
    <n v="80"/>
    <n v="10"/>
    <x v="4"/>
    <x v="2"/>
    <n v="6"/>
    <x v="7"/>
    <n v="3"/>
    <n v="3"/>
  </r>
  <r>
    <n v="47"/>
    <x v="0"/>
    <x v="1"/>
    <s v="Travel_Rarely"/>
    <x v="1"/>
    <s v="Life Sciences"/>
    <x v="2"/>
    <n v="1856"/>
    <n v="9"/>
    <x v="0"/>
    <s v="Female"/>
    <n v="1"/>
    <x v="2"/>
    <x v="0"/>
    <n v="2105"/>
    <n v="5411"/>
    <n v="4"/>
    <x v="1"/>
    <n v="3"/>
    <n v="3"/>
    <n v="80"/>
    <n v="7"/>
    <x v="2"/>
    <x v="1"/>
    <n v="2"/>
    <x v="3"/>
    <n v="2"/>
    <n v="0"/>
  </r>
  <r>
    <n v="46"/>
    <x v="0"/>
    <x v="1"/>
    <s v="Travel_Rarely"/>
    <x v="1"/>
    <s v="Life Sciences"/>
    <x v="3"/>
    <n v="1857"/>
    <n v="2"/>
    <x v="2"/>
    <s v="Male"/>
    <n v="3"/>
    <x v="0"/>
    <x v="2"/>
    <n v="8578"/>
    <n v="19989"/>
    <n v="3"/>
    <x v="1"/>
    <n v="3"/>
    <n v="3"/>
    <n v="80"/>
    <n v="12"/>
    <x v="5"/>
    <x v="2"/>
    <n v="9"/>
    <x v="6"/>
    <n v="4"/>
    <n v="7"/>
  </r>
  <r>
    <n v="28"/>
    <x v="2"/>
    <x v="1"/>
    <s v="Non-Travel"/>
    <x v="2"/>
    <s v="Life Sciences"/>
    <x v="8"/>
    <n v="1858"/>
    <n v="1"/>
    <x v="1"/>
    <s v="Male"/>
    <n v="1"/>
    <x v="0"/>
    <x v="2"/>
    <n v="2706"/>
    <n v="10494"/>
    <n v="1"/>
    <x v="1"/>
    <n v="3"/>
    <n v="2"/>
    <n v="80"/>
    <n v="3"/>
    <x v="2"/>
    <x v="1"/>
    <n v="3"/>
    <x v="3"/>
    <n v="2"/>
    <n v="2"/>
  </r>
  <r>
    <n v="29"/>
    <x v="2"/>
    <x v="1"/>
    <s v="Travel_Rarely"/>
    <x v="1"/>
    <s v="Life Sciences"/>
    <x v="4"/>
    <n v="1859"/>
    <n v="29"/>
    <x v="2"/>
    <s v="Male"/>
    <n v="2"/>
    <x v="2"/>
    <x v="2"/>
    <n v="6384"/>
    <n v="21143"/>
    <n v="8"/>
    <x v="1"/>
    <n v="3"/>
    <n v="4"/>
    <n v="80"/>
    <n v="11"/>
    <x v="1"/>
    <x v="1"/>
    <n v="7"/>
    <x v="2"/>
    <n v="1"/>
    <n v="6"/>
  </r>
  <r>
    <n v="42"/>
    <x v="0"/>
    <x v="1"/>
    <s v="Travel_Rarely"/>
    <x v="1"/>
    <s v="Life Sciences"/>
    <x v="2"/>
    <n v="1860"/>
    <n v="8"/>
    <x v="2"/>
    <s v="Male"/>
    <n v="1"/>
    <x v="2"/>
    <x v="0"/>
    <n v="3968"/>
    <n v="13624"/>
    <n v="4"/>
    <x v="1"/>
    <n v="3"/>
    <n v="4"/>
    <n v="80"/>
    <n v="8"/>
    <x v="1"/>
    <x v="1"/>
    <n v="0"/>
    <x v="2"/>
    <n v="0"/>
    <n v="0"/>
  </r>
  <r>
    <n v="32"/>
    <x v="1"/>
    <x v="0"/>
    <s v="Travel_Rarely"/>
    <x v="0"/>
    <s v="Marketing"/>
    <x v="0"/>
    <n v="1862"/>
    <n v="2"/>
    <x v="1"/>
    <s v="Male"/>
    <n v="2"/>
    <x v="1"/>
    <x v="0"/>
    <n v="9907"/>
    <n v="26186"/>
    <n v="7"/>
    <x v="0"/>
    <n v="3"/>
    <n v="3"/>
    <n v="80"/>
    <n v="7"/>
    <x v="1"/>
    <x v="2"/>
    <n v="2"/>
    <x v="3"/>
    <n v="2"/>
    <n v="2"/>
  </r>
  <r>
    <n v="46"/>
    <x v="0"/>
    <x v="1"/>
    <s v="Travel_Rarely"/>
    <x v="0"/>
    <s v="Technical Degree"/>
    <x v="0"/>
    <n v="1863"/>
    <n v="3"/>
    <x v="3"/>
    <s v="Female"/>
    <n v="4"/>
    <x v="3"/>
    <x v="2"/>
    <n v="13225"/>
    <n v="7739"/>
    <n v="2"/>
    <x v="1"/>
    <n v="3"/>
    <n v="4"/>
    <n v="80"/>
    <n v="25"/>
    <x v="3"/>
    <x v="1"/>
    <n v="19"/>
    <x v="18"/>
    <n v="2"/>
    <n v="8"/>
  </r>
  <r>
    <n v="27"/>
    <x v="2"/>
    <x v="1"/>
    <s v="Travel_Rarely"/>
    <x v="0"/>
    <s v="Medical"/>
    <x v="6"/>
    <n v="1864"/>
    <n v="23"/>
    <x v="0"/>
    <s v="Female"/>
    <n v="2"/>
    <x v="2"/>
    <x v="1"/>
    <n v="3540"/>
    <n v="7018"/>
    <n v="1"/>
    <x v="1"/>
    <n v="4"/>
    <n v="4"/>
    <n v="80"/>
    <n v="9"/>
    <x v="3"/>
    <x v="1"/>
    <n v="9"/>
    <x v="6"/>
    <n v="5"/>
    <n v="8"/>
  </r>
  <r>
    <n v="29"/>
    <x v="2"/>
    <x v="1"/>
    <s v="Travel_Rarely"/>
    <x v="2"/>
    <s v="Medical"/>
    <x v="8"/>
    <n v="1865"/>
    <n v="6"/>
    <x v="2"/>
    <s v="Male"/>
    <n v="1"/>
    <x v="1"/>
    <x v="1"/>
    <n v="2804"/>
    <n v="15434"/>
    <n v="1"/>
    <x v="1"/>
    <n v="3"/>
    <n v="4"/>
    <n v="80"/>
    <n v="1"/>
    <x v="1"/>
    <x v="1"/>
    <n v="1"/>
    <x v="2"/>
    <n v="0"/>
    <n v="0"/>
  </r>
  <r>
    <n v="43"/>
    <x v="0"/>
    <x v="1"/>
    <s v="Travel_Rarely"/>
    <x v="1"/>
    <s v="Medical"/>
    <x v="5"/>
    <n v="1866"/>
    <n v="6"/>
    <x v="3"/>
    <s v="Female"/>
    <n v="5"/>
    <x v="2"/>
    <x v="1"/>
    <n v="19392"/>
    <n v="22539"/>
    <n v="7"/>
    <x v="1"/>
    <n v="3"/>
    <n v="4"/>
    <n v="80"/>
    <n v="21"/>
    <x v="2"/>
    <x v="1"/>
    <n v="16"/>
    <x v="16"/>
    <n v="6"/>
    <n v="14"/>
  </r>
  <r>
    <n v="48"/>
    <x v="0"/>
    <x v="1"/>
    <s v="Travel_Rarely"/>
    <x v="1"/>
    <s v="Life Sciences"/>
    <x v="7"/>
    <n v="1867"/>
    <n v="10"/>
    <x v="2"/>
    <s v="Male"/>
    <n v="5"/>
    <x v="1"/>
    <x v="1"/>
    <n v="19665"/>
    <n v="13583"/>
    <n v="4"/>
    <x v="1"/>
    <n v="3"/>
    <n v="4"/>
    <n v="80"/>
    <n v="29"/>
    <x v="1"/>
    <x v="1"/>
    <n v="22"/>
    <x v="15"/>
    <n v="12"/>
    <n v="9"/>
  </r>
  <r>
    <n v="29"/>
    <x v="2"/>
    <x v="0"/>
    <s v="Travel_Frequently"/>
    <x v="1"/>
    <s v="Life Sciences"/>
    <x v="1"/>
    <n v="1868"/>
    <n v="24"/>
    <x v="2"/>
    <s v="Male"/>
    <n v="1"/>
    <x v="0"/>
    <x v="0"/>
    <n v="2439"/>
    <n v="14753"/>
    <n v="1"/>
    <x v="0"/>
    <n v="4"/>
    <n v="2"/>
    <n v="80"/>
    <n v="1"/>
    <x v="1"/>
    <x v="2"/>
    <n v="1"/>
    <x v="2"/>
    <n v="1"/>
    <n v="0"/>
  </r>
  <r>
    <n v="46"/>
    <x v="0"/>
    <x v="0"/>
    <s v="Travel_Rarely"/>
    <x v="0"/>
    <s v="Life Sciences"/>
    <x v="0"/>
    <n v="1869"/>
    <n v="10"/>
    <x v="1"/>
    <s v="Female"/>
    <n v="3"/>
    <x v="1"/>
    <x v="1"/>
    <n v="7314"/>
    <n v="14011"/>
    <n v="5"/>
    <x v="1"/>
    <n v="4"/>
    <n v="3"/>
    <n v="80"/>
    <n v="14"/>
    <x v="2"/>
    <x v="1"/>
    <n v="8"/>
    <x v="1"/>
    <n v="0"/>
    <n v="7"/>
  </r>
  <r>
    <n v="27"/>
    <x v="2"/>
    <x v="1"/>
    <s v="Travel_Frequently"/>
    <x v="1"/>
    <s v="Life Sciences"/>
    <x v="1"/>
    <n v="1870"/>
    <n v="15"/>
    <x v="2"/>
    <s v="Female"/>
    <n v="1"/>
    <x v="3"/>
    <x v="1"/>
    <n v="4774"/>
    <n v="23844"/>
    <n v="0"/>
    <x v="1"/>
    <n v="3"/>
    <n v="4"/>
    <n v="80"/>
    <n v="8"/>
    <x v="2"/>
    <x v="2"/>
    <n v="7"/>
    <x v="8"/>
    <n v="7"/>
    <n v="3"/>
  </r>
  <r>
    <n v="39"/>
    <x v="1"/>
    <x v="1"/>
    <s v="Travel_Rarely"/>
    <x v="1"/>
    <s v="Other"/>
    <x v="1"/>
    <n v="1871"/>
    <n v="19"/>
    <x v="2"/>
    <s v="Male"/>
    <n v="2"/>
    <x v="0"/>
    <x v="2"/>
    <n v="3902"/>
    <n v="5141"/>
    <n v="8"/>
    <x v="1"/>
    <n v="3"/>
    <n v="2"/>
    <n v="80"/>
    <n v="7"/>
    <x v="2"/>
    <x v="1"/>
    <n v="2"/>
    <x v="3"/>
    <n v="2"/>
    <n v="2"/>
  </r>
  <r>
    <n v="55"/>
    <x v="3"/>
    <x v="1"/>
    <s v="Travel_Rarely"/>
    <x v="1"/>
    <s v="Technical Degree"/>
    <x v="1"/>
    <n v="1873"/>
    <n v="2"/>
    <x v="0"/>
    <s v="Male"/>
    <n v="1"/>
    <x v="0"/>
    <x v="1"/>
    <n v="2662"/>
    <n v="7975"/>
    <n v="8"/>
    <x v="1"/>
    <n v="4"/>
    <n v="2"/>
    <n v="80"/>
    <n v="19"/>
    <x v="2"/>
    <x v="3"/>
    <n v="5"/>
    <x v="3"/>
    <n v="0"/>
    <n v="4"/>
  </r>
  <r>
    <n v="28"/>
    <x v="2"/>
    <x v="1"/>
    <s v="Travel_Rarely"/>
    <x v="0"/>
    <s v="Medical"/>
    <x v="6"/>
    <n v="1875"/>
    <n v="3"/>
    <x v="0"/>
    <s v="Female"/>
    <n v="1"/>
    <x v="1"/>
    <x v="1"/>
    <n v="2856"/>
    <n v="3692"/>
    <n v="1"/>
    <x v="1"/>
    <n v="3"/>
    <n v="4"/>
    <n v="80"/>
    <n v="1"/>
    <x v="1"/>
    <x v="1"/>
    <n v="1"/>
    <x v="2"/>
    <n v="0"/>
    <n v="0"/>
  </r>
  <r>
    <n v="30"/>
    <x v="2"/>
    <x v="0"/>
    <s v="Travel_Rarely"/>
    <x v="0"/>
    <s v="Medical"/>
    <x v="6"/>
    <n v="1876"/>
    <n v="9"/>
    <x v="0"/>
    <s v="Male"/>
    <n v="1"/>
    <x v="0"/>
    <x v="0"/>
    <n v="1081"/>
    <n v="16019"/>
    <n v="1"/>
    <x v="1"/>
    <n v="3"/>
    <n v="3"/>
    <n v="80"/>
    <n v="1"/>
    <x v="1"/>
    <x v="2"/>
    <n v="1"/>
    <x v="2"/>
    <n v="0"/>
    <n v="0"/>
  </r>
  <r>
    <n v="22"/>
    <x v="2"/>
    <x v="0"/>
    <s v="Travel_Rarely"/>
    <x v="1"/>
    <s v="Life Sciences"/>
    <x v="1"/>
    <n v="1878"/>
    <n v="7"/>
    <x v="2"/>
    <s v="Male"/>
    <n v="1"/>
    <x v="1"/>
    <x v="0"/>
    <n v="2472"/>
    <n v="26092"/>
    <n v="1"/>
    <x v="0"/>
    <n v="4"/>
    <n v="1"/>
    <n v="80"/>
    <n v="1"/>
    <x v="2"/>
    <x v="1"/>
    <n v="1"/>
    <x v="2"/>
    <n v="0"/>
    <n v="0"/>
  </r>
  <r>
    <n v="36"/>
    <x v="1"/>
    <x v="1"/>
    <s v="Travel_Rarely"/>
    <x v="0"/>
    <s v="Technical Degree"/>
    <x v="0"/>
    <n v="1880"/>
    <n v="10"/>
    <x v="0"/>
    <s v="Female"/>
    <n v="2"/>
    <x v="2"/>
    <x v="1"/>
    <n v="5673"/>
    <n v="6060"/>
    <n v="1"/>
    <x v="0"/>
    <n v="3"/>
    <n v="1"/>
    <n v="80"/>
    <n v="10"/>
    <x v="5"/>
    <x v="1"/>
    <n v="10"/>
    <x v="5"/>
    <n v="1"/>
    <n v="7"/>
  </r>
  <r>
    <n v="31"/>
    <x v="1"/>
    <x v="1"/>
    <s v="Travel_Rarely"/>
    <x v="1"/>
    <s v="Life Sciences"/>
    <x v="2"/>
    <n v="1881"/>
    <n v="20"/>
    <x v="0"/>
    <s v="Male"/>
    <n v="2"/>
    <x v="2"/>
    <x v="2"/>
    <n v="4197"/>
    <n v="18624"/>
    <n v="1"/>
    <x v="1"/>
    <n v="3"/>
    <n v="1"/>
    <n v="80"/>
    <n v="10"/>
    <x v="2"/>
    <x v="1"/>
    <n v="10"/>
    <x v="6"/>
    <n v="0"/>
    <n v="2"/>
  </r>
  <r>
    <n v="34"/>
    <x v="1"/>
    <x v="1"/>
    <s v="Travel_Rarely"/>
    <x v="0"/>
    <s v="Life Sciences"/>
    <x v="0"/>
    <n v="1882"/>
    <n v="4"/>
    <x v="1"/>
    <s v="Male"/>
    <n v="3"/>
    <x v="0"/>
    <x v="1"/>
    <n v="9713"/>
    <n v="24444"/>
    <n v="2"/>
    <x v="0"/>
    <n v="3"/>
    <n v="4"/>
    <n v="80"/>
    <n v="9"/>
    <x v="1"/>
    <x v="1"/>
    <n v="5"/>
    <x v="7"/>
    <n v="1"/>
    <n v="0"/>
  </r>
  <r>
    <n v="29"/>
    <x v="2"/>
    <x v="1"/>
    <s v="Travel_Rarely"/>
    <x v="1"/>
    <s v="Life Sciences"/>
    <x v="2"/>
    <n v="1883"/>
    <n v="7"/>
    <x v="2"/>
    <s v="Male"/>
    <n v="1"/>
    <x v="3"/>
    <x v="0"/>
    <n v="2062"/>
    <n v="19384"/>
    <n v="3"/>
    <x v="1"/>
    <n v="3"/>
    <n v="2"/>
    <n v="80"/>
    <n v="11"/>
    <x v="2"/>
    <x v="1"/>
    <n v="3"/>
    <x v="3"/>
    <n v="1"/>
    <n v="2"/>
  </r>
  <r>
    <n v="37"/>
    <x v="1"/>
    <x v="1"/>
    <s v="Travel_Rarely"/>
    <x v="1"/>
    <s v="Medical"/>
    <x v="1"/>
    <n v="1885"/>
    <n v="7"/>
    <x v="2"/>
    <s v="Male"/>
    <n v="2"/>
    <x v="3"/>
    <x v="1"/>
    <n v="4284"/>
    <n v="13588"/>
    <n v="5"/>
    <x v="0"/>
    <n v="4"/>
    <n v="3"/>
    <n v="80"/>
    <n v="16"/>
    <x v="2"/>
    <x v="1"/>
    <n v="5"/>
    <x v="7"/>
    <n v="0"/>
    <n v="4"/>
  </r>
  <r>
    <n v="35"/>
    <x v="1"/>
    <x v="1"/>
    <s v="Travel_Rarely"/>
    <x v="1"/>
    <s v="Other"/>
    <x v="3"/>
    <n v="1886"/>
    <n v="16"/>
    <x v="2"/>
    <s v="Female"/>
    <n v="2"/>
    <x v="1"/>
    <x v="1"/>
    <n v="4788"/>
    <n v="25388"/>
    <n v="0"/>
    <x v="0"/>
    <n v="3"/>
    <n v="4"/>
    <n v="80"/>
    <n v="4"/>
    <x v="2"/>
    <x v="1"/>
    <n v="3"/>
    <x v="3"/>
    <n v="0"/>
    <n v="2"/>
  </r>
  <r>
    <n v="45"/>
    <x v="0"/>
    <x v="1"/>
    <s v="Travel_Rarely"/>
    <x v="1"/>
    <s v="Life Sciences"/>
    <x v="3"/>
    <n v="1888"/>
    <n v="25"/>
    <x v="0"/>
    <s v="Female"/>
    <n v="2"/>
    <x v="0"/>
    <x v="1"/>
    <n v="5906"/>
    <n v="23888"/>
    <n v="0"/>
    <x v="1"/>
    <n v="3"/>
    <n v="4"/>
    <n v="80"/>
    <n v="10"/>
    <x v="2"/>
    <x v="2"/>
    <n v="9"/>
    <x v="6"/>
    <n v="3"/>
    <n v="8"/>
  </r>
  <r>
    <n v="36"/>
    <x v="1"/>
    <x v="1"/>
    <s v="Travel_Frequently"/>
    <x v="2"/>
    <s v="Human Resources"/>
    <x v="8"/>
    <n v="1890"/>
    <n v="2"/>
    <x v="0"/>
    <s v="Male"/>
    <n v="2"/>
    <x v="0"/>
    <x v="0"/>
    <n v="3886"/>
    <n v="4223"/>
    <n v="1"/>
    <x v="1"/>
    <n v="4"/>
    <n v="4"/>
    <n v="80"/>
    <n v="10"/>
    <x v="2"/>
    <x v="2"/>
    <n v="10"/>
    <x v="10"/>
    <n v="0"/>
    <n v="8"/>
  </r>
  <r>
    <n v="40"/>
    <x v="1"/>
    <x v="1"/>
    <s v="Travel_Rarely"/>
    <x v="1"/>
    <s v="Life Sciences"/>
    <x v="5"/>
    <n v="1892"/>
    <n v="1"/>
    <x v="3"/>
    <s v="Male"/>
    <n v="4"/>
    <x v="3"/>
    <x v="2"/>
    <n v="16823"/>
    <n v="18991"/>
    <n v="2"/>
    <x v="1"/>
    <n v="3"/>
    <n v="1"/>
    <n v="80"/>
    <n v="22"/>
    <x v="1"/>
    <x v="1"/>
    <n v="19"/>
    <x v="1"/>
    <n v="11"/>
    <n v="16"/>
  </r>
  <r>
    <n v="26"/>
    <x v="2"/>
    <x v="1"/>
    <s v="Travel_Rarely"/>
    <x v="1"/>
    <s v="Life Sciences"/>
    <x v="1"/>
    <n v="1893"/>
    <n v="1"/>
    <x v="0"/>
    <s v="Female"/>
    <n v="1"/>
    <x v="2"/>
    <x v="1"/>
    <n v="2933"/>
    <n v="14908"/>
    <n v="1"/>
    <x v="0"/>
    <n v="3"/>
    <n v="3"/>
    <n v="80"/>
    <n v="1"/>
    <x v="1"/>
    <x v="2"/>
    <n v="1"/>
    <x v="2"/>
    <n v="1"/>
    <n v="0"/>
  </r>
  <r>
    <n v="27"/>
    <x v="2"/>
    <x v="1"/>
    <s v="Travel_Rarely"/>
    <x v="0"/>
    <s v="Medical"/>
    <x v="0"/>
    <n v="1898"/>
    <n v="2"/>
    <x v="3"/>
    <s v="Female"/>
    <n v="2"/>
    <x v="2"/>
    <x v="0"/>
    <n v="6500"/>
    <n v="26997"/>
    <n v="0"/>
    <x v="1"/>
    <n v="3"/>
    <n v="2"/>
    <n v="80"/>
    <n v="9"/>
    <x v="3"/>
    <x v="2"/>
    <n v="8"/>
    <x v="1"/>
    <n v="0"/>
    <n v="7"/>
  </r>
  <r>
    <n v="48"/>
    <x v="0"/>
    <x v="1"/>
    <s v="Travel_Frequently"/>
    <x v="1"/>
    <s v="Medical"/>
    <x v="5"/>
    <n v="1900"/>
    <n v="22"/>
    <x v="2"/>
    <s v="Female"/>
    <n v="4"/>
    <x v="0"/>
    <x v="2"/>
    <n v="17174"/>
    <n v="2437"/>
    <n v="3"/>
    <x v="1"/>
    <n v="3"/>
    <n v="2"/>
    <n v="80"/>
    <n v="24"/>
    <x v="1"/>
    <x v="1"/>
    <n v="22"/>
    <x v="18"/>
    <n v="4"/>
    <n v="7"/>
  </r>
  <r>
    <n v="44"/>
    <x v="0"/>
    <x v="1"/>
    <s v="Travel_Rarely"/>
    <x v="1"/>
    <s v="Life Sciences"/>
    <x v="4"/>
    <n v="1903"/>
    <n v="1"/>
    <x v="0"/>
    <s v="Male"/>
    <n v="2"/>
    <x v="3"/>
    <x v="1"/>
    <n v="5033"/>
    <n v="9364"/>
    <n v="2"/>
    <x v="1"/>
    <n v="3"/>
    <n v="4"/>
    <n v="80"/>
    <n v="10"/>
    <x v="3"/>
    <x v="1"/>
    <n v="2"/>
    <x v="2"/>
    <n v="2"/>
    <n v="2"/>
  </r>
  <r>
    <n v="34"/>
    <x v="1"/>
    <x v="0"/>
    <s v="Non-Travel"/>
    <x v="1"/>
    <s v="Technical Degree"/>
    <x v="1"/>
    <n v="1905"/>
    <n v="16"/>
    <x v="2"/>
    <s v="Male"/>
    <n v="1"/>
    <x v="3"/>
    <x v="1"/>
    <n v="2307"/>
    <n v="14460"/>
    <n v="1"/>
    <x v="0"/>
    <n v="4"/>
    <n v="2"/>
    <n v="80"/>
    <n v="5"/>
    <x v="2"/>
    <x v="1"/>
    <n v="5"/>
    <x v="3"/>
    <n v="3"/>
    <n v="0"/>
  </r>
  <r>
    <n v="56"/>
    <x v="3"/>
    <x v="0"/>
    <s v="Travel_Rarely"/>
    <x v="1"/>
    <s v="Life Sciences"/>
    <x v="2"/>
    <n v="1907"/>
    <n v="24"/>
    <x v="3"/>
    <s v="Male"/>
    <n v="1"/>
    <x v="0"/>
    <x v="0"/>
    <n v="2587"/>
    <n v="10261"/>
    <n v="1"/>
    <x v="1"/>
    <n v="3"/>
    <n v="4"/>
    <n v="80"/>
    <n v="5"/>
    <x v="1"/>
    <x v="1"/>
    <n v="4"/>
    <x v="3"/>
    <n v="1"/>
    <n v="0"/>
  </r>
  <r>
    <n v="36"/>
    <x v="1"/>
    <x v="1"/>
    <s v="Travel_Rarely"/>
    <x v="0"/>
    <s v="Marketing"/>
    <x v="0"/>
    <n v="1908"/>
    <n v="17"/>
    <x v="1"/>
    <s v="Male"/>
    <n v="2"/>
    <x v="1"/>
    <x v="1"/>
    <n v="5507"/>
    <n v="16822"/>
    <n v="2"/>
    <x v="1"/>
    <n v="3"/>
    <n v="3"/>
    <n v="80"/>
    <n v="12"/>
    <x v="4"/>
    <x v="0"/>
    <n v="4"/>
    <x v="3"/>
    <n v="1"/>
    <n v="3"/>
  </r>
  <r>
    <n v="41"/>
    <x v="0"/>
    <x v="1"/>
    <s v="Travel_Rarely"/>
    <x v="0"/>
    <s v="Marketing"/>
    <x v="0"/>
    <n v="1909"/>
    <n v="8"/>
    <x v="1"/>
    <s v="Female"/>
    <n v="2"/>
    <x v="1"/>
    <x v="1"/>
    <n v="4393"/>
    <n v="26841"/>
    <n v="5"/>
    <x v="1"/>
    <n v="4"/>
    <n v="3"/>
    <n v="80"/>
    <n v="14"/>
    <x v="1"/>
    <x v="1"/>
    <n v="5"/>
    <x v="0"/>
    <n v="1"/>
    <n v="4"/>
  </r>
  <r>
    <n v="42"/>
    <x v="0"/>
    <x v="1"/>
    <s v="Travel_Rarely"/>
    <x v="1"/>
    <s v="Medical"/>
    <x v="7"/>
    <n v="1911"/>
    <n v="6"/>
    <x v="1"/>
    <s v="Male"/>
    <n v="3"/>
    <x v="3"/>
    <x v="1"/>
    <n v="13348"/>
    <n v="14842"/>
    <n v="9"/>
    <x v="1"/>
    <n v="3"/>
    <n v="2"/>
    <n v="80"/>
    <n v="18"/>
    <x v="1"/>
    <x v="3"/>
    <n v="13"/>
    <x v="1"/>
    <n v="5"/>
    <n v="7"/>
  </r>
  <r>
    <n v="31"/>
    <x v="1"/>
    <x v="1"/>
    <s v="Travel_Rarely"/>
    <x v="0"/>
    <s v="Medical"/>
    <x v="0"/>
    <n v="1912"/>
    <n v="10"/>
    <x v="1"/>
    <s v="Female"/>
    <n v="2"/>
    <x v="0"/>
    <x v="2"/>
    <n v="6583"/>
    <n v="20115"/>
    <n v="2"/>
    <x v="0"/>
    <n v="3"/>
    <n v="4"/>
    <n v="80"/>
    <n v="8"/>
    <x v="2"/>
    <x v="1"/>
    <n v="5"/>
    <x v="3"/>
    <n v="1"/>
    <n v="4"/>
  </r>
  <r>
    <n v="34"/>
    <x v="1"/>
    <x v="1"/>
    <s v="Travel_Rarely"/>
    <x v="0"/>
    <s v="Medical"/>
    <x v="0"/>
    <n v="1915"/>
    <n v="3"/>
    <x v="2"/>
    <s v="Female"/>
    <n v="2"/>
    <x v="0"/>
    <x v="1"/>
    <n v="8103"/>
    <n v="16495"/>
    <n v="3"/>
    <x v="0"/>
    <n v="3"/>
    <n v="3"/>
    <n v="80"/>
    <n v="9"/>
    <x v="1"/>
    <x v="2"/>
    <n v="4"/>
    <x v="3"/>
    <n v="0"/>
    <n v="1"/>
  </r>
  <r>
    <n v="31"/>
    <x v="1"/>
    <x v="1"/>
    <s v="Travel_Rarely"/>
    <x v="1"/>
    <s v="Medical"/>
    <x v="2"/>
    <n v="1916"/>
    <n v="4"/>
    <x v="3"/>
    <s v="Female"/>
    <n v="1"/>
    <x v="2"/>
    <x v="2"/>
    <n v="3978"/>
    <n v="16031"/>
    <n v="8"/>
    <x v="1"/>
    <n v="3"/>
    <n v="2"/>
    <n v="80"/>
    <n v="4"/>
    <x v="0"/>
    <x v="2"/>
    <n v="2"/>
    <x v="3"/>
    <n v="2"/>
    <n v="2"/>
  </r>
  <r>
    <n v="26"/>
    <x v="2"/>
    <x v="1"/>
    <s v="Travel_Frequently"/>
    <x v="1"/>
    <s v="Other"/>
    <x v="2"/>
    <n v="1918"/>
    <n v="6"/>
    <x v="1"/>
    <s v="Male"/>
    <n v="1"/>
    <x v="0"/>
    <x v="1"/>
    <n v="2544"/>
    <n v="7102"/>
    <n v="0"/>
    <x v="1"/>
    <n v="3"/>
    <n v="1"/>
    <n v="80"/>
    <n v="8"/>
    <x v="1"/>
    <x v="1"/>
    <n v="7"/>
    <x v="1"/>
    <n v="7"/>
    <n v="7"/>
  </r>
  <r>
    <n v="45"/>
    <x v="0"/>
    <x v="1"/>
    <s v="Travel_Frequently"/>
    <x v="1"/>
    <s v="Medical"/>
    <x v="4"/>
    <n v="1922"/>
    <n v="1"/>
    <x v="0"/>
    <s v="Male"/>
    <n v="2"/>
    <x v="2"/>
    <x v="0"/>
    <n v="5399"/>
    <n v="14511"/>
    <n v="4"/>
    <x v="1"/>
    <n v="3"/>
    <n v="3"/>
    <n v="80"/>
    <n v="12"/>
    <x v="1"/>
    <x v="1"/>
    <n v="4"/>
    <x v="3"/>
    <n v="0"/>
    <n v="3"/>
  </r>
  <r>
    <n v="33"/>
    <x v="1"/>
    <x v="1"/>
    <s v="Travel_Rarely"/>
    <x v="0"/>
    <s v="Marketing"/>
    <x v="0"/>
    <n v="1924"/>
    <n v="10"/>
    <x v="0"/>
    <s v="Male"/>
    <n v="2"/>
    <x v="2"/>
    <x v="0"/>
    <n v="5487"/>
    <n v="10410"/>
    <n v="1"/>
    <x v="1"/>
    <n v="3"/>
    <n v="2"/>
    <n v="80"/>
    <n v="10"/>
    <x v="2"/>
    <x v="2"/>
    <n v="10"/>
    <x v="0"/>
    <n v="0"/>
    <n v="9"/>
  </r>
  <r>
    <n v="28"/>
    <x v="2"/>
    <x v="1"/>
    <s v="Travel_Frequently"/>
    <x v="0"/>
    <s v="Life Sciences"/>
    <x v="0"/>
    <n v="1927"/>
    <n v="1"/>
    <x v="1"/>
    <s v="Male"/>
    <n v="2"/>
    <x v="0"/>
    <x v="1"/>
    <n v="6834"/>
    <n v="19255"/>
    <n v="1"/>
    <x v="0"/>
    <n v="3"/>
    <n v="3"/>
    <n v="80"/>
    <n v="7"/>
    <x v="2"/>
    <x v="1"/>
    <n v="7"/>
    <x v="1"/>
    <n v="0"/>
    <n v="7"/>
  </r>
  <r>
    <n v="29"/>
    <x v="2"/>
    <x v="0"/>
    <s v="Travel_Frequently"/>
    <x v="0"/>
    <s v="Technical Degree"/>
    <x v="6"/>
    <n v="1928"/>
    <n v="24"/>
    <x v="1"/>
    <s v="Male"/>
    <n v="1"/>
    <x v="3"/>
    <x v="0"/>
    <n v="1091"/>
    <n v="10642"/>
    <n v="1"/>
    <x v="1"/>
    <n v="3"/>
    <n v="4"/>
    <n v="80"/>
    <n v="1"/>
    <x v="1"/>
    <x v="1"/>
    <n v="1"/>
    <x v="2"/>
    <n v="0"/>
    <n v="0"/>
  </r>
  <r>
    <n v="39"/>
    <x v="1"/>
    <x v="1"/>
    <s v="Non-Travel"/>
    <x v="0"/>
    <s v="Life Sciences"/>
    <x v="0"/>
    <n v="1929"/>
    <n v="21"/>
    <x v="3"/>
    <s v="Female"/>
    <n v="2"/>
    <x v="2"/>
    <x v="1"/>
    <n v="5736"/>
    <n v="3987"/>
    <n v="6"/>
    <x v="1"/>
    <n v="3"/>
    <n v="3"/>
    <n v="80"/>
    <n v="10"/>
    <x v="4"/>
    <x v="1"/>
    <n v="3"/>
    <x v="3"/>
    <n v="1"/>
    <n v="2"/>
  </r>
  <r>
    <n v="27"/>
    <x v="2"/>
    <x v="1"/>
    <s v="Travel_Rarely"/>
    <x v="1"/>
    <s v="Technical Degree"/>
    <x v="1"/>
    <n v="1931"/>
    <n v="2"/>
    <x v="0"/>
    <s v="Male"/>
    <n v="1"/>
    <x v="1"/>
    <x v="1"/>
    <n v="2226"/>
    <n v="6073"/>
    <n v="1"/>
    <x v="1"/>
    <n v="3"/>
    <n v="3"/>
    <n v="80"/>
    <n v="6"/>
    <x v="1"/>
    <x v="2"/>
    <n v="5"/>
    <x v="7"/>
    <n v="1"/>
    <n v="2"/>
  </r>
  <r>
    <n v="34"/>
    <x v="1"/>
    <x v="1"/>
    <s v="Travel_Frequently"/>
    <x v="1"/>
    <s v="Other"/>
    <x v="1"/>
    <n v="1932"/>
    <n v="22"/>
    <x v="1"/>
    <s v="Male"/>
    <n v="2"/>
    <x v="0"/>
    <x v="1"/>
    <n v="5747"/>
    <n v="26496"/>
    <n v="1"/>
    <x v="0"/>
    <n v="3"/>
    <n v="2"/>
    <n v="80"/>
    <n v="16"/>
    <x v="1"/>
    <x v="1"/>
    <n v="15"/>
    <x v="15"/>
    <n v="6"/>
    <n v="11"/>
  </r>
  <r>
    <n v="28"/>
    <x v="2"/>
    <x v="0"/>
    <s v="Travel_Rarely"/>
    <x v="0"/>
    <s v="Marketing"/>
    <x v="0"/>
    <n v="1933"/>
    <n v="13"/>
    <x v="2"/>
    <s v="Female"/>
    <n v="2"/>
    <x v="2"/>
    <x v="0"/>
    <n v="9854"/>
    <n v="23352"/>
    <n v="3"/>
    <x v="0"/>
    <n v="3"/>
    <n v="4"/>
    <n v="80"/>
    <n v="6"/>
    <x v="0"/>
    <x v="1"/>
    <n v="2"/>
    <x v="2"/>
    <n v="2"/>
    <n v="2"/>
  </r>
  <r>
    <n v="47"/>
    <x v="0"/>
    <x v="1"/>
    <s v="Non-Travel"/>
    <x v="1"/>
    <s v="Technical Degree"/>
    <x v="1"/>
    <n v="1934"/>
    <n v="14"/>
    <x v="1"/>
    <s v="Male"/>
    <n v="2"/>
    <x v="1"/>
    <x v="1"/>
    <n v="5467"/>
    <n v="2125"/>
    <n v="8"/>
    <x v="1"/>
    <n v="3"/>
    <n v="3"/>
    <n v="80"/>
    <n v="16"/>
    <x v="5"/>
    <x v="3"/>
    <n v="8"/>
    <x v="1"/>
    <n v="1"/>
    <n v="7"/>
  </r>
  <r>
    <n v="56"/>
    <x v="3"/>
    <x v="1"/>
    <s v="Travel_Rarely"/>
    <x v="0"/>
    <s v="Marketing"/>
    <x v="0"/>
    <n v="1935"/>
    <n v="11"/>
    <x v="2"/>
    <s v="Female"/>
    <n v="2"/>
    <x v="3"/>
    <x v="1"/>
    <n v="5380"/>
    <n v="20328"/>
    <n v="4"/>
    <x v="1"/>
    <n v="3"/>
    <n v="3"/>
    <n v="80"/>
    <n v="6"/>
    <x v="1"/>
    <x v="1"/>
    <n v="0"/>
    <x v="2"/>
    <n v="0"/>
    <n v="0"/>
  </r>
  <r>
    <n v="39"/>
    <x v="1"/>
    <x v="1"/>
    <s v="Travel_Rarely"/>
    <x v="1"/>
    <s v="Medical"/>
    <x v="3"/>
    <n v="1936"/>
    <n v="9"/>
    <x v="3"/>
    <s v="Male"/>
    <n v="2"/>
    <x v="3"/>
    <x v="1"/>
    <n v="5151"/>
    <n v="12315"/>
    <n v="1"/>
    <x v="1"/>
    <n v="4"/>
    <n v="4"/>
    <n v="80"/>
    <n v="10"/>
    <x v="1"/>
    <x v="1"/>
    <n v="10"/>
    <x v="2"/>
    <n v="7"/>
    <n v="9"/>
  </r>
  <r>
    <n v="38"/>
    <x v="1"/>
    <x v="1"/>
    <s v="Travel_Frequently"/>
    <x v="1"/>
    <s v="Medical"/>
    <x v="1"/>
    <n v="1937"/>
    <n v="8"/>
    <x v="2"/>
    <s v="Female"/>
    <n v="2"/>
    <x v="1"/>
    <x v="2"/>
    <n v="2133"/>
    <n v="18115"/>
    <n v="1"/>
    <x v="0"/>
    <n v="3"/>
    <n v="3"/>
    <n v="80"/>
    <n v="20"/>
    <x v="1"/>
    <x v="1"/>
    <n v="20"/>
    <x v="14"/>
    <n v="0"/>
    <n v="7"/>
  </r>
  <r>
    <n v="58"/>
    <x v="3"/>
    <x v="1"/>
    <s v="Travel_Rarely"/>
    <x v="0"/>
    <s v="Life Sciences"/>
    <x v="5"/>
    <n v="1938"/>
    <n v="21"/>
    <x v="2"/>
    <s v="Female"/>
    <n v="4"/>
    <x v="0"/>
    <x v="1"/>
    <n v="17875"/>
    <n v="11761"/>
    <n v="4"/>
    <x v="0"/>
    <n v="3"/>
    <n v="3"/>
    <n v="80"/>
    <n v="29"/>
    <x v="2"/>
    <x v="2"/>
    <n v="1"/>
    <x v="2"/>
    <n v="0"/>
    <n v="0"/>
  </r>
  <r>
    <n v="32"/>
    <x v="1"/>
    <x v="0"/>
    <s v="Travel_Frequently"/>
    <x v="1"/>
    <s v="Life Sciences"/>
    <x v="1"/>
    <n v="1939"/>
    <n v="5"/>
    <x v="3"/>
    <s v="Female"/>
    <n v="1"/>
    <x v="2"/>
    <x v="0"/>
    <n v="2432"/>
    <n v="15318"/>
    <n v="3"/>
    <x v="0"/>
    <n v="3"/>
    <n v="1"/>
    <n v="80"/>
    <n v="8"/>
    <x v="2"/>
    <x v="1"/>
    <n v="4"/>
    <x v="10"/>
    <n v="0"/>
    <n v="3"/>
  </r>
  <r>
    <n v="38"/>
    <x v="1"/>
    <x v="1"/>
    <s v="Travel_Rarely"/>
    <x v="1"/>
    <s v="Life Sciences"/>
    <x v="1"/>
    <n v="1940"/>
    <n v="9"/>
    <x v="0"/>
    <s v="Male"/>
    <n v="1"/>
    <x v="0"/>
    <x v="2"/>
    <n v="4771"/>
    <n v="14293"/>
    <n v="2"/>
    <x v="1"/>
    <n v="3"/>
    <n v="4"/>
    <n v="80"/>
    <n v="10"/>
    <x v="0"/>
    <x v="3"/>
    <n v="5"/>
    <x v="3"/>
    <n v="0"/>
    <n v="3"/>
  </r>
  <r>
    <n v="49"/>
    <x v="0"/>
    <x v="1"/>
    <s v="Travel_Frequently"/>
    <x v="1"/>
    <s v="Life Sciences"/>
    <x v="7"/>
    <n v="1941"/>
    <n v="2"/>
    <x v="0"/>
    <s v="Male"/>
    <n v="5"/>
    <x v="0"/>
    <x v="1"/>
    <n v="19161"/>
    <n v="13738"/>
    <n v="3"/>
    <x v="1"/>
    <n v="3"/>
    <n v="4"/>
    <n v="80"/>
    <n v="28"/>
    <x v="1"/>
    <x v="1"/>
    <n v="5"/>
    <x v="0"/>
    <n v="4"/>
    <n v="3"/>
  </r>
  <r>
    <n v="42"/>
    <x v="0"/>
    <x v="1"/>
    <s v="Travel_Rarely"/>
    <x v="0"/>
    <s v="Marketing"/>
    <x v="0"/>
    <n v="1943"/>
    <n v="12"/>
    <x v="0"/>
    <s v="Male"/>
    <n v="2"/>
    <x v="0"/>
    <x v="2"/>
    <n v="5087"/>
    <n v="2900"/>
    <n v="3"/>
    <x v="0"/>
    <n v="3"/>
    <n v="3"/>
    <n v="80"/>
    <n v="14"/>
    <x v="5"/>
    <x v="1"/>
    <n v="0"/>
    <x v="2"/>
    <n v="0"/>
    <n v="0"/>
  </r>
  <r>
    <n v="27"/>
    <x v="2"/>
    <x v="0"/>
    <s v="Travel_Frequently"/>
    <x v="2"/>
    <s v="Human Resources"/>
    <x v="8"/>
    <n v="1944"/>
    <n v="22"/>
    <x v="3"/>
    <s v="Female"/>
    <n v="1"/>
    <x v="1"/>
    <x v="1"/>
    <n v="2863"/>
    <n v="19555"/>
    <n v="1"/>
    <x v="1"/>
    <n v="3"/>
    <n v="1"/>
    <n v="80"/>
    <n v="1"/>
    <x v="2"/>
    <x v="1"/>
    <n v="1"/>
    <x v="2"/>
    <n v="0"/>
    <n v="0"/>
  </r>
  <r>
    <n v="35"/>
    <x v="1"/>
    <x v="1"/>
    <s v="Travel_Rarely"/>
    <x v="0"/>
    <s v="Medical"/>
    <x v="0"/>
    <n v="1945"/>
    <n v="18"/>
    <x v="0"/>
    <s v="Male"/>
    <n v="2"/>
    <x v="3"/>
    <x v="1"/>
    <n v="5561"/>
    <n v="15975"/>
    <n v="0"/>
    <x v="1"/>
    <n v="3"/>
    <n v="4"/>
    <n v="80"/>
    <n v="6"/>
    <x v="2"/>
    <x v="0"/>
    <n v="5"/>
    <x v="7"/>
    <n v="0"/>
    <n v="4"/>
  </r>
  <r>
    <n v="28"/>
    <x v="2"/>
    <x v="1"/>
    <s v="Non-Travel"/>
    <x v="1"/>
    <s v="Medical"/>
    <x v="1"/>
    <n v="1947"/>
    <n v="16"/>
    <x v="1"/>
    <s v="Male"/>
    <n v="1"/>
    <x v="2"/>
    <x v="0"/>
    <n v="2144"/>
    <n v="2122"/>
    <n v="1"/>
    <x v="1"/>
    <n v="3"/>
    <n v="3"/>
    <n v="80"/>
    <n v="5"/>
    <x v="1"/>
    <x v="2"/>
    <n v="5"/>
    <x v="7"/>
    <n v="1"/>
    <n v="4"/>
  </r>
  <r>
    <n v="31"/>
    <x v="1"/>
    <x v="1"/>
    <s v="Non-Travel"/>
    <x v="1"/>
    <s v="Medical"/>
    <x v="1"/>
    <n v="1948"/>
    <n v="3"/>
    <x v="1"/>
    <s v="Male"/>
    <n v="1"/>
    <x v="3"/>
    <x v="2"/>
    <n v="3065"/>
    <n v="3995"/>
    <n v="1"/>
    <x v="0"/>
    <n v="3"/>
    <n v="4"/>
    <n v="80"/>
    <n v="4"/>
    <x v="1"/>
    <x v="3"/>
    <n v="4"/>
    <x v="3"/>
    <n v="2"/>
    <n v="3"/>
  </r>
  <r>
    <n v="36"/>
    <x v="1"/>
    <x v="1"/>
    <s v="Non-Travel"/>
    <x v="1"/>
    <s v="Life Sciences"/>
    <x v="2"/>
    <n v="1949"/>
    <n v="9"/>
    <x v="3"/>
    <s v="Male"/>
    <n v="1"/>
    <x v="1"/>
    <x v="1"/>
    <n v="2810"/>
    <n v="9238"/>
    <n v="1"/>
    <x v="1"/>
    <n v="4"/>
    <n v="2"/>
    <n v="80"/>
    <n v="5"/>
    <x v="1"/>
    <x v="1"/>
    <n v="5"/>
    <x v="0"/>
    <n v="0"/>
    <n v="2"/>
  </r>
  <r>
    <n v="34"/>
    <x v="1"/>
    <x v="1"/>
    <s v="Travel_Rarely"/>
    <x v="0"/>
    <s v="Marketing"/>
    <x v="0"/>
    <n v="1950"/>
    <n v="1"/>
    <x v="3"/>
    <s v="Male"/>
    <n v="3"/>
    <x v="0"/>
    <x v="0"/>
    <n v="9888"/>
    <n v="6770"/>
    <n v="1"/>
    <x v="1"/>
    <n v="4"/>
    <n v="1"/>
    <n v="80"/>
    <n v="14"/>
    <x v="1"/>
    <x v="2"/>
    <n v="14"/>
    <x v="6"/>
    <n v="2"/>
    <n v="1"/>
  </r>
  <r>
    <n v="34"/>
    <x v="1"/>
    <x v="1"/>
    <s v="Travel_Rarely"/>
    <x v="0"/>
    <s v="Medical"/>
    <x v="0"/>
    <n v="1951"/>
    <n v="13"/>
    <x v="2"/>
    <s v="Male"/>
    <n v="3"/>
    <x v="2"/>
    <x v="2"/>
    <n v="8628"/>
    <n v="22914"/>
    <n v="1"/>
    <x v="1"/>
    <n v="3"/>
    <n v="3"/>
    <n v="80"/>
    <n v="9"/>
    <x v="2"/>
    <x v="2"/>
    <n v="8"/>
    <x v="1"/>
    <n v="1"/>
    <n v="1"/>
  </r>
  <r>
    <n v="26"/>
    <x v="2"/>
    <x v="1"/>
    <s v="Travel_Rarely"/>
    <x v="1"/>
    <s v="Medical"/>
    <x v="2"/>
    <n v="1952"/>
    <n v="1"/>
    <x v="1"/>
    <s v="Male"/>
    <n v="1"/>
    <x v="3"/>
    <x v="0"/>
    <n v="2867"/>
    <n v="20006"/>
    <n v="0"/>
    <x v="1"/>
    <n v="3"/>
    <n v="4"/>
    <n v="80"/>
    <n v="8"/>
    <x v="6"/>
    <x v="2"/>
    <n v="7"/>
    <x v="1"/>
    <n v="7"/>
    <n v="6"/>
  </r>
  <r>
    <n v="29"/>
    <x v="2"/>
    <x v="1"/>
    <s v="Travel_Rarely"/>
    <x v="1"/>
    <s v="Life Sciences"/>
    <x v="4"/>
    <n v="1954"/>
    <n v="1"/>
    <x v="3"/>
    <s v="Male"/>
    <n v="2"/>
    <x v="3"/>
    <x v="1"/>
    <n v="5373"/>
    <n v="6225"/>
    <n v="0"/>
    <x v="1"/>
    <n v="3"/>
    <n v="1"/>
    <n v="80"/>
    <n v="6"/>
    <x v="3"/>
    <x v="2"/>
    <n v="5"/>
    <x v="7"/>
    <n v="0"/>
    <n v="2"/>
  </r>
  <r>
    <n v="32"/>
    <x v="1"/>
    <x v="1"/>
    <s v="Non-Travel"/>
    <x v="1"/>
    <s v="Medical"/>
    <x v="4"/>
    <n v="1955"/>
    <n v="15"/>
    <x v="1"/>
    <s v="Female"/>
    <n v="2"/>
    <x v="0"/>
    <x v="2"/>
    <n v="6667"/>
    <n v="16542"/>
    <n v="5"/>
    <x v="1"/>
    <n v="3"/>
    <n v="2"/>
    <n v="80"/>
    <n v="9"/>
    <x v="6"/>
    <x v="1"/>
    <n v="5"/>
    <x v="10"/>
    <n v="1"/>
    <n v="2"/>
  </r>
  <r>
    <n v="31"/>
    <x v="1"/>
    <x v="1"/>
    <s v="Travel_Frequently"/>
    <x v="1"/>
    <s v="Life Sciences"/>
    <x v="1"/>
    <n v="1956"/>
    <n v="1"/>
    <x v="2"/>
    <s v="Male"/>
    <n v="2"/>
    <x v="3"/>
    <x v="1"/>
    <n v="5003"/>
    <n v="5771"/>
    <n v="1"/>
    <x v="1"/>
    <n v="4"/>
    <n v="2"/>
    <n v="80"/>
    <n v="10"/>
    <x v="6"/>
    <x v="1"/>
    <n v="10"/>
    <x v="6"/>
    <n v="8"/>
    <n v="7"/>
  </r>
  <r>
    <n v="28"/>
    <x v="2"/>
    <x v="0"/>
    <s v="Travel_Rarely"/>
    <x v="1"/>
    <s v="Technical Degree"/>
    <x v="2"/>
    <n v="1960"/>
    <n v="17"/>
    <x v="1"/>
    <s v="Male"/>
    <n v="1"/>
    <x v="0"/>
    <x v="2"/>
    <n v="2367"/>
    <n v="18779"/>
    <n v="5"/>
    <x v="1"/>
    <n v="3"/>
    <n v="1"/>
    <n v="80"/>
    <n v="6"/>
    <x v="2"/>
    <x v="2"/>
    <n v="4"/>
    <x v="10"/>
    <n v="0"/>
    <n v="3"/>
  </r>
  <r>
    <n v="38"/>
    <x v="1"/>
    <x v="1"/>
    <s v="Travel_Rarely"/>
    <x v="0"/>
    <s v="Life Sciences"/>
    <x v="6"/>
    <n v="1961"/>
    <n v="1"/>
    <x v="3"/>
    <s v="Male"/>
    <n v="1"/>
    <x v="3"/>
    <x v="0"/>
    <n v="2858"/>
    <n v="11473"/>
    <n v="4"/>
    <x v="1"/>
    <n v="3"/>
    <n v="1"/>
    <n v="80"/>
    <n v="20"/>
    <x v="1"/>
    <x v="2"/>
    <n v="1"/>
    <x v="2"/>
    <n v="0"/>
    <n v="0"/>
  </r>
  <r>
    <n v="35"/>
    <x v="1"/>
    <x v="1"/>
    <s v="Travel_Rarely"/>
    <x v="0"/>
    <s v="Life Sciences"/>
    <x v="0"/>
    <n v="1962"/>
    <n v="7"/>
    <x v="1"/>
    <s v="Female"/>
    <n v="2"/>
    <x v="0"/>
    <x v="1"/>
    <n v="5204"/>
    <n v="13586"/>
    <n v="1"/>
    <x v="0"/>
    <n v="3"/>
    <n v="4"/>
    <n v="80"/>
    <n v="10"/>
    <x v="2"/>
    <x v="1"/>
    <n v="10"/>
    <x v="6"/>
    <n v="0"/>
    <n v="9"/>
  </r>
  <r>
    <n v="27"/>
    <x v="2"/>
    <x v="1"/>
    <s v="Travel_Rarely"/>
    <x v="0"/>
    <s v="Marketing"/>
    <x v="0"/>
    <n v="1965"/>
    <n v="9"/>
    <x v="2"/>
    <s v="Male"/>
    <n v="2"/>
    <x v="0"/>
    <x v="0"/>
    <n v="4105"/>
    <n v="5099"/>
    <n v="1"/>
    <x v="1"/>
    <n v="3"/>
    <n v="1"/>
    <n v="80"/>
    <n v="7"/>
    <x v="3"/>
    <x v="1"/>
    <n v="7"/>
    <x v="1"/>
    <n v="0"/>
    <n v="7"/>
  </r>
  <r>
    <n v="32"/>
    <x v="1"/>
    <x v="1"/>
    <s v="Travel_Rarely"/>
    <x v="1"/>
    <s v="Life Sciences"/>
    <x v="3"/>
    <n v="1966"/>
    <n v="5"/>
    <x v="2"/>
    <s v="Male"/>
    <n v="2"/>
    <x v="0"/>
    <x v="0"/>
    <n v="9679"/>
    <n v="10138"/>
    <n v="8"/>
    <x v="1"/>
    <n v="4"/>
    <n v="2"/>
    <n v="80"/>
    <n v="8"/>
    <x v="4"/>
    <x v="1"/>
    <n v="1"/>
    <x v="2"/>
    <n v="0"/>
    <n v="0"/>
  </r>
  <r>
    <n v="31"/>
    <x v="1"/>
    <x v="0"/>
    <s v="Travel_Frequently"/>
    <x v="0"/>
    <s v="Marketing"/>
    <x v="0"/>
    <n v="1967"/>
    <n v="26"/>
    <x v="3"/>
    <s v="Male"/>
    <n v="2"/>
    <x v="0"/>
    <x v="1"/>
    <n v="5617"/>
    <n v="21075"/>
    <n v="1"/>
    <x v="0"/>
    <n v="3"/>
    <n v="3"/>
    <n v="80"/>
    <n v="10"/>
    <x v="5"/>
    <x v="1"/>
    <n v="10"/>
    <x v="1"/>
    <n v="0"/>
    <n v="8"/>
  </r>
  <r>
    <n v="53"/>
    <x v="3"/>
    <x v="0"/>
    <s v="Travel_Rarely"/>
    <x v="0"/>
    <s v="Life Sciences"/>
    <x v="0"/>
    <n v="1968"/>
    <n v="24"/>
    <x v="3"/>
    <s v="Male"/>
    <n v="3"/>
    <x v="3"/>
    <x v="0"/>
    <n v="10448"/>
    <n v="5843"/>
    <n v="6"/>
    <x v="0"/>
    <n v="3"/>
    <n v="2"/>
    <n v="80"/>
    <n v="15"/>
    <x v="2"/>
    <x v="2"/>
    <n v="2"/>
    <x v="3"/>
    <n v="2"/>
    <n v="2"/>
  </r>
  <r>
    <n v="54"/>
    <x v="3"/>
    <x v="1"/>
    <s v="Travel_Rarely"/>
    <x v="1"/>
    <s v="Life Sciences"/>
    <x v="1"/>
    <n v="1969"/>
    <n v="9"/>
    <x v="3"/>
    <s v="Female"/>
    <n v="2"/>
    <x v="2"/>
    <x v="1"/>
    <n v="2897"/>
    <n v="22474"/>
    <n v="3"/>
    <x v="1"/>
    <n v="3"/>
    <n v="3"/>
    <n v="80"/>
    <n v="9"/>
    <x v="6"/>
    <x v="2"/>
    <n v="4"/>
    <x v="7"/>
    <n v="2"/>
    <n v="3"/>
  </r>
  <r>
    <n v="33"/>
    <x v="1"/>
    <x v="1"/>
    <s v="Travel_Frequently"/>
    <x v="1"/>
    <s v="Life Sciences"/>
    <x v="4"/>
    <n v="1970"/>
    <n v="7"/>
    <x v="2"/>
    <s v="Male"/>
    <n v="2"/>
    <x v="2"/>
    <x v="2"/>
    <n v="5968"/>
    <n v="18079"/>
    <n v="1"/>
    <x v="1"/>
    <n v="4"/>
    <n v="3"/>
    <n v="80"/>
    <n v="9"/>
    <x v="2"/>
    <x v="1"/>
    <n v="9"/>
    <x v="1"/>
    <n v="2"/>
    <n v="8"/>
  </r>
  <r>
    <n v="43"/>
    <x v="0"/>
    <x v="1"/>
    <s v="Travel_Rarely"/>
    <x v="1"/>
    <s v="Life Sciences"/>
    <x v="4"/>
    <n v="1971"/>
    <n v="11"/>
    <x v="3"/>
    <s v="Male"/>
    <n v="3"/>
    <x v="2"/>
    <x v="1"/>
    <n v="7510"/>
    <n v="16873"/>
    <n v="1"/>
    <x v="1"/>
    <n v="3"/>
    <n v="2"/>
    <n v="80"/>
    <n v="10"/>
    <x v="4"/>
    <x v="1"/>
    <n v="10"/>
    <x v="5"/>
    <n v="0"/>
    <n v="9"/>
  </r>
  <r>
    <n v="38"/>
    <x v="1"/>
    <x v="1"/>
    <s v="Travel_Frequently"/>
    <x v="2"/>
    <s v="Other"/>
    <x v="8"/>
    <n v="1972"/>
    <n v="1"/>
    <x v="2"/>
    <s v="Male"/>
    <n v="1"/>
    <x v="1"/>
    <x v="1"/>
    <n v="2991"/>
    <n v="5224"/>
    <n v="0"/>
    <x v="0"/>
    <n v="3"/>
    <n v="2"/>
    <n v="80"/>
    <n v="7"/>
    <x v="2"/>
    <x v="1"/>
    <n v="6"/>
    <x v="3"/>
    <n v="1"/>
    <n v="2"/>
  </r>
  <r>
    <n v="55"/>
    <x v="3"/>
    <x v="1"/>
    <s v="Travel_Rarely"/>
    <x v="2"/>
    <s v="Human Resources"/>
    <x v="5"/>
    <n v="1973"/>
    <n v="26"/>
    <x v="1"/>
    <s v="Male"/>
    <n v="5"/>
    <x v="1"/>
    <x v="1"/>
    <n v="19636"/>
    <n v="25811"/>
    <n v="4"/>
    <x v="0"/>
    <n v="3"/>
    <n v="1"/>
    <n v="80"/>
    <n v="35"/>
    <x v="0"/>
    <x v="1"/>
    <n v="10"/>
    <x v="5"/>
    <n v="1"/>
    <n v="4"/>
  </r>
  <r>
    <n v="31"/>
    <x v="1"/>
    <x v="1"/>
    <s v="Travel_Rarely"/>
    <x v="1"/>
    <s v="Medical"/>
    <x v="2"/>
    <n v="1974"/>
    <n v="2"/>
    <x v="2"/>
    <s v="Female"/>
    <n v="1"/>
    <x v="0"/>
    <x v="2"/>
    <n v="1129"/>
    <n v="17536"/>
    <n v="1"/>
    <x v="0"/>
    <n v="3"/>
    <n v="3"/>
    <n v="80"/>
    <n v="1"/>
    <x v="5"/>
    <x v="1"/>
    <n v="1"/>
    <x v="2"/>
    <n v="0"/>
    <n v="0"/>
  </r>
  <r>
    <n v="39"/>
    <x v="1"/>
    <x v="1"/>
    <s v="Travel_Rarely"/>
    <x v="0"/>
    <s v="Marketing"/>
    <x v="0"/>
    <n v="1975"/>
    <n v="15"/>
    <x v="0"/>
    <s v="Male"/>
    <n v="4"/>
    <x v="3"/>
    <x v="0"/>
    <n v="13341"/>
    <n v="25098"/>
    <n v="0"/>
    <x v="1"/>
    <n v="3"/>
    <n v="1"/>
    <n v="80"/>
    <n v="21"/>
    <x v="1"/>
    <x v="1"/>
    <n v="20"/>
    <x v="6"/>
    <n v="11"/>
    <n v="10"/>
  </r>
  <r>
    <n v="42"/>
    <x v="0"/>
    <x v="1"/>
    <s v="Non-Travel"/>
    <x v="1"/>
    <s v="Life Sciences"/>
    <x v="1"/>
    <n v="1976"/>
    <n v="23"/>
    <x v="2"/>
    <s v="Male"/>
    <n v="2"/>
    <x v="2"/>
    <x v="0"/>
    <n v="4332"/>
    <n v="14811"/>
    <n v="1"/>
    <x v="1"/>
    <n v="3"/>
    <n v="4"/>
    <n v="80"/>
    <n v="20"/>
    <x v="2"/>
    <x v="1"/>
    <n v="20"/>
    <x v="5"/>
    <n v="3"/>
    <n v="7"/>
  </r>
  <r>
    <n v="31"/>
    <x v="1"/>
    <x v="1"/>
    <s v="Non-Travel"/>
    <x v="1"/>
    <s v="Medical"/>
    <x v="7"/>
    <n v="1979"/>
    <n v="10"/>
    <x v="1"/>
    <s v="Female"/>
    <n v="3"/>
    <x v="2"/>
    <x v="1"/>
    <n v="11031"/>
    <n v="26862"/>
    <n v="4"/>
    <x v="1"/>
    <n v="4"/>
    <n v="3"/>
    <n v="80"/>
    <n v="13"/>
    <x v="2"/>
    <x v="3"/>
    <n v="11"/>
    <x v="1"/>
    <n v="4"/>
    <n v="8"/>
  </r>
  <r>
    <n v="54"/>
    <x v="3"/>
    <x v="1"/>
    <s v="Travel_Rarely"/>
    <x v="1"/>
    <s v="Medical"/>
    <x v="3"/>
    <n v="1980"/>
    <n v="10"/>
    <x v="1"/>
    <s v="Female"/>
    <n v="2"/>
    <x v="3"/>
    <x v="0"/>
    <n v="4440"/>
    <n v="25198"/>
    <n v="6"/>
    <x v="0"/>
    <n v="3"/>
    <n v="4"/>
    <n v="80"/>
    <n v="9"/>
    <x v="1"/>
    <x v="1"/>
    <n v="5"/>
    <x v="3"/>
    <n v="1"/>
    <n v="4"/>
  </r>
  <r>
    <n v="24"/>
    <x v="2"/>
    <x v="1"/>
    <s v="Travel_Rarely"/>
    <x v="1"/>
    <s v="Life Sciences"/>
    <x v="4"/>
    <n v="1981"/>
    <n v="1"/>
    <x v="0"/>
    <s v="Male"/>
    <n v="2"/>
    <x v="2"/>
    <x v="0"/>
    <n v="4617"/>
    <n v="14120"/>
    <n v="1"/>
    <x v="1"/>
    <n v="3"/>
    <n v="2"/>
    <n v="80"/>
    <n v="4"/>
    <x v="2"/>
    <x v="2"/>
    <n v="4"/>
    <x v="7"/>
    <n v="1"/>
    <n v="2"/>
  </r>
  <r>
    <n v="23"/>
    <x v="2"/>
    <x v="1"/>
    <s v="Travel_Rarely"/>
    <x v="1"/>
    <s v="Other"/>
    <x v="2"/>
    <n v="1982"/>
    <n v="12"/>
    <x v="2"/>
    <s v="Male"/>
    <n v="1"/>
    <x v="0"/>
    <x v="0"/>
    <n v="2647"/>
    <n v="13672"/>
    <n v="1"/>
    <x v="1"/>
    <n v="3"/>
    <n v="3"/>
    <n v="80"/>
    <n v="5"/>
    <x v="6"/>
    <x v="3"/>
    <n v="5"/>
    <x v="3"/>
    <n v="1"/>
    <n v="4"/>
  </r>
  <r>
    <n v="40"/>
    <x v="1"/>
    <x v="1"/>
    <s v="Travel_Frequently"/>
    <x v="1"/>
    <s v="Technical Degree"/>
    <x v="2"/>
    <n v="1985"/>
    <n v="11"/>
    <x v="2"/>
    <s v="Female"/>
    <n v="2"/>
    <x v="2"/>
    <x v="1"/>
    <n v="6323"/>
    <n v="26849"/>
    <n v="1"/>
    <x v="1"/>
    <n v="3"/>
    <n v="1"/>
    <n v="80"/>
    <n v="10"/>
    <x v="2"/>
    <x v="3"/>
    <n v="10"/>
    <x v="5"/>
    <n v="9"/>
    <n v="4"/>
  </r>
  <r>
    <n v="40"/>
    <x v="1"/>
    <x v="1"/>
    <s v="Travel_Rarely"/>
    <x v="0"/>
    <s v="Marketing"/>
    <x v="0"/>
    <n v="1986"/>
    <n v="2"/>
    <x v="0"/>
    <s v="Female"/>
    <n v="2"/>
    <x v="1"/>
    <x v="1"/>
    <n v="5677"/>
    <n v="4258"/>
    <n v="3"/>
    <x v="1"/>
    <n v="3"/>
    <n v="3"/>
    <n v="80"/>
    <n v="15"/>
    <x v="5"/>
    <x v="1"/>
    <n v="11"/>
    <x v="6"/>
    <n v="5"/>
    <n v="10"/>
  </r>
  <r>
    <n v="25"/>
    <x v="2"/>
    <x v="1"/>
    <s v="Travel_Rarely"/>
    <x v="2"/>
    <s v="Human Resources"/>
    <x v="8"/>
    <n v="1987"/>
    <n v="2"/>
    <x v="1"/>
    <s v="Female"/>
    <n v="1"/>
    <x v="1"/>
    <x v="1"/>
    <n v="2187"/>
    <n v="19655"/>
    <n v="4"/>
    <x v="1"/>
    <n v="3"/>
    <n v="3"/>
    <n v="80"/>
    <n v="6"/>
    <x v="1"/>
    <x v="1"/>
    <n v="2"/>
    <x v="2"/>
    <n v="1"/>
    <n v="2"/>
  </r>
  <r>
    <n v="30"/>
    <x v="2"/>
    <x v="1"/>
    <s v="Travel_Rarely"/>
    <x v="1"/>
    <s v="Medical"/>
    <x v="2"/>
    <n v="1989"/>
    <n v="1"/>
    <x v="2"/>
    <s v="Male"/>
    <n v="1"/>
    <x v="1"/>
    <x v="1"/>
    <n v="3748"/>
    <n v="4077"/>
    <n v="1"/>
    <x v="1"/>
    <n v="3"/>
    <n v="3"/>
    <n v="80"/>
    <n v="12"/>
    <x v="6"/>
    <x v="2"/>
    <n v="12"/>
    <x v="6"/>
    <n v="1"/>
    <n v="7"/>
  </r>
  <r>
    <n v="25"/>
    <x v="2"/>
    <x v="1"/>
    <s v="Travel_Rarely"/>
    <x v="1"/>
    <s v="Other"/>
    <x v="2"/>
    <n v="1992"/>
    <n v="2"/>
    <x v="2"/>
    <s v="Male"/>
    <n v="1"/>
    <x v="2"/>
    <x v="2"/>
    <n v="3977"/>
    <n v="7298"/>
    <n v="6"/>
    <x v="0"/>
    <n v="3"/>
    <n v="3"/>
    <n v="80"/>
    <n v="7"/>
    <x v="2"/>
    <x v="2"/>
    <n v="2"/>
    <x v="3"/>
    <n v="0"/>
    <n v="2"/>
  </r>
  <r>
    <n v="47"/>
    <x v="0"/>
    <x v="1"/>
    <s v="Travel_Rarely"/>
    <x v="1"/>
    <s v="Medical"/>
    <x v="4"/>
    <n v="1993"/>
    <n v="25"/>
    <x v="3"/>
    <s v="Male"/>
    <n v="3"/>
    <x v="2"/>
    <x v="0"/>
    <n v="8633"/>
    <n v="13084"/>
    <n v="2"/>
    <x v="1"/>
    <n v="4"/>
    <n v="2"/>
    <n v="80"/>
    <n v="25"/>
    <x v="1"/>
    <x v="1"/>
    <n v="17"/>
    <x v="12"/>
    <n v="12"/>
    <n v="11"/>
  </r>
  <r>
    <n v="33"/>
    <x v="1"/>
    <x v="1"/>
    <s v="Non-Travel"/>
    <x v="1"/>
    <s v="Medical"/>
    <x v="2"/>
    <n v="1994"/>
    <n v="1"/>
    <x v="0"/>
    <s v="Male"/>
    <n v="1"/>
    <x v="2"/>
    <x v="2"/>
    <n v="2008"/>
    <n v="20439"/>
    <n v="1"/>
    <x v="1"/>
    <n v="3"/>
    <n v="3"/>
    <n v="80"/>
    <n v="1"/>
    <x v="2"/>
    <x v="2"/>
    <n v="1"/>
    <x v="10"/>
    <n v="0"/>
    <n v="0"/>
  </r>
  <r>
    <n v="38"/>
    <x v="1"/>
    <x v="1"/>
    <s v="Travel_Rarely"/>
    <x v="0"/>
    <s v="Life Sciences"/>
    <x v="0"/>
    <n v="1995"/>
    <n v="1"/>
    <x v="2"/>
    <s v="Male"/>
    <n v="2"/>
    <x v="1"/>
    <x v="1"/>
    <n v="4440"/>
    <n v="7636"/>
    <n v="0"/>
    <x v="1"/>
    <n v="3"/>
    <n v="1"/>
    <n v="80"/>
    <n v="16"/>
    <x v="1"/>
    <x v="1"/>
    <n v="15"/>
    <x v="9"/>
    <n v="5"/>
    <n v="8"/>
  </r>
  <r>
    <n v="31"/>
    <x v="1"/>
    <x v="1"/>
    <s v="Travel_Rarely"/>
    <x v="0"/>
    <s v="Life Sciences"/>
    <x v="6"/>
    <n v="1996"/>
    <n v="2"/>
    <x v="3"/>
    <s v="Male"/>
    <n v="1"/>
    <x v="2"/>
    <x v="1"/>
    <n v="3067"/>
    <n v="6393"/>
    <n v="0"/>
    <x v="1"/>
    <n v="3"/>
    <n v="3"/>
    <n v="80"/>
    <n v="3"/>
    <x v="4"/>
    <x v="1"/>
    <n v="2"/>
    <x v="3"/>
    <n v="1"/>
    <n v="2"/>
  </r>
  <r>
    <n v="38"/>
    <x v="1"/>
    <x v="1"/>
    <s v="Travel_Frequently"/>
    <x v="1"/>
    <s v="Life Sciences"/>
    <x v="3"/>
    <n v="1997"/>
    <n v="6"/>
    <x v="3"/>
    <s v="Male"/>
    <n v="2"/>
    <x v="2"/>
    <x v="1"/>
    <n v="5321"/>
    <n v="14284"/>
    <n v="2"/>
    <x v="1"/>
    <n v="3"/>
    <n v="4"/>
    <n v="80"/>
    <n v="10"/>
    <x v="4"/>
    <x v="1"/>
    <n v="8"/>
    <x v="7"/>
    <n v="7"/>
    <n v="7"/>
  </r>
  <r>
    <n v="42"/>
    <x v="0"/>
    <x v="1"/>
    <s v="Travel_Rarely"/>
    <x v="1"/>
    <s v="Life Sciences"/>
    <x v="1"/>
    <n v="1998"/>
    <n v="18"/>
    <x v="2"/>
    <s v="Male"/>
    <n v="2"/>
    <x v="3"/>
    <x v="2"/>
    <n v="5410"/>
    <n v="11189"/>
    <n v="6"/>
    <x v="0"/>
    <n v="3"/>
    <n v="3"/>
    <n v="80"/>
    <n v="9"/>
    <x v="1"/>
    <x v="2"/>
    <n v="4"/>
    <x v="7"/>
    <n v="1"/>
    <n v="2"/>
  </r>
  <r>
    <n v="41"/>
    <x v="0"/>
    <x v="1"/>
    <s v="Travel_Rarely"/>
    <x v="1"/>
    <s v="Life Sciences"/>
    <x v="1"/>
    <n v="1999"/>
    <n v="1"/>
    <x v="2"/>
    <s v="Male"/>
    <n v="1"/>
    <x v="0"/>
    <x v="1"/>
    <n v="2782"/>
    <n v="21412"/>
    <n v="3"/>
    <x v="1"/>
    <n v="4"/>
    <n v="1"/>
    <n v="80"/>
    <n v="12"/>
    <x v="1"/>
    <x v="1"/>
    <n v="5"/>
    <x v="7"/>
    <n v="1"/>
    <n v="0"/>
  </r>
  <r>
    <n v="47"/>
    <x v="0"/>
    <x v="1"/>
    <s v="Non-Travel"/>
    <x v="1"/>
    <s v="Medical"/>
    <x v="7"/>
    <n v="2000"/>
    <n v="1"/>
    <x v="1"/>
    <s v="Female"/>
    <n v="3"/>
    <x v="1"/>
    <x v="1"/>
    <n v="11957"/>
    <n v="17231"/>
    <n v="0"/>
    <x v="1"/>
    <n v="3"/>
    <n v="1"/>
    <n v="80"/>
    <n v="14"/>
    <x v="1"/>
    <x v="0"/>
    <n v="13"/>
    <x v="6"/>
    <n v="5"/>
    <n v="12"/>
  </r>
  <r>
    <n v="35"/>
    <x v="1"/>
    <x v="1"/>
    <s v="Travel_Rarely"/>
    <x v="1"/>
    <s v="Medical"/>
    <x v="2"/>
    <n v="2003"/>
    <n v="11"/>
    <x v="2"/>
    <s v="Male"/>
    <n v="1"/>
    <x v="2"/>
    <x v="1"/>
    <n v="2660"/>
    <n v="20232"/>
    <n v="7"/>
    <x v="0"/>
    <n v="3"/>
    <n v="3"/>
    <n v="80"/>
    <n v="5"/>
    <x v="1"/>
    <x v="1"/>
    <n v="2"/>
    <x v="3"/>
    <n v="2"/>
    <n v="2"/>
  </r>
  <r>
    <n v="22"/>
    <x v="2"/>
    <x v="1"/>
    <s v="Travel_Rarely"/>
    <x v="1"/>
    <s v="Life Sciences"/>
    <x v="1"/>
    <n v="2007"/>
    <n v="1"/>
    <x v="2"/>
    <s v="Male"/>
    <n v="1"/>
    <x v="2"/>
    <x v="0"/>
    <n v="3375"/>
    <n v="17624"/>
    <n v="0"/>
    <x v="1"/>
    <n v="3"/>
    <n v="4"/>
    <n v="80"/>
    <n v="4"/>
    <x v="2"/>
    <x v="3"/>
    <n v="3"/>
    <x v="3"/>
    <n v="1"/>
    <n v="2"/>
  </r>
  <r>
    <n v="35"/>
    <x v="1"/>
    <x v="1"/>
    <s v="Travel_Rarely"/>
    <x v="1"/>
    <s v="Medical"/>
    <x v="1"/>
    <n v="2008"/>
    <n v="9"/>
    <x v="0"/>
    <s v="Male"/>
    <n v="2"/>
    <x v="2"/>
    <x v="0"/>
    <n v="5098"/>
    <n v="18698"/>
    <n v="1"/>
    <x v="1"/>
    <n v="3"/>
    <n v="2"/>
    <n v="80"/>
    <n v="10"/>
    <x v="3"/>
    <x v="1"/>
    <n v="10"/>
    <x v="1"/>
    <n v="0"/>
    <n v="8"/>
  </r>
  <r>
    <n v="33"/>
    <x v="1"/>
    <x v="1"/>
    <s v="Travel_Rarely"/>
    <x v="1"/>
    <s v="Medical"/>
    <x v="4"/>
    <n v="2009"/>
    <n v="15"/>
    <x v="0"/>
    <s v="Female"/>
    <n v="2"/>
    <x v="0"/>
    <x v="1"/>
    <n v="4878"/>
    <n v="21653"/>
    <n v="0"/>
    <x v="0"/>
    <n v="3"/>
    <n v="1"/>
    <n v="80"/>
    <n v="10"/>
    <x v="6"/>
    <x v="1"/>
    <n v="9"/>
    <x v="1"/>
    <n v="8"/>
    <n v="1"/>
  </r>
  <r>
    <n v="32"/>
    <x v="1"/>
    <x v="1"/>
    <s v="Travel_Rarely"/>
    <x v="1"/>
    <s v="Life Sciences"/>
    <x v="2"/>
    <n v="2010"/>
    <n v="29"/>
    <x v="1"/>
    <s v="Female"/>
    <n v="1"/>
    <x v="1"/>
    <x v="0"/>
    <n v="2837"/>
    <n v="15919"/>
    <n v="1"/>
    <x v="1"/>
    <n v="3"/>
    <n v="3"/>
    <n v="80"/>
    <n v="6"/>
    <x v="1"/>
    <x v="1"/>
    <n v="6"/>
    <x v="3"/>
    <n v="4"/>
    <n v="1"/>
  </r>
  <r>
    <n v="40"/>
    <x v="1"/>
    <x v="1"/>
    <s v="Travel_Rarely"/>
    <x v="1"/>
    <s v="Life Sciences"/>
    <x v="2"/>
    <n v="2012"/>
    <n v="1"/>
    <x v="3"/>
    <s v="Male"/>
    <n v="1"/>
    <x v="0"/>
    <x v="1"/>
    <n v="2406"/>
    <n v="4060"/>
    <n v="8"/>
    <x v="1"/>
    <n v="3"/>
    <n v="3"/>
    <n v="80"/>
    <n v="8"/>
    <x v="1"/>
    <x v="2"/>
    <n v="1"/>
    <x v="2"/>
    <n v="0"/>
    <n v="0"/>
  </r>
  <r>
    <n v="32"/>
    <x v="1"/>
    <x v="1"/>
    <s v="Travel_Rarely"/>
    <x v="0"/>
    <s v="Medical"/>
    <x v="6"/>
    <n v="2013"/>
    <n v="1"/>
    <x v="0"/>
    <s v="Male"/>
    <n v="1"/>
    <x v="1"/>
    <x v="1"/>
    <n v="2269"/>
    <n v="18024"/>
    <n v="0"/>
    <x v="1"/>
    <n v="3"/>
    <n v="2"/>
    <n v="80"/>
    <n v="3"/>
    <x v="2"/>
    <x v="1"/>
    <n v="2"/>
    <x v="3"/>
    <n v="2"/>
    <n v="2"/>
  </r>
  <r>
    <n v="39"/>
    <x v="1"/>
    <x v="1"/>
    <s v="Travel_Rarely"/>
    <x v="1"/>
    <s v="Life Sciences"/>
    <x v="1"/>
    <n v="2014"/>
    <n v="24"/>
    <x v="3"/>
    <s v="Male"/>
    <n v="2"/>
    <x v="0"/>
    <x v="0"/>
    <n v="4108"/>
    <n v="5340"/>
    <n v="7"/>
    <x v="1"/>
    <n v="3"/>
    <n v="1"/>
    <n v="80"/>
    <n v="18"/>
    <x v="2"/>
    <x v="1"/>
    <n v="7"/>
    <x v="1"/>
    <n v="1"/>
    <n v="7"/>
  </r>
  <r>
    <n v="38"/>
    <x v="1"/>
    <x v="1"/>
    <s v="Travel_Rarely"/>
    <x v="1"/>
    <s v="Medical"/>
    <x v="7"/>
    <n v="2015"/>
    <n v="10"/>
    <x v="0"/>
    <s v="Female"/>
    <n v="3"/>
    <x v="2"/>
    <x v="1"/>
    <n v="13206"/>
    <n v="3376"/>
    <n v="3"/>
    <x v="1"/>
    <n v="3"/>
    <n v="1"/>
    <n v="80"/>
    <n v="20"/>
    <x v="1"/>
    <x v="1"/>
    <n v="18"/>
    <x v="13"/>
    <n v="1"/>
    <n v="11"/>
  </r>
  <r>
    <n v="32"/>
    <x v="1"/>
    <x v="1"/>
    <s v="Travel_Rarely"/>
    <x v="0"/>
    <s v="Marketing"/>
    <x v="0"/>
    <n v="2016"/>
    <n v="1"/>
    <x v="1"/>
    <s v="Female"/>
    <n v="3"/>
    <x v="0"/>
    <x v="1"/>
    <n v="10422"/>
    <n v="24032"/>
    <n v="1"/>
    <x v="1"/>
    <n v="3"/>
    <n v="3"/>
    <n v="80"/>
    <n v="14"/>
    <x v="1"/>
    <x v="1"/>
    <n v="14"/>
    <x v="15"/>
    <n v="5"/>
    <n v="7"/>
  </r>
  <r>
    <n v="37"/>
    <x v="1"/>
    <x v="1"/>
    <s v="Travel_Rarely"/>
    <x v="1"/>
    <s v="Life Sciences"/>
    <x v="7"/>
    <n v="2017"/>
    <n v="10"/>
    <x v="1"/>
    <s v="Female"/>
    <n v="3"/>
    <x v="0"/>
    <x v="1"/>
    <n v="13744"/>
    <n v="15471"/>
    <n v="1"/>
    <x v="0"/>
    <n v="4"/>
    <n v="1"/>
    <n v="80"/>
    <n v="16"/>
    <x v="2"/>
    <x v="1"/>
    <n v="16"/>
    <x v="14"/>
    <n v="6"/>
    <n v="8"/>
  </r>
  <r>
    <n v="25"/>
    <x v="2"/>
    <x v="1"/>
    <s v="Travel_Rarely"/>
    <x v="0"/>
    <s v="Other"/>
    <x v="0"/>
    <n v="2018"/>
    <n v="8"/>
    <x v="3"/>
    <s v="Female"/>
    <n v="2"/>
    <x v="2"/>
    <x v="2"/>
    <n v="4907"/>
    <n v="13684"/>
    <n v="0"/>
    <x v="0"/>
    <n v="4"/>
    <n v="2"/>
    <n v="80"/>
    <n v="6"/>
    <x v="1"/>
    <x v="2"/>
    <n v="5"/>
    <x v="7"/>
    <n v="0"/>
    <n v="4"/>
  </r>
  <r>
    <n v="52"/>
    <x v="3"/>
    <x v="1"/>
    <s v="Non-Travel"/>
    <x v="0"/>
    <s v="Life Sciences"/>
    <x v="6"/>
    <n v="2019"/>
    <n v="29"/>
    <x v="3"/>
    <s v="Male"/>
    <n v="1"/>
    <x v="0"/>
    <x v="2"/>
    <n v="3482"/>
    <n v="19788"/>
    <n v="2"/>
    <x v="1"/>
    <n v="3"/>
    <n v="2"/>
    <n v="80"/>
    <n v="16"/>
    <x v="1"/>
    <x v="2"/>
    <n v="9"/>
    <x v="6"/>
    <n v="0"/>
    <n v="0"/>
  </r>
  <r>
    <n v="44"/>
    <x v="0"/>
    <x v="1"/>
    <s v="Travel_Rarely"/>
    <x v="1"/>
    <s v="Medical"/>
    <x v="1"/>
    <n v="2020"/>
    <n v="1"/>
    <x v="0"/>
    <s v="Male"/>
    <n v="1"/>
    <x v="0"/>
    <x v="0"/>
    <n v="2436"/>
    <n v="13422"/>
    <n v="6"/>
    <x v="0"/>
    <n v="3"/>
    <n v="3"/>
    <n v="80"/>
    <n v="6"/>
    <x v="2"/>
    <x v="1"/>
    <n v="4"/>
    <x v="7"/>
    <n v="1"/>
    <n v="2"/>
  </r>
  <r>
    <n v="21"/>
    <x v="2"/>
    <x v="1"/>
    <s v="Travel_Rarely"/>
    <x v="0"/>
    <s v="Medical"/>
    <x v="6"/>
    <n v="2021"/>
    <n v="5"/>
    <x v="1"/>
    <s v="Male"/>
    <n v="1"/>
    <x v="3"/>
    <x v="0"/>
    <n v="2380"/>
    <n v="25479"/>
    <n v="1"/>
    <x v="0"/>
    <n v="3"/>
    <n v="4"/>
    <n v="80"/>
    <n v="2"/>
    <x v="6"/>
    <x v="1"/>
    <n v="2"/>
    <x v="3"/>
    <n v="1"/>
    <n v="2"/>
  </r>
  <r>
    <n v="39"/>
    <x v="1"/>
    <x v="1"/>
    <s v="Non-Travel"/>
    <x v="1"/>
    <s v="Life Sciences"/>
    <x v="5"/>
    <n v="2022"/>
    <n v="9"/>
    <x v="2"/>
    <s v="Male"/>
    <n v="5"/>
    <x v="0"/>
    <x v="0"/>
    <n v="19431"/>
    <n v="15302"/>
    <n v="2"/>
    <x v="1"/>
    <n v="3"/>
    <n v="3"/>
    <n v="80"/>
    <n v="21"/>
    <x v="1"/>
    <x v="2"/>
    <n v="6"/>
    <x v="2"/>
    <n v="1"/>
    <n v="3"/>
  </r>
  <r>
    <n v="23"/>
    <x v="2"/>
    <x v="0"/>
    <s v="Travel_Frequently"/>
    <x v="0"/>
    <s v="Marketing"/>
    <x v="6"/>
    <n v="2023"/>
    <n v="9"/>
    <x v="2"/>
    <s v="Male"/>
    <n v="1"/>
    <x v="3"/>
    <x v="1"/>
    <n v="1790"/>
    <n v="26956"/>
    <n v="1"/>
    <x v="1"/>
    <n v="3"/>
    <n v="1"/>
    <n v="80"/>
    <n v="1"/>
    <x v="1"/>
    <x v="2"/>
    <n v="1"/>
    <x v="2"/>
    <n v="1"/>
    <n v="0"/>
  </r>
  <r>
    <n v="36"/>
    <x v="1"/>
    <x v="1"/>
    <s v="Travel_Rarely"/>
    <x v="0"/>
    <s v="Medical"/>
    <x v="0"/>
    <n v="2024"/>
    <n v="3"/>
    <x v="3"/>
    <s v="Female"/>
    <n v="3"/>
    <x v="0"/>
    <x v="1"/>
    <n v="7644"/>
    <n v="12695"/>
    <n v="0"/>
    <x v="1"/>
    <n v="3"/>
    <n v="3"/>
    <n v="80"/>
    <n v="10"/>
    <x v="2"/>
    <x v="1"/>
    <n v="9"/>
    <x v="1"/>
    <n v="3"/>
    <n v="4"/>
  </r>
  <r>
    <n v="36"/>
    <x v="1"/>
    <x v="1"/>
    <s v="Travel_Frequently"/>
    <x v="1"/>
    <s v="Life Sciences"/>
    <x v="3"/>
    <n v="2025"/>
    <n v="4"/>
    <x v="2"/>
    <s v="Female"/>
    <n v="2"/>
    <x v="1"/>
    <x v="2"/>
    <n v="5131"/>
    <n v="9192"/>
    <n v="7"/>
    <x v="1"/>
    <n v="3"/>
    <n v="2"/>
    <n v="80"/>
    <n v="18"/>
    <x v="1"/>
    <x v="1"/>
    <n v="4"/>
    <x v="3"/>
    <n v="0"/>
    <n v="2"/>
  </r>
  <r>
    <n v="56"/>
    <x v="3"/>
    <x v="1"/>
    <s v="Non-Travel"/>
    <x v="1"/>
    <s v="Life Sciences"/>
    <x v="4"/>
    <n v="2026"/>
    <n v="1"/>
    <x v="1"/>
    <s v="Male"/>
    <n v="2"/>
    <x v="2"/>
    <x v="2"/>
    <n v="6306"/>
    <n v="26236"/>
    <n v="1"/>
    <x v="1"/>
    <n v="4"/>
    <n v="1"/>
    <n v="80"/>
    <n v="13"/>
    <x v="2"/>
    <x v="2"/>
    <n v="13"/>
    <x v="16"/>
    <n v="1"/>
    <n v="9"/>
  </r>
  <r>
    <n v="29"/>
    <x v="2"/>
    <x v="0"/>
    <s v="Travel_Rarely"/>
    <x v="1"/>
    <s v="Medical"/>
    <x v="1"/>
    <n v="2027"/>
    <n v="1"/>
    <x v="3"/>
    <s v="Male"/>
    <n v="1"/>
    <x v="0"/>
    <x v="1"/>
    <n v="4787"/>
    <n v="26124"/>
    <n v="9"/>
    <x v="0"/>
    <n v="3"/>
    <n v="2"/>
    <n v="80"/>
    <n v="4"/>
    <x v="1"/>
    <x v="3"/>
    <n v="2"/>
    <x v="3"/>
    <n v="2"/>
    <n v="2"/>
  </r>
  <r>
    <n v="42"/>
    <x v="0"/>
    <x v="1"/>
    <s v="Travel_Rarely"/>
    <x v="1"/>
    <s v="Life Sciences"/>
    <x v="5"/>
    <n v="2031"/>
    <n v="2"/>
    <x v="3"/>
    <s v="Male"/>
    <n v="5"/>
    <x v="2"/>
    <x v="1"/>
    <n v="18880"/>
    <n v="17312"/>
    <n v="5"/>
    <x v="1"/>
    <n v="3"/>
    <n v="1"/>
    <n v="80"/>
    <n v="24"/>
    <x v="2"/>
    <x v="2"/>
    <n v="22"/>
    <x v="8"/>
    <n v="4"/>
    <n v="14"/>
  </r>
  <r>
    <n v="56"/>
    <x v="3"/>
    <x v="0"/>
    <s v="Travel_Rarely"/>
    <x v="1"/>
    <s v="Technical Degree"/>
    <x v="2"/>
    <n v="2032"/>
    <n v="7"/>
    <x v="2"/>
    <s v="Male"/>
    <n v="1"/>
    <x v="2"/>
    <x v="1"/>
    <n v="2339"/>
    <n v="3666"/>
    <n v="8"/>
    <x v="1"/>
    <n v="3"/>
    <n v="4"/>
    <n v="80"/>
    <n v="14"/>
    <x v="5"/>
    <x v="0"/>
    <n v="10"/>
    <x v="5"/>
    <n v="9"/>
    <n v="8"/>
  </r>
  <r>
    <n v="41"/>
    <x v="0"/>
    <x v="1"/>
    <s v="Travel_Rarely"/>
    <x v="1"/>
    <s v="Life Sciences"/>
    <x v="3"/>
    <n v="2034"/>
    <n v="28"/>
    <x v="3"/>
    <s v="Female"/>
    <n v="4"/>
    <x v="1"/>
    <x v="1"/>
    <n v="13570"/>
    <n v="5640"/>
    <n v="0"/>
    <x v="1"/>
    <n v="4"/>
    <n v="3"/>
    <n v="80"/>
    <n v="21"/>
    <x v="1"/>
    <x v="1"/>
    <n v="20"/>
    <x v="1"/>
    <n v="0"/>
    <n v="10"/>
  </r>
  <r>
    <n v="34"/>
    <x v="1"/>
    <x v="1"/>
    <s v="Travel_Rarely"/>
    <x v="0"/>
    <s v="Marketing"/>
    <x v="0"/>
    <n v="2035"/>
    <n v="28"/>
    <x v="2"/>
    <s v="Female"/>
    <n v="2"/>
    <x v="2"/>
    <x v="1"/>
    <n v="6712"/>
    <n v="8978"/>
    <n v="1"/>
    <x v="1"/>
    <n v="4"/>
    <n v="4"/>
    <n v="80"/>
    <n v="8"/>
    <x v="2"/>
    <x v="1"/>
    <n v="8"/>
    <x v="1"/>
    <n v="1"/>
    <n v="7"/>
  </r>
  <r>
    <n v="36"/>
    <x v="1"/>
    <x v="1"/>
    <s v="Non-Travel"/>
    <x v="0"/>
    <s v="Marketing"/>
    <x v="0"/>
    <n v="2036"/>
    <n v="15"/>
    <x v="2"/>
    <s v="Male"/>
    <n v="2"/>
    <x v="0"/>
    <x v="2"/>
    <n v="5406"/>
    <n v="10436"/>
    <n v="1"/>
    <x v="1"/>
    <n v="4"/>
    <n v="1"/>
    <n v="80"/>
    <n v="15"/>
    <x v="5"/>
    <x v="2"/>
    <n v="15"/>
    <x v="16"/>
    <n v="11"/>
    <n v="11"/>
  </r>
  <r>
    <n v="41"/>
    <x v="0"/>
    <x v="1"/>
    <s v="Travel_Rarely"/>
    <x v="0"/>
    <s v="Life Sciences"/>
    <x v="0"/>
    <n v="2037"/>
    <n v="3"/>
    <x v="1"/>
    <s v="Male"/>
    <n v="2"/>
    <x v="1"/>
    <x v="2"/>
    <n v="8938"/>
    <n v="12227"/>
    <n v="2"/>
    <x v="1"/>
    <n v="3"/>
    <n v="3"/>
    <n v="80"/>
    <n v="14"/>
    <x v="3"/>
    <x v="1"/>
    <n v="5"/>
    <x v="0"/>
    <n v="0"/>
    <n v="4"/>
  </r>
  <r>
    <n v="32"/>
    <x v="1"/>
    <x v="1"/>
    <s v="Travel_Rarely"/>
    <x v="1"/>
    <s v="Technical Degree"/>
    <x v="1"/>
    <n v="2038"/>
    <n v="2"/>
    <x v="2"/>
    <s v="Male"/>
    <n v="1"/>
    <x v="3"/>
    <x v="0"/>
    <n v="2439"/>
    <n v="11288"/>
    <n v="1"/>
    <x v="1"/>
    <n v="3"/>
    <n v="4"/>
    <n v="80"/>
    <n v="4"/>
    <x v="5"/>
    <x v="1"/>
    <n v="4"/>
    <x v="3"/>
    <n v="1"/>
    <n v="2"/>
  </r>
  <r>
    <n v="35"/>
    <x v="1"/>
    <x v="1"/>
    <s v="Travel_Rarely"/>
    <x v="2"/>
    <s v="Life Sciences"/>
    <x v="8"/>
    <n v="2040"/>
    <n v="26"/>
    <x v="1"/>
    <s v="Female"/>
    <n v="3"/>
    <x v="0"/>
    <x v="0"/>
    <n v="8837"/>
    <n v="16642"/>
    <n v="1"/>
    <x v="0"/>
    <n v="3"/>
    <n v="3"/>
    <n v="80"/>
    <n v="9"/>
    <x v="2"/>
    <x v="1"/>
    <n v="9"/>
    <x v="2"/>
    <n v="1"/>
    <n v="7"/>
  </r>
  <r>
    <n v="38"/>
    <x v="1"/>
    <x v="1"/>
    <s v="Travel_Rarely"/>
    <x v="0"/>
    <s v="Life Sciences"/>
    <x v="0"/>
    <n v="2041"/>
    <n v="10"/>
    <x v="3"/>
    <s v="Female"/>
    <n v="2"/>
    <x v="0"/>
    <x v="1"/>
    <n v="5343"/>
    <n v="5982"/>
    <n v="1"/>
    <x v="1"/>
    <n v="3"/>
    <n v="3"/>
    <n v="80"/>
    <n v="10"/>
    <x v="4"/>
    <x v="1"/>
    <n v="10"/>
    <x v="1"/>
    <n v="1"/>
    <n v="9"/>
  </r>
  <r>
    <n v="50"/>
    <x v="0"/>
    <x v="0"/>
    <s v="Travel_Frequently"/>
    <x v="0"/>
    <s v="Life Sciences"/>
    <x v="0"/>
    <n v="2044"/>
    <n v="1"/>
    <x v="0"/>
    <s v="Male"/>
    <n v="2"/>
    <x v="2"/>
    <x v="2"/>
    <n v="6728"/>
    <n v="14255"/>
    <n v="7"/>
    <x v="1"/>
    <n v="3"/>
    <n v="4"/>
    <n v="80"/>
    <n v="12"/>
    <x v="1"/>
    <x v="1"/>
    <n v="6"/>
    <x v="7"/>
    <n v="0"/>
    <n v="1"/>
  </r>
  <r>
    <n v="36"/>
    <x v="1"/>
    <x v="1"/>
    <s v="Travel_Rarely"/>
    <x v="0"/>
    <s v="Marketing"/>
    <x v="0"/>
    <n v="2045"/>
    <n v="11"/>
    <x v="0"/>
    <s v="Female"/>
    <n v="2"/>
    <x v="0"/>
    <x v="1"/>
    <n v="6652"/>
    <n v="14369"/>
    <n v="4"/>
    <x v="1"/>
    <n v="3"/>
    <n v="1"/>
    <n v="80"/>
    <n v="8"/>
    <x v="2"/>
    <x v="2"/>
    <n v="6"/>
    <x v="7"/>
    <n v="0"/>
    <n v="0"/>
  </r>
  <r>
    <n v="45"/>
    <x v="0"/>
    <x v="1"/>
    <s v="Travel_Rarely"/>
    <x v="0"/>
    <s v="Life Sciences"/>
    <x v="0"/>
    <n v="2046"/>
    <n v="20"/>
    <x v="2"/>
    <s v="Female"/>
    <n v="2"/>
    <x v="2"/>
    <x v="0"/>
    <n v="4850"/>
    <n v="23333"/>
    <n v="8"/>
    <x v="1"/>
    <n v="3"/>
    <n v="3"/>
    <n v="80"/>
    <n v="8"/>
    <x v="1"/>
    <x v="1"/>
    <n v="5"/>
    <x v="7"/>
    <n v="0"/>
    <n v="1"/>
  </r>
  <r>
    <n v="40"/>
    <x v="1"/>
    <x v="1"/>
    <s v="Travel_Rarely"/>
    <x v="1"/>
    <s v="Life Sciences"/>
    <x v="1"/>
    <n v="2048"/>
    <n v="2"/>
    <x v="1"/>
    <s v="Male"/>
    <n v="1"/>
    <x v="2"/>
    <x v="0"/>
    <n v="2809"/>
    <n v="2725"/>
    <n v="2"/>
    <x v="1"/>
    <n v="3"/>
    <n v="4"/>
    <n v="80"/>
    <n v="8"/>
    <x v="2"/>
    <x v="1"/>
    <n v="2"/>
    <x v="3"/>
    <n v="2"/>
    <n v="2"/>
  </r>
  <r>
    <n v="35"/>
    <x v="1"/>
    <x v="1"/>
    <s v="Travel_Frequently"/>
    <x v="1"/>
    <s v="Life Sciences"/>
    <x v="4"/>
    <n v="2049"/>
    <n v="18"/>
    <x v="1"/>
    <s v="Male"/>
    <n v="2"/>
    <x v="2"/>
    <x v="1"/>
    <n v="5689"/>
    <n v="24594"/>
    <n v="1"/>
    <x v="0"/>
    <n v="3"/>
    <n v="4"/>
    <n v="80"/>
    <n v="10"/>
    <x v="2"/>
    <x v="3"/>
    <n v="10"/>
    <x v="3"/>
    <n v="0"/>
    <n v="2"/>
  </r>
  <r>
    <n v="40"/>
    <x v="1"/>
    <x v="1"/>
    <s v="Travel_Rarely"/>
    <x v="1"/>
    <s v="Medical"/>
    <x v="1"/>
    <n v="2051"/>
    <n v="2"/>
    <x v="1"/>
    <s v="Female"/>
    <n v="1"/>
    <x v="2"/>
    <x v="1"/>
    <n v="2001"/>
    <n v="12549"/>
    <n v="2"/>
    <x v="1"/>
    <n v="3"/>
    <n v="2"/>
    <n v="80"/>
    <n v="20"/>
    <x v="2"/>
    <x v="1"/>
    <n v="5"/>
    <x v="7"/>
    <n v="0"/>
    <n v="2"/>
  </r>
  <r>
    <n v="35"/>
    <x v="1"/>
    <x v="1"/>
    <s v="Travel_Rarely"/>
    <x v="1"/>
    <s v="Life Sciences"/>
    <x v="1"/>
    <n v="2052"/>
    <n v="1"/>
    <x v="1"/>
    <s v="Female"/>
    <n v="1"/>
    <x v="0"/>
    <x v="1"/>
    <n v="2977"/>
    <n v="8952"/>
    <n v="1"/>
    <x v="1"/>
    <n v="3"/>
    <n v="4"/>
    <n v="80"/>
    <n v="4"/>
    <x v="3"/>
    <x v="1"/>
    <n v="4"/>
    <x v="7"/>
    <n v="1"/>
    <n v="1"/>
  </r>
  <r>
    <n v="29"/>
    <x v="2"/>
    <x v="1"/>
    <s v="Travel_Rarely"/>
    <x v="1"/>
    <s v="Other"/>
    <x v="2"/>
    <n v="2053"/>
    <n v="13"/>
    <x v="2"/>
    <s v="Male"/>
    <n v="2"/>
    <x v="1"/>
    <x v="1"/>
    <n v="4025"/>
    <n v="23679"/>
    <n v="4"/>
    <x v="0"/>
    <n v="3"/>
    <n v="1"/>
    <n v="80"/>
    <n v="10"/>
    <x v="2"/>
    <x v="1"/>
    <n v="4"/>
    <x v="7"/>
    <n v="0"/>
    <n v="3"/>
  </r>
  <r>
    <n v="29"/>
    <x v="2"/>
    <x v="1"/>
    <s v="Travel_Rarely"/>
    <x v="1"/>
    <s v="Medical"/>
    <x v="1"/>
    <n v="2054"/>
    <n v="28"/>
    <x v="2"/>
    <s v="Female"/>
    <n v="1"/>
    <x v="3"/>
    <x v="0"/>
    <n v="3785"/>
    <n v="8489"/>
    <n v="1"/>
    <x v="1"/>
    <n v="3"/>
    <n v="2"/>
    <n v="80"/>
    <n v="5"/>
    <x v="1"/>
    <x v="0"/>
    <n v="5"/>
    <x v="0"/>
    <n v="0"/>
    <n v="4"/>
  </r>
  <r>
    <n v="50"/>
    <x v="0"/>
    <x v="0"/>
    <s v="Travel_Rarely"/>
    <x v="0"/>
    <s v="Marketing"/>
    <x v="0"/>
    <n v="2055"/>
    <n v="28"/>
    <x v="2"/>
    <s v="Male"/>
    <n v="3"/>
    <x v="3"/>
    <x v="2"/>
    <n v="10854"/>
    <n v="16586"/>
    <n v="4"/>
    <x v="0"/>
    <n v="3"/>
    <n v="2"/>
    <n v="80"/>
    <n v="20"/>
    <x v="1"/>
    <x v="1"/>
    <n v="3"/>
    <x v="3"/>
    <n v="2"/>
    <n v="0"/>
  </r>
  <r>
    <n v="39"/>
    <x v="1"/>
    <x v="1"/>
    <s v="Travel_Rarely"/>
    <x v="0"/>
    <s v="Marketing"/>
    <x v="0"/>
    <n v="2056"/>
    <n v="24"/>
    <x v="0"/>
    <s v="Female"/>
    <n v="4"/>
    <x v="0"/>
    <x v="1"/>
    <n v="12031"/>
    <n v="8828"/>
    <n v="0"/>
    <x v="1"/>
    <n v="3"/>
    <n v="1"/>
    <n v="80"/>
    <n v="21"/>
    <x v="2"/>
    <x v="2"/>
    <n v="20"/>
    <x v="5"/>
    <n v="9"/>
    <n v="6"/>
  </r>
  <r>
    <n v="31"/>
    <x v="1"/>
    <x v="1"/>
    <s v="Non-Travel"/>
    <x v="1"/>
    <s v="Medical"/>
    <x v="3"/>
    <n v="2057"/>
    <n v="5"/>
    <x v="0"/>
    <s v="Male"/>
    <n v="2"/>
    <x v="3"/>
    <x v="0"/>
    <n v="9936"/>
    <n v="3787"/>
    <n v="0"/>
    <x v="1"/>
    <n v="3"/>
    <n v="2"/>
    <n v="80"/>
    <n v="10"/>
    <x v="2"/>
    <x v="1"/>
    <n v="9"/>
    <x v="0"/>
    <n v="1"/>
    <n v="7"/>
  </r>
  <r>
    <n v="26"/>
    <x v="2"/>
    <x v="1"/>
    <s v="Travel_Rarely"/>
    <x v="0"/>
    <s v="Other"/>
    <x v="6"/>
    <n v="2060"/>
    <n v="5"/>
    <x v="2"/>
    <s v="Female"/>
    <n v="1"/>
    <x v="2"/>
    <x v="0"/>
    <n v="2966"/>
    <n v="21378"/>
    <n v="0"/>
    <x v="1"/>
    <n v="3"/>
    <n v="4"/>
    <n v="80"/>
    <n v="5"/>
    <x v="2"/>
    <x v="1"/>
    <n v="4"/>
    <x v="3"/>
    <n v="0"/>
    <n v="0"/>
  </r>
  <r>
    <n v="36"/>
    <x v="1"/>
    <x v="1"/>
    <s v="Travel_Frequently"/>
    <x v="1"/>
    <s v="Medical"/>
    <x v="2"/>
    <n v="2061"/>
    <n v="23"/>
    <x v="1"/>
    <s v="Male"/>
    <n v="2"/>
    <x v="0"/>
    <x v="1"/>
    <n v="2571"/>
    <n v="12290"/>
    <n v="4"/>
    <x v="1"/>
    <n v="3"/>
    <n v="3"/>
    <n v="80"/>
    <n v="17"/>
    <x v="1"/>
    <x v="1"/>
    <n v="5"/>
    <x v="3"/>
    <n v="0"/>
    <n v="3"/>
  </r>
  <r>
    <n v="39"/>
    <x v="1"/>
    <x v="1"/>
    <s v="Travel_Rarely"/>
    <x v="1"/>
    <s v="Medical"/>
    <x v="4"/>
    <n v="2062"/>
    <n v="6"/>
    <x v="2"/>
    <s v="Male"/>
    <n v="3"/>
    <x v="3"/>
    <x v="1"/>
    <n v="9991"/>
    <n v="21457"/>
    <n v="4"/>
    <x v="1"/>
    <n v="3"/>
    <n v="1"/>
    <n v="80"/>
    <n v="9"/>
    <x v="3"/>
    <x v="1"/>
    <n v="7"/>
    <x v="1"/>
    <n v="1"/>
    <n v="7"/>
  </r>
  <r>
    <n v="27"/>
    <x v="2"/>
    <x v="1"/>
    <s v="Travel_Rarely"/>
    <x v="1"/>
    <s v="Life Sciences"/>
    <x v="3"/>
    <n v="2064"/>
    <n v="4"/>
    <x v="0"/>
    <s v="Male"/>
    <n v="2"/>
    <x v="1"/>
    <x v="1"/>
    <n v="6142"/>
    <n v="5174"/>
    <n v="1"/>
    <x v="0"/>
    <n v="4"/>
    <n v="2"/>
    <n v="80"/>
    <n v="6"/>
    <x v="0"/>
    <x v="1"/>
    <n v="6"/>
    <x v="3"/>
    <n v="0"/>
    <n v="3"/>
  </r>
  <r>
    <n v="49"/>
    <x v="0"/>
    <x v="1"/>
    <s v="Travel_Frequently"/>
    <x v="0"/>
    <s v="Medical"/>
    <x v="0"/>
    <n v="2065"/>
    <n v="2"/>
    <x v="2"/>
    <s v="Male"/>
    <n v="2"/>
    <x v="1"/>
    <x v="1"/>
    <n v="5390"/>
    <n v="13243"/>
    <n v="2"/>
    <x v="1"/>
    <n v="3"/>
    <n v="4"/>
    <n v="80"/>
    <n v="17"/>
    <x v="1"/>
    <x v="2"/>
    <n v="9"/>
    <x v="8"/>
    <n v="0"/>
    <n v="8"/>
  </r>
  <r>
    <n v="34"/>
    <x v="1"/>
    <x v="1"/>
    <s v="Travel_Rarely"/>
    <x v="1"/>
    <s v="Medical"/>
    <x v="2"/>
    <n v="2068"/>
    <n v="8"/>
    <x v="0"/>
    <s v="Male"/>
    <n v="2"/>
    <x v="2"/>
    <x v="1"/>
    <n v="4404"/>
    <n v="10228"/>
    <n v="2"/>
    <x v="1"/>
    <n v="3"/>
    <n v="1"/>
    <n v="80"/>
    <n v="6"/>
    <x v="1"/>
    <x v="3"/>
    <n v="4"/>
    <x v="7"/>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4CCB0B-0FA0-46DD-B627-5039D22DD6F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F13:G17" firstHeaderRow="1" firstDataRow="2" firstDataCol="1"/>
  <pivotFields count="28">
    <pivotField numFmtId="1" showAll="0"/>
    <pivotField showAll="0"/>
    <pivotField axis="axisCol" dataField="1" showAll="0">
      <items count="3">
        <item h="1" x="1"/>
        <item x="0"/>
        <item t="default"/>
      </items>
    </pivotField>
    <pivotField showAll="0"/>
    <pivotField axis="axisRow" showAll="0">
      <items count="4">
        <item x="2"/>
        <item x="1"/>
        <item x="0"/>
        <item t="default"/>
      </items>
    </pivotField>
    <pivotField showAll="0"/>
    <pivotField showAll="0"/>
    <pivotField showAll="0"/>
    <pivotField numFmtId="1" showAll="0"/>
    <pivotField numFmtId="1" showAll="0">
      <items count="5">
        <item x="3"/>
        <item x="0"/>
        <item x="1"/>
        <item x="2"/>
        <item t="default"/>
      </items>
    </pivotField>
    <pivotField showAll="0"/>
    <pivotField numFmtId="1" showAll="0"/>
    <pivotField numFmtId="1" showAll="0"/>
    <pivotField showAll="0">
      <items count="4">
        <item x="2"/>
        <item x="1"/>
        <item x="0"/>
        <item t="default"/>
      </items>
    </pivotField>
    <pivotField numFmtId="1" showAll="0"/>
    <pivotField numFmtId="1" showAll="0"/>
    <pivotField numFmtId="1" showAll="0"/>
    <pivotField showAll="0">
      <items count="3">
        <item x="1"/>
        <item x="0"/>
        <item t="default"/>
      </items>
    </pivotField>
    <pivotField numFmtId="1" showAll="0"/>
    <pivotField numFmtId="1" showAll="0"/>
    <pivotField showAll="0"/>
    <pivotField numFmtId="1" showAll="0"/>
    <pivotField showAll="0">
      <items count="8">
        <item x="0"/>
        <item x="4"/>
        <item x="2"/>
        <item x="1"/>
        <item x="5"/>
        <item x="3"/>
        <item x="6"/>
        <item t="default"/>
      </items>
    </pivotField>
    <pivotField showAll="0">
      <items count="5">
        <item x="0"/>
        <item x="2"/>
        <item x="1"/>
        <item x="3"/>
        <item t="default"/>
      </items>
    </pivotField>
    <pivotField showAll="0"/>
    <pivotField showAll="0"/>
    <pivotField showAll="0"/>
    <pivotField showAll="0"/>
  </pivotFields>
  <rowFields count="1">
    <field x="4"/>
  </rowFields>
  <rowItems count="3">
    <i>
      <x/>
    </i>
    <i>
      <x v="1"/>
    </i>
    <i>
      <x v="2"/>
    </i>
  </rowItems>
  <colFields count="1">
    <field x="2"/>
  </colFields>
  <colItems count="1">
    <i>
      <x v="1"/>
    </i>
  </colItems>
  <dataFields count="1">
    <dataField name="Count of Attrition" fld="2" subtotal="count" showDataAs="percentOfCol" baseField="0" baseItem="0" numFmtId="9"/>
  </dataFields>
  <formats count="1">
    <format dxfId="26">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3FCDA5-AD2A-4F94-88DF-69FFD4CC426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45:B48" firstHeaderRow="1" firstDataRow="2" firstDataCol="1"/>
  <pivotFields count="28">
    <pivotField numFmtId="1" showAll="0"/>
    <pivotField showAll="0"/>
    <pivotField axis="axisCol" showAll="0">
      <items count="3">
        <item h="1" x="1"/>
        <item x="0"/>
        <item t="default"/>
      </items>
    </pivotField>
    <pivotField showAll="0"/>
    <pivotField showAll="0"/>
    <pivotField showAll="0"/>
    <pivotField showAll="0"/>
    <pivotField dataField="1" showAll="0"/>
    <pivotField numFmtId="1" showAll="0"/>
    <pivotField numFmtId="1" showAll="0">
      <items count="5">
        <item x="3"/>
        <item x="0"/>
        <item x="1"/>
        <item x="2"/>
        <item t="default"/>
      </items>
    </pivotField>
    <pivotField showAll="0"/>
    <pivotField numFmtId="1" showAll="0"/>
    <pivotField numFmtId="1" showAll="0"/>
    <pivotField showAll="0">
      <items count="4">
        <item x="2"/>
        <item x="1"/>
        <item x="0"/>
        <item t="default"/>
      </items>
    </pivotField>
    <pivotField numFmtId="1" showAll="0"/>
    <pivotField numFmtId="1" showAll="0"/>
    <pivotField numFmtId="1" showAll="0"/>
    <pivotField axis="axisRow" showAll="0">
      <items count="3">
        <item x="1"/>
        <item x="0"/>
        <item t="default"/>
      </items>
    </pivotField>
    <pivotField numFmtId="1" showAll="0"/>
    <pivotField numFmtId="1" showAll="0"/>
    <pivotField showAll="0"/>
    <pivotField numFmtId="1" showAll="0"/>
    <pivotField showAll="0">
      <items count="8">
        <item x="0"/>
        <item x="4"/>
        <item x="2"/>
        <item x="1"/>
        <item x="5"/>
        <item x="3"/>
        <item x="6"/>
        <item t="default"/>
      </items>
    </pivotField>
    <pivotField showAll="0">
      <items count="5">
        <item x="0"/>
        <item x="2"/>
        <item x="1"/>
        <item x="3"/>
        <item t="default"/>
      </items>
    </pivotField>
    <pivotField showAll="0"/>
    <pivotField showAll="0"/>
    <pivotField showAll="0"/>
    <pivotField showAll="0"/>
  </pivotFields>
  <rowFields count="1">
    <field x="17"/>
  </rowFields>
  <rowItems count="2">
    <i>
      <x/>
    </i>
    <i>
      <x v="1"/>
    </i>
  </rowItems>
  <colFields count="1">
    <field x="2"/>
  </colFields>
  <colItems count="1">
    <i>
      <x v="1"/>
    </i>
  </colItems>
  <dataFields count="1">
    <dataField name="Count of EmployeeNumber" fld="7" subtotal="count" showDataAs="percentOfTotal" baseField="0" baseItem="0" numFmtId="9"/>
  </dataFields>
  <formats count="1">
    <format dxfId="27">
      <pivotArea outline="0" collapsedLevelsAreSubtotals="1" fieldPosition="0"/>
    </format>
  </formats>
  <chartFormats count="4">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7" count="1" selected="0">
            <x v="1"/>
          </reference>
        </references>
      </pivotArea>
    </chartFormat>
    <chartFormat chart="12" format="6">
      <pivotArea type="data" outline="0" fieldPosition="0">
        <references count="2">
          <reference field="4294967294" count="1" selected="0">
            <x v="0"/>
          </reference>
          <reference field="17" count="1" selected="0">
            <x v="0"/>
          </reference>
        </references>
      </pivotArea>
    </chartFormat>
    <chartFormat chart="12"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6CDF25-080D-4B0A-9FBD-714213EC7916}"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9">
  <location ref="A52:F59" firstHeaderRow="1" firstDataRow="2" firstDataCol="1" rowPageCount="1" colPageCount="1"/>
  <pivotFields count="28">
    <pivotField numFmtId="1" showAll="0"/>
    <pivotField showAll="0"/>
    <pivotField axis="axisPage" showAll="0">
      <items count="3">
        <item x="1"/>
        <item x="0"/>
        <item t="default"/>
      </items>
    </pivotField>
    <pivotField showAll="0"/>
    <pivotField showAll="0"/>
    <pivotField showAll="0"/>
    <pivotField axis="axisCol" showAll="0" measureFilter="1">
      <items count="10">
        <item x="4"/>
        <item x="8"/>
        <item x="2"/>
        <item x="5"/>
        <item x="3"/>
        <item x="7"/>
        <item x="1"/>
        <item x="0"/>
        <item x="6"/>
        <item t="default"/>
      </items>
    </pivotField>
    <pivotField showAll="0"/>
    <pivotField numFmtId="1" showAll="0"/>
    <pivotField numFmtId="1" showAll="0">
      <items count="5">
        <item x="3"/>
        <item x="0"/>
        <item x="1"/>
        <item x="2"/>
        <item t="default"/>
      </items>
    </pivotField>
    <pivotField showAll="0"/>
    <pivotField numFmtId="1" showAll="0"/>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showAll="0"/>
    <pivotField numFmtId="1" showAll="0"/>
    <pivotField showAll="0">
      <items count="8">
        <item x="0"/>
        <item x="4"/>
        <item x="2"/>
        <item x="1"/>
        <item x="5"/>
        <item x="3"/>
        <item x="6"/>
        <item t="default"/>
      </items>
    </pivotField>
    <pivotField showAll="0"/>
    <pivotField showAll="0"/>
    <pivotField axis="axisRow" dataField="1" showAll="0">
      <items count="20">
        <item x="2"/>
        <item x="10"/>
        <item x="3"/>
        <item x="7"/>
        <item x="0"/>
        <item x="4"/>
        <item h="1" x="8"/>
        <item h="1" x="1"/>
        <item h="1" x="6"/>
        <item h="1" x="5"/>
        <item h="1" x="15"/>
        <item h="1" x="14"/>
        <item h="1" x="16"/>
        <item h="1" x="9"/>
        <item h="1" x="12"/>
        <item h="1" x="11"/>
        <item h="1" x="13"/>
        <item h="1" x="18"/>
        <item h="1" x="17"/>
        <item t="default"/>
      </items>
    </pivotField>
    <pivotField showAll="0"/>
    <pivotField showAll="0"/>
  </pivotFields>
  <rowFields count="1">
    <field x="25"/>
  </rowFields>
  <rowItems count="6">
    <i>
      <x/>
    </i>
    <i>
      <x v="1"/>
    </i>
    <i>
      <x v="2"/>
    </i>
    <i>
      <x v="3"/>
    </i>
    <i>
      <x v="4"/>
    </i>
    <i>
      <x v="5"/>
    </i>
  </rowItems>
  <colFields count="1">
    <field x="6"/>
  </colFields>
  <colItems count="5">
    <i>
      <x/>
    </i>
    <i>
      <x v="2"/>
    </i>
    <i>
      <x v="4"/>
    </i>
    <i>
      <x v="6"/>
    </i>
    <i>
      <x v="7"/>
    </i>
  </colItems>
  <pageFields count="1">
    <pageField fld="2" item="0" hier="-1"/>
  </pageFields>
  <dataFields count="1">
    <dataField name="Count of YearsInCurrentRole" fld="25" subtotal="count" showDataAs="percentOfRow" baseField="0" baseItem="0" numFmtId="9"/>
  </dataFields>
  <formats count="1">
    <format dxfId="28">
      <pivotArea outline="0" collapsedLevelsAreSubtotals="1" fieldPosition="0"/>
    </format>
  </formats>
  <chartFormats count="16">
    <chartFormat chart="4" format="24" series="1">
      <pivotArea type="data" outline="0" fieldPosition="0">
        <references count="2">
          <reference field="4294967294" count="1" selected="0">
            <x v="0"/>
          </reference>
          <reference field="6" count="1" selected="0">
            <x v="0"/>
          </reference>
        </references>
      </pivotArea>
    </chartFormat>
    <chartFormat chart="4" format="25" series="1">
      <pivotArea type="data" outline="0" fieldPosition="0">
        <references count="2">
          <reference field="4294967294" count="1" selected="0">
            <x v="0"/>
          </reference>
          <reference field="6" count="1" selected="0">
            <x v="1"/>
          </reference>
        </references>
      </pivotArea>
    </chartFormat>
    <chartFormat chart="4" format="26" series="1">
      <pivotArea type="data" outline="0" fieldPosition="0">
        <references count="2">
          <reference field="4294967294" count="1" selected="0">
            <x v="0"/>
          </reference>
          <reference field="6" count="1" selected="0">
            <x v="2"/>
          </reference>
        </references>
      </pivotArea>
    </chartFormat>
    <chartFormat chart="4" format="27" series="1">
      <pivotArea type="data" outline="0" fieldPosition="0">
        <references count="2">
          <reference field="4294967294" count="1" selected="0">
            <x v="0"/>
          </reference>
          <reference field="6" count="1" selected="0">
            <x v="3"/>
          </reference>
        </references>
      </pivotArea>
    </chartFormat>
    <chartFormat chart="4" format="28" series="1">
      <pivotArea type="data" outline="0" fieldPosition="0">
        <references count="2">
          <reference field="4294967294" count="1" selected="0">
            <x v="0"/>
          </reference>
          <reference field="6" count="1" selected="0">
            <x v="4"/>
          </reference>
        </references>
      </pivotArea>
    </chartFormat>
    <chartFormat chart="4" format="29" series="1">
      <pivotArea type="data" outline="0" fieldPosition="0">
        <references count="2">
          <reference field="4294967294" count="1" selected="0">
            <x v="0"/>
          </reference>
          <reference field="6" count="1" selected="0">
            <x v="5"/>
          </reference>
        </references>
      </pivotArea>
    </chartFormat>
    <chartFormat chart="4" format="30" series="1">
      <pivotArea type="data" outline="0" fieldPosition="0">
        <references count="2">
          <reference field="4294967294" count="1" selected="0">
            <x v="0"/>
          </reference>
          <reference field="6" count="1" selected="0">
            <x v="6"/>
          </reference>
        </references>
      </pivotArea>
    </chartFormat>
    <chartFormat chart="4" format="31" series="1">
      <pivotArea type="data" outline="0" fieldPosition="0">
        <references count="2">
          <reference field="4294967294" count="1" selected="0">
            <x v="0"/>
          </reference>
          <reference field="6" count="1" selected="0">
            <x v="7"/>
          </reference>
        </references>
      </pivotArea>
    </chartFormat>
    <chartFormat chart="4" format="32" series="1">
      <pivotArea type="data" outline="0" fieldPosition="0">
        <references count="2">
          <reference field="4294967294" count="1" selected="0">
            <x v="0"/>
          </reference>
          <reference field="6" count="1" selected="0">
            <x v="8"/>
          </reference>
        </references>
      </pivotArea>
    </chartFormat>
    <chartFormat chart="4" format="33" series="1">
      <pivotArea type="data" outline="0" fieldPosition="0">
        <references count="1">
          <reference field="4294967294" count="1" selected="0">
            <x v="0"/>
          </reference>
        </references>
      </pivotArea>
    </chartFormat>
    <chartFormat chart="4" format="34">
      <pivotArea type="data" outline="0" fieldPosition="0">
        <references count="3">
          <reference field="4294967294" count="1" selected="0">
            <x v="0"/>
          </reference>
          <reference field="6" count="1" selected="0">
            <x v="6"/>
          </reference>
          <reference field="25" count="1" selected="0">
            <x v="1"/>
          </reference>
        </references>
      </pivotArea>
    </chartFormat>
    <chartFormat chart="4" format="35">
      <pivotArea type="data" outline="0" fieldPosition="0">
        <references count="3">
          <reference field="4294967294" count="1" selected="0">
            <x v="0"/>
          </reference>
          <reference field="6" count="1" selected="0">
            <x v="6"/>
          </reference>
          <reference field="25" count="1" selected="0">
            <x v="2"/>
          </reference>
        </references>
      </pivotArea>
    </chartFormat>
    <chartFormat chart="4" format="36">
      <pivotArea type="data" outline="0" fieldPosition="0">
        <references count="3">
          <reference field="4294967294" count="1" selected="0">
            <x v="0"/>
          </reference>
          <reference field="6" count="1" selected="0">
            <x v="6"/>
          </reference>
          <reference field="25" count="1" selected="0">
            <x v="0"/>
          </reference>
        </references>
      </pivotArea>
    </chartFormat>
    <chartFormat chart="4" format="37">
      <pivotArea type="data" outline="0" fieldPosition="0">
        <references count="3">
          <reference field="4294967294" count="1" selected="0">
            <x v="0"/>
          </reference>
          <reference field="6" count="1" selected="0">
            <x v="6"/>
          </reference>
          <reference field="25" count="1" selected="0">
            <x v="3"/>
          </reference>
        </references>
      </pivotArea>
    </chartFormat>
    <chartFormat chart="4" format="38">
      <pivotArea type="data" outline="0" fieldPosition="0">
        <references count="3">
          <reference field="4294967294" count="1" selected="0">
            <x v="0"/>
          </reference>
          <reference field="6" count="1" selected="0">
            <x v="6"/>
          </reference>
          <reference field="25" count="1" selected="0">
            <x v="5"/>
          </reference>
        </references>
      </pivotArea>
    </chartFormat>
    <chartFormat chart="4" format="39">
      <pivotArea type="data" outline="0" fieldPosition="0">
        <references count="3">
          <reference field="4294967294" count="1" selected="0">
            <x v="0"/>
          </reference>
          <reference field="6" count="1" selected="0">
            <x v="6"/>
          </reference>
          <reference field="25" count="1" selected="0">
            <x v="4"/>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D03318-884F-4918-AF7D-59E467A2701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4:C39" firstHeaderRow="1" firstDataRow="2" firstDataCol="1"/>
  <pivotFields count="28">
    <pivotField numFmtId="1" showAll="0"/>
    <pivotField showAll="0"/>
    <pivotField axis="axisCol" showAll="0">
      <items count="3">
        <item x="1"/>
        <item x="0"/>
        <item t="default"/>
      </items>
    </pivotField>
    <pivotField showAll="0"/>
    <pivotField showAll="0"/>
    <pivotField showAll="0"/>
    <pivotField showAll="0"/>
    <pivotField showAll="0"/>
    <pivotField numFmtId="1" showAll="0"/>
    <pivotField numFmtId="1" showAll="0">
      <items count="5">
        <item x="3"/>
        <item x="0"/>
        <item x="1"/>
        <item x="2"/>
        <item t="default"/>
      </items>
    </pivotField>
    <pivotField showAll="0"/>
    <pivotField numFmtId="1" showAll="0"/>
    <pivotField axis="axisRow" dataField="1" numFmtId="1" showAll="0">
      <items count="5">
        <item x="3"/>
        <item x="1"/>
        <item x="2"/>
        <item x="0"/>
        <item t="default"/>
      </items>
    </pivotField>
    <pivotField showAll="0">
      <items count="4">
        <item x="2"/>
        <item x="1"/>
        <item x="0"/>
        <item t="default"/>
      </items>
    </pivotField>
    <pivotField numFmtId="1" showAll="0"/>
    <pivotField numFmtId="1" showAll="0"/>
    <pivotField numFmtId="1" showAll="0"/>
    <pivotField showAll="0">
      <items count="3">
        <item x="1"/>
        <item x="0"/>
        <item t="default"/>
      </items>
    </pivotField>
    <pivotField numFmtId="1" showAll="0"/>
    <pivotField numFmtId="1" showAll="0"/>
    <pivotField showAll="0"/>
    <pivotField numFmtId="1" showAll="0"/>
    <pivotField showAll="0">
      <items count="8">
        <item x="0"/>
        <item x="4"/>
        <item x="2"/>
        <item x="1"/>
        <item x="5"/>
        <item x="3"/>
        <item x="6"/>
        <item t="default"/>
      </items>
    </pivotField>
    <pivotField showAll="0">
      <items count="5">
        <item x="0"/>
        <item x="2"/>
        <item x="1"/>
        <item x="3"/>
        <item t="default"/>
      </items>
    </pivotField>
    <pivotField showAll="0"/>
    <pivotField showAll="0"/>
    <pivotField showAll="0"/>
    <pivotField showAll="0"/>
  </pivotFields>
  <rowFields count="1">
    <field x="12"/>
  </rowFields>
  <rowItems count="4">
    <i>
      <x/>
    </i>
    <i>
      <x v="1"/>
    </i>
    <i>
      <x v="2"/>
    </i>
    <i>
      <x v="3"/>
    </i>
  </rowItems>
  <colFields count="1">
    <field x="2"/>
  </colFields>
  <colItems count="2">
    <i>
      <x/>
    </i>
    <i>
      <x v="1"/>
    </i>
  </colItems>
  <dataFields count="1">
    <dataField name="Count of JobSatisfaction" fld="12" subtotal="count" showDataAs="percentOfRow" baseField="2" baseItem="0" numFmtId="9"/>
  </dataFields>
  <formats count="1">
    <format dxfId="29">
      <pivotArea outline="0" collapsedLevelsAreSubtotals="1" fieldPosition="0"/>
    </format>
  </formats>
  <chartFormats count="3">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43CAF1-1ECD-48BC-966F-92D0CAD27BD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C5" firstHeaderRow="0" firstDataRow="1" firstDataCol="1"/>
  <pivotFields count="28">
    <pivotField numFmtId="1" showAll="0"/>
    <pivotField showAll="0"/>
    <pivotField axis="axisRow" showAll="0">
      <items count="3">
        <item x="1"/>
        <item x="0"/>
        <item t="default"/>
      </items>
    </pivotField>
    <pivotField showAll="0"/>
    <pivotField showAll="0"/>
    <pivotField showAll="0"/>
    <pivotField showAll="0"/>
    <pivotField dataField="1" showAll="0"/>
    <pivotField numFmtId="1" showAll="0"/>
    <pivotField numFmtId="1" showAll="0">
      <items count="5">
        <item x="3"/>
        <item x="0"/>
        <item x="1"/>
        <item x="2"/>
        <item t="default"/>
      </items>
    </pivotField>
    <pivotField showAll="0"/>
    <pivotField numFmtId="1" showAll="0"/>
    <pivotField numFmtId="1" showAll="0"/>
    <pivotField showAll="0">
      <items count="4">
        <item x="2"/>
        <item x="1"/>
        <item x="0"/>
        <item t="default"/>
      </items>
    </pivotField>
    <pivotField dataField="1" numFmtId="1" showAll="0"/>
    <pivotField numFmtId="1" showAll="0"/>
    <pivotField numFmtId="1" showAll="0"/>
    <pivotField showAll="0">
      <items count="3">
        <item x="1"/>
        <item x="0"/>
        <item t="default"/>
      </items>
    </pivotField>
    <pivotField numFmtId="1" showAll="0"/>
    <pivotField numFmtId="1" showAll="0"/>
    <pivotField showAll="0"/>
    <pivotField numFmtId="1" showAll="0"/>
    <pivotField showAll="0">
      <items count="8">
        <item x="0"/>
        <item x="4"/>
        <item x="2"/>
        <item x="1"/>
        <item x="5"/>
        <item x="3"/>
        <item x="6"/>
        <item t="default"/>
      </items>
    </pivotField>
    <pivotField showAll="0">
      <items count="5">
        <item x="0"/>
        <item x="2"/>
        <item x="1"/>
        <item x="3"/>
        <item t="default"/>
      </items>
    </pivotField>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Count of EmployeeNumber" fld="7" subtotal="count" baseField="2" baseItem="0" numFmtId="165"/>
    <dataField name="Average of MonthlyIncome" fld="14" subtotal="average" baseField="2" baseItem="0" numFmtId="164"/>
  </dataFields>
  <formats count="4">
    <format dxfId="33">
      <pivotArea grandRow="1" outline="0" collapsedLevelsAreSubtotals="1" fieldPosition="0"/>
    </format>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1" selected="0">
            <x v="0"/>
          </reference>
        </references>
      </pivotArea>
    </format>
    <format dxfId="3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744782-06F4-4FCC-9CAC-1D68CFC2460A}"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2">
  <location ref="A21:C30" firstHeaderRow="0" firstDataRow="1" firstDataCol="1" rowPageCount="1" colPageCount="1"/>
  <pivotFields count="28">
    <pivotField numFmtId="1" showAll="0"/>
    <pivotField showAll="0"/>
    <pivotField axis="axisPage" showAll="0">
      <items count="3">
        <item x="1"/>
        <item x="0"/>
        <item t="default"/>
      </items>
    </pivotField>
    <pivotField showAll="0"/>
    <pivotField showAll="0"/>
    <pivotField showAll="0"/>
    <pivotField axis="axisRow" dataField="1" showAll="0">
      <items count="10">
        <item x="4"/>
        <item x="8"/>
        <item x="2"/>
        <item x="5"/>
        <item x="3"/>
        <item x="7"/>
        <item x="1"/>
        <item x="0"/>
        <item x="6"/>
        <item t="default"/>
      </items>
    </pivotField>
    <pivotField showAll="0"/>
    <pivotField numFmtId="1" showAll="0"/>
    <pivotField numFmtId="1" showAll="0">
      <items count="5">
        <item x="3"/>
        <item x="0"/>
        <item x="1"/>
        <item x="2"/>
        <item t="default"/>
      </items>
    </pivotField>
    <pivotField showAll="0"/>
    <pivotField numFmtId="1" showAll="0"/>
    <pivotField numFmtId="1" showAll="0"/>
    <pivotField showAll="0">
      <items count="4">
        <item x="2"/>
        <item x="1"/>
        <item x="0"/>
        <item t="default"/>
      </items>
    </pivotField>
    <pivotField dataField="1" numFmtId="1" showAll="0"/>
    <pivotField numFmtId="1" showAll="0"/>
    <pivotField numFmtId="1" showAll="0"/>
    <pivotField showAll="0">
      <items count="3">
        <item x="1"/>
        <item x="0"/>
        <item t="default"/>
      </items>
    </pivotField>
    <pivotField numFmtId="1" showAll="0"/>
    <pivotField numFmtId="1" showAll="0"/>
    <pivotField showAll="0"/>
    <pivotField numFmtId="1" showAll="0"/>
    <pivotField showAll="0">
      <items count="8">
        <item x="0"/>
        <item x="4"/>
        <item x="2"/>
        <item x="1"/>
        <item x="5"/>
        <item x="3"/>
        <item x="6"/>
        <item t="default"/>
      </items>
    </pivotField>
    <pivotField showAll="0">
      <items count="5">
        <item x="0"/>
        <item x="2"/>
        <item x="1"/>
        <item x="3"/>
        <item t="default"/>
      </items>
    </pivotField>
    <pivotField showAll="0"/>
    <pivotField showAll="0"/>
    <pivotField showAll="0"/>
    <pivotField showAll="0"/>
  </pivotFields>
  <rowFields count="1">
    <field x="6"/>
  </rowFields>
  <rowItems count="9">
    <i>
      <x/>
    </i>
    <i>
      <x v="1"/>
    </i>
    <i>
      <x v="2"/>
    </i>
    <i>
      <x v="3"/>
    </i>
    <i>
      <x v="4"/>
    </i>
    <i>
      <x v="5"/>
    </i>
    <i>
      <x v="6"/>
    </i>
    <i>
      <x v="7"/>
    </i>
    <i>
      <x v="8"/>
    </i>
  </rowItems>
  <colFields count="1">
    <field x="-2"/>
  </colFields>
  <colItems count="2">
    <i>
      <x/>
    </i>
    <i i="1">
      <x v="1"/>
    </i>
  </colItems>
  <pageFields count="1">
    <pageField fld="2" item="1" hier="-1"/>
  </pageFields>
  <dataFields count="2">
    <dataField name="Average of MonthlyIncome" fld="14" subtotal="average" baseField="0" baseItem="0" numFmtId="164"/>
    <dataField name="Count of JobRole" fld="6" subtotal="count" showDataAs="percentOfCol" baseField="0" baseItem="0" numFmtId="9"/>
  </dataFields>
  <formats count="4">
    <format dxfId="37">
      <pivotArea outline="0" collapsedLevelsAreSubtotals="1" fieldPosition="0"/>
    </format>
    <format dxfId="36">
      <pivotArea outline="0" collapsedLevelsAreSubtotals="1" fieldPosition="0">
        <references count="1">
          <reference field="4294967294" count="1" selected="0">
            <x v="0"/>
          </reference>
        </references>
      </pivotArea>
    </format>
    <format dxfId="35">
      <pivotArea outline="0" fieldPosition="0">
        <references count="1">
          <reference field="4294967294" count="1">
            <x v="1"/>
          </reference>
        </references>
      </pivotArea>
    </format>
    <format dxfId="34">
      <pivotArea outline="0" collapsedLevelsAreSubtotals="1" fieldPosition="0">
        <references count="1">
          <reference field="4294967294" count="1" selected="0">
            <x v="1"/>
          </reference>
        </references>
      </pivotArea>
    </format>
  </formats>
  <chartFormats count="11">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4" format="6">
      <pivotArea type="data" outline="0" fieldPosition="0">
        <references count="2">
          <reference field="4294967294" count="1" selected="0">
            <x v="1"/>
          </reference>
          <reference field="6" count="1" selected="0">
            <x v="1"/>
          </reference>
        </references>
      </pivotArea>
    </chartFormat>
    <chartFormat chart="24" format="7">
      <pivotArea type="data" outline="0" fieldPosition="0">
        <references count="2">
          <reference field="4294967294" count="1" selected="0">
            <x v="1"/>
          </reference>
          <reference field="6" count="1" selected="0">
            <x v="4"/>
          </reference>
        </references>
      </pivotArea>
    </chartFormat>
    <chartFormat chart="24" format="8">
      <pivotArea type="data" outline="0" fieldPosition="0">
        <references count="2">
          <reference field="4294967294" count="1" selected="0">
            <x v="1"/>
          </reference>
          <reference field="6" count="1" selected="0">
            <x v="8"/>
          </reference>
        </references>
      </pivotArea>
    </chartFormat>
    <chartFormat chart="24" format="9">
      <pivotArea type="data" outline="0" fieldPosition="0">
        <references count="2">
          <reference field="4294967294" count="1" selected="0">
            <x v="1"/>
          </reference>
          <reference field="6" count="1" selected="0">
            <x v="6"/>
          </reference>
        </references>
      </pivotArea>
    </chartFormat>
    <chartFormat chart="24" format="10">
      <pivotArea type="data" outline="0" fieldPosition="0">
        <references count="2">
          <reference field="4294967294" count="1" selected="0">
            <x v="1"/>
          </reference>
          <reference field="6" count="1" selected="0">
            <x v="2"/>
          </reference>
        </references>
      </pivotArea>
    </chartFormat>
    <chartFormat chart="24" format="11">
      <pivotArea type="data" outline="0" fieldPosition="0">
        <references count="2">
          <reference field="4294967294" count="1" selected="0">
            <x v="1"/>
          </reference>
          <reference field="6" count="1" selected="0">
            <x v="7"/>
          </reference>
        </references>
      </pivotArea>
    </chartFormat>
    <chartFormat chart="24" format="12">
      <pivotArea type="data" outline="0" fieldPosition="0">
        <references count="2">
          <reference field="4294967294" count="1" selected="0">
            <x v="1"/>
          </reference>
          <reference field="6" count="1" selected="0">
            <x v="0"/>
          </reference>
        </references>
      </pivotArea>
    </chartFormat>
    <chartFormat chart="24" format="13">
      <pivotArea type="data" outline="0" fieldPosition="0">
        <references count="2">
          <reference field="4294967294" count="1" selected="0">
            <x v="1"/>
          </reference>
          <reference field="6" count="1" selected="0">
            <x v="3"/>
          </reference>
        </references>
      </pivotArea>
    </chartFormat>
    <chartFormat chart="24" format="14">
      <pivotArea type="data" outline="0" fieldPosition="0">
        <references count="2">
          <reference field="4294967294" count="1" selected="0">
            <x v="1"/>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B83A25-4335-4C0F-8BBB-57957D127143}"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5">
  <location ref="A11:B17" firstHeaderRow="1" firstDataRow="2" firstDataCol="1"/>
  <pivotFields count="28">
    <pivotField numFmtId="1" showAll="0"/>
    <pivotField axis="axisRow" dataField="1" showAll="0">
      <items count="6">
        <item x="4"/>
        <item x="2"/>
        <item x="1"/>
        <item x="0"/>
        <item x="3"/>
        <item t="default"/>
      </items>
    </pivotField>
    <pivotField axis="axisCol" showAll="0">
      <items count="3">
        <item x="1"/>
        <item x="0"/>
        <item t="default"/>
      </items>
    </pivotField>
    <pivotField showAll="0"/>
    <pivotField showAll="0"/>
    <pivotField showAll="0"/>
    <pivotField showAll="0"/>
    <pivotField showAll="0"/>
    <pivotField numFmtId="1" showAll="0"/>
    <pivotField numFmtId="1" showAll="0">
      <items count="5">
        <item x="3"/>
        <item x="0"/>
        <item x="1"/>
        <item x="2"/>
        <item t="default"/>
      </items>
    </pivotField>
    <pivotField showAll="0"/>
    <pivotField numFmtId="1" showAll="0"/>
    <pivotField numFmtId="1" showAll="0"/>
    <pivotField showAll="0">
      <items count="4">
        <item x="2"/>
        <item x="1"/>
        <item x="0"/>
        <item t="default"/>
      </items>
    </pivotField>
    <pivotField numFmtId="1" showAll="0"/>
    <pivotField numFmtId="1" showAll="0"/>
    <pivotField numFmtId="1" showAll="0"/>
    <pivotField showAll="0">
      <items count="3">
        <item x="1"/>
        <item x="0"/>
        <item t="default"/>
      </items>
    </pivotField>
    <pivotField numFmtId="1" showAll="0"/>
    <pivotField numFmtId="1" showAll="0"/>
    <pivotField showAll="0"/>
    <pivotField numFmtId="1" showAll="0"/>
    <pivotField showAll="0">
      <items count="8">
        <item x="0"/>
        <item x="4"/>
        <item x="2"/>
        <item x="1"/>
        <item x="5"/>
        <item x="3"/>
        <item x="6"/>
        <item t="default"/>
      </items>
    </pivotField>
    <pivotField showAll="0">
      <items count="5">
        <item x="0"/>
        <item x="2"/>
        <item x="1"/>
        <item x="3"/>
        <item t="default"/>
      </items>
    </pivotField>
    <pivotField showAll="0"/>
    <pivotField showAll="0"/>
    <pivotField showAll="0"/>
    <pivotField showAll="0"/>
  </pivotFields>
  <rowFields count="1">
    <field x="1"/>
  </rowFields>
  <rowItems count="5">
    <i>
      <x/>
    </i>
    <i>
      <x v="1"/>
    </i>
    <i>
      <x v="2"/>
    </i>
    <i>
      <x v="3"/>
    </i>
    <i>
      <x v="4"/>
    </i>
  </rowItems>
  <colFields count="1">
    <field x="2"/>
  </colFields>
  <colItems count="1">
    <i>
      <x v="1"/>
    </i>
  </colItems>
  <dataFields count="1">
    <dataField name="Count of Age Groups" fld="1" subtotal="count" showDataAs="percentOfCol" baseField="0" baseItem="0" numFmtId="9"/>
  </dataFields>
  <formats count="1">
    <format dxfId="38">
      <pivotArea outline="0" collapsedLevelsAreSubtotals="1" fieldPosition="0"/>
    </format>
  </formats>
  <chartFormats count="29">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11" format="0" series="1">
      <pivotArea type="data" outline="0" fieldPosition="0">
        <references count="2">
          <reference field="4294967294" count="1" selected="0">
            <x v="0"/>
          </reference>
          <reference field="2"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 chart="11" format="2"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0"/>
          </reference>
          <reference field="1" count="1" selected="0">
            <x v="0"/>
          </reference>
        </references>
      </pivotArea>
    </chartFormat>
    <chartFormat chart="11" format="5">
      <pivotArea type="data" outline="0" fieldPosition="0">
        <references count="2">
          <reference field="4294967294" count="1" selected="0">
            <x v="0"/>
          </reference>
          <reference field="1" count="1" selected="0">
            <x v="2"/>
          </reference>
        </references>
      </pivotArea>
    </chartFormat>
    <chartFormat chart="11" format="6">
      <pivotArea type="data" outline="0" fieldPosition="0">
        <references count="2">
          <reference field="4294967294" count="1" selected="0">
            <x v="0"/>
          </reference>
          <reference field="1" count="1" selected="0">
            <x v="3"/>
          </reference>
        </references>
      </pivotArea>
    </chartFormat>
    <chartFormat chart="11" format="7">
      <pivotArea type="data" outline="0" fieldPosition="0">
        <references count="2">
          <reference field="4294967294" count="1" selected="0">
            <x v="0"/>
          </reference>
          <reference field="1" count="1" selected="0">
            <x v="4"/>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 count="1" selected="0">
            <x v="0"/>
          </reference>
        </references>
      </pivotArea>
    </chartFormat>
    <chartFormat chart="15" format="10">
      <pivotArea type="data" outline="0" fieldPosition="0">
        <references count="2">
          <reference field="4294967294" count="1" selected="0">
            <x v="0"/>
          </reference>
          <reference field="1" count="1" selected="0">
            <x v="1"/>
          </reference>
        </references>
      </pivotArea>
    </chartFormat>
    <chartFormat chart="15" format="11">
      <pivotArea type="data" outline="0" fieldPosition="0">
        <references count="2">
          <reference field="4294967294" count="1" selected="0">
            <x v="0"/>
          </reference>
          <reference field="1" count="1" selected="0">
            <x v="2"/>
          </reference>
        </references>
      </pivotArea>
    </chartFormat>
    <chartFormat chart="15" format="12">
      <pivotArea type="data" outline="0" fieldPosition="0">
        <references count="2">
          <reference field="4294967294" count="1" selected="0">
            <x v="0"/>
          </reference>
          <reference field="1" count="1" selected="0">
            <x v="3"/>
          </reference>
        </references>
      </pivotArea>
    </chartFormat>
    <chartFormat chart="15" format="13">
      <pivotArea type="data" outline="0" fieldPosition="0">
        <references count="2">
          <reference field="4294967294" count="1" selected="0">
            <x v="0"/>
          </reference>
          <reference field="1" count="1" selected="0">
            <x v="4"/>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1" count="1" selected="0">
            <x v="0"/>
          </reference>
        </references>
      </pivotArea>
    </chartFormat>
    <chartFormat chart="16" format="16">
      <pivotArea type="data" outline="0" fieldPosition="0">
        <references count="2">
          <reference field="4294967294" count="1" selected="0">
            <x v="0"/>
          </reference>
          <reference field="1" count="1" selected="0">
            <x v="1"/>
          </reference>
        </references>
      </pivotArea>
    </chartFormat>
    <chartFormat chart="16" format="17">
      <pivotArea type="data" outline="0" fieldPosition="0">
        <references count="2">
          <reference field="4294967294" count="1" selected="0">
            <x v="0"/>
          </reference>
          <reference field="1" count="1" selected="0">
            <x v="2"/>
          </reference>
        </references>
      </pivotArea>
    </chartFormat>
    <chartFormat chart="16" format="18">
      <pivotArea type="data" outline="0" fieldPosition="0">
        <references count="2">
          <reference field="4294967294" count="1" selected="0">
            <x v="0"/>
          </reference>
          <reference field="1" count="1" selected="0">
            <x v="3"/>
          </reference>
        </references>
      </pivotArea>
    </chartFormat>
    <chartFormat chart="16" format="19">
      <pivotArea type="data" outline="0" fieldPosition="0">
        <references count="2">
          <reference field="4294967294" count="1" selected="0">
            <x v="0"/>
          </reference>
          <reference field="1" count="1" selected="0">
            <x v="4"/>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1" count="1" selected="0">
            <x v="0"/>
          </reference>
        </references>
      </pivotArea>
    </chartFormat>
    <chartFormat chart="30" format="9">
      <pivotArea type="data" outline="0" fieldPosition="0">
        <references count="2">
          <reference field="4294967294" count="1" selected="0">
            <x v="0"/>
          </reference>
          <reference field="1" count="1" selected="0">
            <x v="1"/>
          </reference>
        </references>
      </pivotArea>
    </chartFormat>
    <chartFormat chart="30" format="10">
      <pivotArea type="data" outline="0" fieldPosition="0">
        <references count="2">
          <reference field="4294967294" count="1" selected="0">
            <x v="0"/>
          </reference>
          <reference field="1" count="1" selected="0">
            <x v="2"/>
          </reference>
        </references>
      </pivotArea>
    </chartFormat>
    <chartFormat chart="30" format="11">
      <pivotArea type="data" outline="0" fieldPosition="0">
        <references count="2">
          <reference field="4294967294" count="1" selected="0">
            <x v="0"/>
          </reference>
          <reference field="1" count="1" selected="0">
            <x v="3"/>
          </reference>
        </references>
      </pivotArea>
    </chartFormat>
    <chartFormat chart="30"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filters count="1">
    <filter fld="2" type="captionBeginsWith" evalOrder="-1" id="3" stringValue1="Yes">
      <autoFilter ref="A1">
        <filterColumn colId="0">
          <customFilters>
            <customFilter val="Yes*"/>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CFD3BF-F941-4841-888F-A1BAD522C7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7" firstHeaderRow="1" firstDataRow="1" firstDataCol="1"/>
  <pivotFields count="28">
    <pivotField numFmtId="1" showAll="0"/>
    <pivotField showAll="0"/>
    <pivotField showAll="0"/>
    <pivotField showAll="0"/>
    <pivotField showAll="0"/>
    <pivotField showAll="0"/>
    <pivotField showAll="0"/>
    <pivotField dataField="1" showAll="0"/>
    <pivotField numFmtId="1" showAll="0"/>
    <pivotField numFmtId="1" showAll="0"/>
    <pivotField showAll="0"/>
    <pivotField numFmtId="1" showAll="0"/>
    <pivotField axis="axisRow" numFmtId="1" showAll="0">
      <items count="5">
        <item x="3"/>
        <item x="1"/>
        <item x="2"/>
        <item x="0"/>
        <item t="default"/>
      </items>
    </pivotField>
    <pivotField showAll="0"/>
    <pivotField numFmtId="1" showAll="0"/>
    <pivotField numFmtId="1" showAll="0"/>
    <pivotField numFmtId="1" showAll="0"/>
    <pivotField showAll="0"/>
    <pivotField numFmtId="1" showAll="0"/>
    <pivotField numFmtId="1" showAll="0"/>
    <pivotField showAll="0"/>
    <pivotField numFmtId="1" showAll="0"/>
    <pivotField showAll="0"/>
    <pivotField showAll="0">
      <items count="5">
        <item x="0"/>
        <item x="2"/>
        <item x="1"/>
        <item x="3"/>
        <item t="default"/>
      </items>
    </pivotField>
    <pivotField showAll="0"/>
    <pivotField showAll="0"/>
    <pivotField showAll="0"/>
    <pivotField showAll="0"/>
  </pivotFields>
  <rowFields count="1">
    <field x="12"/>
  </rowFields>
  <rowItems count="5">
    <i>
      <x/>
    </i>
    <i>
      <x v="1"/>
    </i>
    <i>
      <x v="2"/>
    </i>
    <i>
      <x v="3"/>
    </i>
    <i t="grand">
      <x/>
    </i>
  </rowItems>
  <colItems count="1">
    <i/>
  </colItems>
  <dataFields count="1">
    <dataField name="Count of EmployeeNumber" fld="7"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Satisfaction" xr10:uid="{4D043B89-B632-45A7-8C28-E0B7043ECB42}" sourceName="EnvironmentSatisfaction">
  <pivotTables>
    <pivotTable tabId="3" name="PivotTable8"/>
    <pivotTable tabId="3" name="PivotTable1"/>
    <pivotTable tabId="3" name="PivotTable10"/>
    <pivotTable tabId="3" name="PivotTable2"/>
    <pivotTable tabId="3" name="PivotTable4"/>
    <pivotTable tabId="3" name="PivotTable5"/>
    <pivotTable tabId="3" name="PivotTable11"/>
  </pivotTables>
  <data>
    <tabular pivotCacheId="1361468459">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TimesLastYear" xr10:uid="{5F6BE571-0B5C-4907-B2A9-1125DA6F4A32}" sourceName="TrainingTimesLastYear">
  <pivotTables>
    <pivotTable tabId="3" name="PivotTable8"/>
    <pivotTable tabId="3" name="PivotTable1"/>
    <pivotTable tabId="3" name="PivotTable10"/>
    <pivotTable tabId="3" name="PivotTable2"/>
    <pivotTable tabId="3" name="PivotTable4"/>
    <pivotTable tabId="3" name="PivotTable5"/>
    <pivotTable tabId="3" name="PivotTable11"/>
  </pivotTables>
  <data>
    <tabular pivotCacheId="1361468459">
      <items count="7">
        <i x="0" s="1"/>
        <i x="4" s="1"/>
        <i x="2" s="1"/>
        <i x="1" s="1"/>
        <i x="5"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D5CF7024-33D9-43CC-AF6A-D90E01B03BBB}" sourceName="OverTime">
  <pivotTables>
    <pivotTable tabId="3" name="PivotTable4"/>
    <pivotTable tabId="3" name="PivotTable1"/>
    <pivotTable tabId="3" name="PivotTable10"/>
    <pivotTable tabId="3" name="PivotTable2"/>
    <pivotTable tabId="3" name="PivotTable5"/>
    <pivotTable tabId="3" name="PivotTable8"/>
    <pivotTable tabId="3" name="PivotTable11"/>
  </pivotTables>
  <data>
    <tabular pivotCacheId="136146845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vironmentSatisfaction" xr10:uid="{A13167FD-E823-4E4A-B171-C049EEA4BAFD}" cache="Slicer_EnvironmentSatisfaction" caption="EnvironmentSatisfaction" columnCount="4" rowHeight="180000"/>
  <slicer name="TrainingTimesLastYear" xr10:uid="{F130BA95-C064-4A08-98F0-4608B76A4EDC}" cache="Slicer_TrainingTimesLastYear" caption="TrainingTimesLastYear" columnCount="7" rowHeight="230716"/>
  <slicer name="OverTime" xr10:uid="{7DDDF5C9-B1AF-4908-85AC-220C5CA73F86}" cache="Slicer_OverTime" caption="OverTime" columnCoun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6509AA-6AC0-406A-A5A3-911BC41E6C54}" name="HR_table" displayName="HR_table" ref="A1:AB1471" totalsRowShown="0" headerRowDxfId="51">
  <autoFilter ref="A1:AB1471" xr:uid="{A04F803F-0003-40EA-B42B-7CDE38D27FB4}"/>
  <tableColumns count="28">
    <tableColumn id="1" xr3:uid="{FC22E467-852D-4B77-B374-5AEC9118A819}" name="Age" dataDxfId="50"/>
    <tableColumn id="4" xr3:uid="{E7A5C944-AD1D-4378-820F-05754D4091DF}" name="Age Groups" dataDxfId="49">
      <calculatedColumnFormula array="1">_xlfn.IFS(HR_table[[#This Row],[Age]]&lt;=20, "Under 20yrs",HR_table[[#This Row],[Age]]&lt;=30,"(21-30)yrs",HR_table[[#This Row],[Age]]&lt;=40,"(31-40)yrs",HR_table[[#This Row],[Age]]&lt;=50,"(41-50)yrs",HR_table[[#This Row],[Age]]&lt;=60,"(51-60)yrs")</calculatedColumnFormula>
    </tableColumn>
    <tableColumn id="2" xr3:uid="{599E43F7-7FA7-481A-AB06-C244CBFB35C9}" name="Attrition"/>
    <tableColumn id="3" xr3:uid="{911E781B-601A-4F45-84A7-AF94E8128710}" name="BusinessTravel"/>
    <tableColumn id="5" xr3:uid="{6055B82C-D905-4B2F-81DE-57CE4F448C8C}" name="Department"/>
    <tableColumn id="7" xr3:uid="{63FC0236-821A-4290-9847-E6C17D2637EA}" name="EducationField"/>
    <tableColumn id="13" xr3:uid="{2D55BD39-B454-43FE-926B-0E55F28DF092}" name="JobRole"/>
    <tableColumn id="10" xr3:uid="{1F40D1DD-9C35-4C51-962C-CEAC5E305C6F}" name="EmployeeNumber"/>
    <tableColumn id="6" xr3:uid="{2B07E882-0D48-4BF2-9335-3F7729C5F81F}" name="DistanceFromHome" dataDxfId="48"/>
    <tableColumn id="8" xr3:uid="{7CEC5C7F-A892-4B81-BC29-6570EDFB68C9}" name="EnvironmentSatisfaction" dataDxfId="47"/>
    <tableColumn id="9" xr3:uid="{B4E51DBF-BD7D-47CC-9907-9800F788CEFD}" name="Gender"/>
    <tableColumn id="12" xr3:uid="{F395B7ED-519D-40AF-9230-F4C2E5A5360B}" name="JobLevel" dataDxfId="46"/>
    <tableColumn id="14" xr3:uid="{C8DBC08C-A11E-4472-A718-48B83D3E1A8E}" name="JobSatisfaction" dataDxfId="45"/>
    <tableColumn id="15" xr3:uid="{B6C4DE0F-C0F2-4336-820B-C852C326D069}" name="MaritalStatus"/>
    <tableColumn id="16" xr3:uid="{2E48BAFA-5BD4-4CCB-BFB6-E2F8E1416E6C}" name="MonthlyIncome" dataDxfId="44"/>
    <tableColumn id="17" xr3:uid="{94CE54C4-E0ED-46FE-BAD4-58A0FC01D66F}" name="MonthlyRate" dataDxfId="43"/>
    <tableColumn id="18" xr3:uid="{91EC1ACF-EB42-4C6B-8BD4-C25E29B5D519}" name="NumCompaniesWorked" dataDxfId="42"/>
    <tableColumn id="19" xr3:uid="{83FE7A39-F4B4-49A0-BCEE-A56F998894F8}" name="OverTime"/>
    <tableColumn id="21" xr3:uid="{8AB1B8C4-8C0B-4E8E-ABF4-1FCF69CE9CAD}" name="PerformanceRating" dataDxfId="41"/>
    <tableColumn id="22" xr3:uid="{4FD8CACB-FC87-4CCA-ACC1-56DF4ED557BF}" name="RelationshipSatisfaction" dataDxfId="40"/>
    <tableColumn id="23" xr3:uid="{DFD14041-072C-4877-A212-324FB676274D}" name="StandardHours"/>
    <tableColumn id="24" xr3:uid="{8D36A8B2-A3A2-431D-827E-A40A1111324A}" name="TotalWorkingYears" dataDxfId="39"/>
    <tableColumn id="25" xr3:uid="{8AEE83AF-D4D8-4AAE-A037-2B08D24A50E1}" name="TrainingTimesLastYear"/>
    <tableColumn id="26" xr3:uid="{B384F9A8-6E80-4211-A0B1-0FDE9DE3EA1D}" name="WorkLifeBalance"/>
    <tableColumn id="27" xr3:uid="{82817316-66D1-4A15-9C2B-F00B93DBCD4A}" name="YearsAtCompany"/>
    <tableColumn id="28" xr3:uid="{EE8A9BB7-2DBF-482F-ADAC-05A62500F0C9}" name="YearsInCurrentRole"/>
    <tableColumn id="29" xr3:uid="{C0FC448C-B7C6-4F51-98C3-ABD6B2B87650}" name="YearsSinceLastPromotion"/>
    <tableColumn id="30" xr3:uid="{F27881C4-9AD6-4890-BA6D-8A354191B16D}" name="YearsWithCurrManager"/>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6-06-20T01:14:00.58" personId="{AAAF5B9D-F2FA-44D6-8DE7-43AB2328FADF}" id="{AE0DB5AC-81A2-43A4-AE53-A01216B816B3}">
    <text>Attrition Yes/No Count</text>
  </threadedComment>
  <threadedComment ref="F1" dT="2026-06-20T01:13:14.27" personId="{AAAF5B9D-F2FA-44D6-8DE7-43AB2328FADF}" id="{0B81E15E-DD9A-4236-81B4-4D48BE63AF1E}">
    <text xml:space="preserve">Job Satisfaction count
</text>
  </threadedComment>
  <threadedComment ref="C8" dT="2026-06-24T06:00:57.22" personId="{AAAF5B9D-F2FA-44D6-8DE7-43AB2328FADF}" id="{F091E525-EDF3-41D0-A539-0FDB33165514}">
    <text xml:space="preserve">Calculated Inter-quartile range because the data set has some outliers.
</text>
  </threadedComment>
  <threadedComment ref="B10" dT="2026-06-23T03:44:36.00" personId="{AAAF5B9D-F2FA-44D6-8DE7-43AB2328FADF}" id="{B213066B-9631-47F1-B89F-A27C68CD14C5}">
    <text xml:space="preserve">Different Age range Attrition
I used a Label filter, “ to filter and show data that falls under the “Yes” Attrition
</text>
  </threadedComment>
  <threadedComment ref="G12" dT="2026-06-23T05:05:08.86" personId="{AAAF5B9D-F2FA-44D6-8DE7-43AB2328FADF}" id="{218F79AB-C068-4DAA-9564-A3F90933637B}">
    <text xml:space="preserve">Departments with respect to attrition and filtered result for “Yes”
</text>
  </threadedComment>
  <threadedComment ref="A20" dT="2026-06-20T01:13:14.27" personId="{AAAF5B9D-F2FA-44D6-8DE7-43AB2328FADF}" id="{3F931918-7A11-44F1-8206-7170F411E256}">
    <text xml:space="preserve">In this analysis, 
I compared the different Job roles, Average Monthly Income and Attrition.
I filtered my result for “Yes” to attrition
When I filter it to “No”, It reflects the actual turnover
</text>
  </threadedComment>
  <threadedComment ref="C33" dT="2026-06-24T11:47:51.58" personId="{AAAF5B9D-F2FA-44D6-8DE7-43AB2328FADF}" id="{6EEA4F11-4A76-4CAF-9872-8723892F276C}">
    <text>Attrition with respect to Job Satisfaction.
Field values are calculated as”% of Row total” ie with respect to individual rating
From the “Pivot table options”, I unselected the totals</text>
  </threadedComment>
  <threadedComment ref="A44" dT="2026-06-24T13:56:33.23" personId="{AAAF5B9D-F2FA-44D6-8DE7-43AB2328FADF}" id="{570925F2-C19B-4467-B9CF-D1F34F231D59}">
    <text>Analysis of Attrition and Overtime.
I filtered for “Yes” Overtime before generating the column chat.
From Design ribbon ,
I added extra chat element “Trendline”</text>
  </threadedComment>
  <threadedComment ref="B51" dT="2026-06-27T06:29:47.90" personId="{AAAF5B9D-F2FA-44D6-8DE7-43AB2328FADF}" id="{4801515A-9B18-46AA-A067-73C8AD4607B4}">
    <text>Turnover for different Job roles for the last 5 years. (using number of years in the company)
Last 2 years has the highest %.
Field values are calculated as”% of Row total” ie with respect to each Year</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7/10/relationships/threadedComment" Target="../threadedComments/threadedComment1.xml"/><Relationship Id="rId5" Type="http://schemas.openxmlformats.org/officeDocument/2006/relationships/pivotTable" Target="../pivotTables/pivotTable5.xml"/><Relationship Id="rId10" Type="http://schemas.openxmlformats.org/officeDocument/2006/relationships/comments" Target="../comments1.xml"/><Relationship Id="rId4" Type="http://schemas.openxmlformats.org/officeDocument/2006/relationships/pivotTable" Target="../pivotTables/pivotTable4.xml"/><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326FA-9EDA-4D4A-A24F-FF4354BCA70B}">
  <dimension ref="A1:AI1471"/>
  <sheetViews>
    <sheetView topLeftCell="P1" workbookViewId="0">
      <selection activeCell="I23" sqref="I23"/>
    </sheetView>
  </sheetViews>
  <sheetFormatPr defaultRowHeight="14.5" x14ac:dyDescent="0.35"/>
  <cols>
    <col min="1" max="1" width="9.08984375" customWidth="1"/>
    <col min="3" max="3" width="15.08984375" bestFit="1" customWidth="1"/>
    <col min="4" max="4" width="8.54296875" bestFit="1" customWidth="1"/>
    <col min="5" max="5" width="21.36328125" bestFit="1" customWidth="1"/>
    <col min="6" max="6" width="17.6328125" bestFit="1" customWidth="1"/>
    <col min="7" max="7" width="9.26953125" bestFit="1" customWidth="1"/>
    <col min="8" max="8" width="15.6328125" bestFit="1" customWidth="1"/>
    <col min="9" max="9" width="14.1796875" bestFit="1" customWidth="1"/>
    <col min="10" max="10" width="15.81640625" bestFit="1" customWidth="1"/>
    <col min="11" max="11" width="21.81640625" bestFit="1" customWidth="1"/>
    <col min="12" max="12" width="6.90625" bestFit="1" customWidth="1"/>
    <col min="13" max="13" width="10.08984375" bestFit="1" customWidth="1"/>
    <col min="14" max="14" width="14" bestFit="1" customWidth="1"/>
    <col min="15" max="15" width="9.7265625" customWidth="1"/>
    <col min="16" max="16" width="22.6328125" bestFit="1" customWidth="1"/>
    <col min="17" max="17" width="13.7265625" bestFit="1" customWidth="1"/>
    <col min="18" max="18" width="12" bestFit="1" customWidth="1"/>
    <col min="19" max="19" width="13.90625" bestFit="1" customWidth="1"/>
    <col min="20" max="20" width="11.36328125" bestFit="1" customWidth="1"/>
    <col min="21" max="21" width="20.90625" bestFit="1" customWidth="1"/>
    <col min="22" max="22" width="6.6328125" bestFit="1" customWidth="1"/>
    <col min="23" max="23" width="8.7265625" bestFit="1" customWidth="1"/>
    <col min="24" max="24" width="16.36328125" bestFit="1" customWidth="1"/>
    <col min="25" max="25" width="17.08984375" bestFit="1" customWidth="1"/>
    <col min="26" max="26" width="21.81640625" bestFit="1" customWidth="1"/>
    <col min="27" max="27" width="13.453125" bestFit="1" customWidth="1"/>
    <col min="28" max="28" width="15.6328125" bestFit="1" customWidth="1"/>
    <col min="29" max="29" width="16.453125" bestFit="1" customWidth="1"/>
    <col min="30" max="30" width="19.90625" bestFit="1" customWidth="1"/>
    <col min="31" max="31" width="15" bestFit="1" customWidth="1"/>
    <col min="32" max="32" width="15.26953125" bestFit="1" customWidth="1"/>
    <col min="33" max="33" width="17.36328125" bestFit="1" customWidth="1"/>
    <col min="34" max="34" width="22.54296875" bestFit="1" customWidth="1"/>
    <col min="35" max="35" width="20.26953125" bestFit="1" customWidth="1"/>
  </cols>
  <sheetData>
    <row r="1" spans="1:35"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0B97-BDAE-4945-90FA-C94C10EEB3E2}">
  <dimension ref="A1:AE1471"/>
  <sheetViews>
    <sheetView topLeftCell="X1" workbookViewId="0">
      <selection activeCell="O2" sqref="O2:O1471"/>
    </sheetView>
  </sheetViews>
  <sheetFormatPr defaultRowHeight="14.5" x14ac:dyDescent="0.35"/>
  <cols>
    <col min="1" max="1" width="9.08984375" style="2" customWidth="1"/>
    <col min="2" max="2" width="12.453125" style="2" bestFit="1" customWidth="1"/>
    <col min="3" max="3" width="9.6328125" customWidth="1"/>
    <col min="5" max="5" width="21.36328125" bestFit="1" customWidth="1"/>
    <col min="6" max="6" width="15.6328125" customWidth="1"/>
    <col min="7" max="7" width="22.6328125" style="2" bestFit="1" customWidth="1"/>
    <col min="8" max="8" width="19.453125" style="2" customWidth="1"/>
    <col min="9" max="9" width="12.90625" customWidth="1"/>
    <col min="10" max="10" width="11.453125" style="2" customWidth="1"/>
    <col min="11" max="11" width="15.90625" style="2" customWidth="1"/>
    <col min="13" max="13" width="16.26953125" customWidth="1"/>
    <col min="14" max="14" width="15.6328125" style="2" customWidth="1"/>
    <col min="15" max="15" width="14" customWidth="1"/>
    <col min="16" max="16" width="15.81640625" style="2" customWidth="1"/>
    <col min="17" max="17" width="13.36328125" style="2" customWidth="1"/>
    <col min="18" max="18" width="22.7265625" style="2" customWidth="1"/>
    <col min="19" max="19" width="18.6328125" bestFit="1" customWidth="1"/>
    <col min="20" max="20" width="24.08984375" style="4" bestFit="1" customWidth="1"/>
    <col min="21" max="21" width="18.90625" style="2" customWidth="1"/>
    <col min="22" max="22" width="23.54296875" style="2" customWidth="1"/>
    <col min="23" max="23" width="15.36328125" customWidth="1"/>
    <col min="24" max="24" width="18.36328125" style="2" customWidth="1"/>
    <col min="25" max="25" width="21.7265625" customWidth="1"/>
    <col min="26" max="26" width="16.90625" customWidth="1"/>
    <col min="27" max="27" width="17.1796875" customWidth="1"/>
    <col min="28" max="28" width="22.54296875" bestFit="1" customWidth="1"/>
    <col min="29" max="30" width="24.26953125" customWidth="1"/>
    <col min="31" max="31" width="22.08984375" customWidth="1"/>
  </cols>
  <sheetData>
    <row r="1" spans="1:31" s="6" customFormat="1" x14ac:dyDescent="0.35">
      <c r="A1" s="5" t="s">
        <v>0</v>
      </c>
      <c r="B1" s="5" t="s">
        <v>68</v>
      </c>
      <c r="C1" s="6" t="s">
        <v>1</v>
      </c>
      <c r="D1" s="6" t="s">
        <v>2</v>
      </c>
      <c r="E1" s="6" t="s">
        <v>4</v>
      </c>
      <c r="F1" s="6" t="s">
        <v>7</v>
      </c>
      <c r="G1" s="6" t="s">
        <v>15</v>
      </c>
      <c r="H1" s="6" t="s">
        <v>9</v>
      </c>
      <c r="I1" s="5" t="s">
        <v>5</v>
      </c>
      <c r="J1" s="5" t="s">
        <v>10</v>
      </c>
      <c r="K1" s="6" t="s">
        <v>11</v>
      </c>
      <c r="L1" s="5" t="s">
        <v>14</v>
      </c>
      <c r="M1" s="5" t="s">
        <v>16</v>
      </c>
      <c r="N1" s="6" t="s">
        <v>17</v>
      </c>
      <c r="O1" s="5" t="s">
        <v>18</v>
      </c>
      <c r="P1" s="5" t="s">
        <v>19</v>
      </c>
      <c r="Q1" s="5" t="s">
        <v>20</v>
      </c>
      <c r="R1" s="6" t="s">
        <v>22</v>
      </c>
      <c r="S1" s="5" t="s">
        <v>24</v>
      </c>
      <c r="T1" s="5" t="s">
        <v>25</v>
      </c>
      <c r="U1" s="6" t="s">
        <v>26</v>
      </c>
      <c r="V1" s="5" t="s">
        <v>28</v>
      </c>
      <c r="W1" s="6" t="s">
        <v>29</v>
      </c>
      <c r="X1" s="6" t="s">
        <v>30</v>
      </c>
      <c r="Y1" s="6" t="s">
        <v>31</v>
      </c>
      <c r="Z1" s="6" t="s">
        <v>32</v>
      </c>
      <c r="AA1" s="6" t="s">
        <v>33</v>
      </c>
      <c r="AB1" s="6" t="s">
        <v>34</v>
      </c>
    </row>
    <row r="2" spans="1:31" x14ac:dyDescent="0.35">
      <c r="A2" s="2">
        <v>41</v>
      </c>
      <c r="B2" s="2" t="str" cm="1">
        <f t="array" ref="B2">_xlfn.IFS(HR_table[[#This Row],[Age]]&lt;=20, "Under 20yrs",HR_table[[#This Row],[Age]]&lt;=30,"(21-30)yrs",HR_table[[#This Row],[Age]]&lt;=40,"(31-40)yrs",HR_table[[#This Row],[Age]]&lt;=50,"(41-50)yrs",HR_table[[#This Row],[Age]]&lt;=60,"(51-60)yrs")</f>
        <v>(41-50)yrs</v>
      </c>
      <c r="C2" t="s">
        <v>35</v>
      </c>
      <c r="D2" t="s">
        <v>36</v>
      </c>
      <c r="E2" t="s">
        <v>37</v>
      </c>
      <c r="F2" t="s">
        <v>38</v>
      </c>
      <c r="G2" t="s">
        <v>40</v>
      </c>
      <c r="H2">
        <v>1</v>
      </c>
      <c r="I2" s="2">
        <v>1</v>
      </c>
      <c r="J2" s="2">
        <v>2</v>
      </c>
      <c r="K2" t="s">
        <v>39</v>
      </c>
      <c r="L2" s="2">
        <v>2</v>
      </c>
      <c r="M2" s="2">
        <v>4</v>
      </c>
      <c r="N2" t="s">
        <v>41</v>
      </c>
      <c r="O2" s="2">
        <v>5993</v>
      </c>
      <c r="P2" s="2">
        <v>19479</v>
      </c>
      <c r="Q2" s="2">
        <v>8</v>
      </c>
      <c r="R2" t="s">
        <v>35</v>
      </c>
      <c r="S2" s="2">
        <v>3</v>
      </c>
      <c r="T2" s="2">
        <v>1</v>
      </c>
      <c r="U2">
        <v>80</v>
      </c>
      <c r="V2" s="2">
        <v>8</v>
      </c>
      <c r="W2">
        <v>0</v>
      </c>
      <c r="X2">
        <v>1</v>
      </c>
      <c r="Y2">
        <v>6</v>
      </c>
      <c r="Z2">
        <v>4</v>
      </c>
      <c r="AA2">
        <v>0</v>
      </c>
      <c r="AB2">
        <v>5</v>
      </c>
    </row>
    <row r="3" spans="1:31" x14ac:dyDescent="0.35">
      <c r="A3" s="2">
        <v>49</v>
      </c>
      <c r="B3" s="2" t="str" cm="1">
        <f t="array" ref="B3">_xlfn.IFS(HR_table[[#This Row],[Age]]&lt;=20, "Under 20yrs",HR_table[[#This Row],[Age]]&lt;=30,"(21-30)yrs",HR_table[[#This Row],[Age]]&lt;=40,"(31-40)yrs",HR_table[[#This Row],[Age]]&lt;=50,"(41-50)yrs",HR_table[[#This Row],[Age]]&lt;=60,"(51-60)yrs")</f>
        <v>(41-50)yrs</v>
      </c>
      <c r="C3" t="s">
        <v>43</v>
      </c>
      <c r="D3" t="s">
        <v>44</v>
      </c>
      <c r="E3" t="s">
        <v>45</v>
      </c>
      <c r="F3" t="s">
        <v>38</v>
      </c>
      <c r="G3" t="s">
        <v>47</v>
      </c>
      <c r="H3">
        <v>2</v>
      </c>
      <c r="I3" s="2">
        <v>8</v>
      </c>
      <c r="J3" s="2">
        <v>3</v>
      </c>
      <c r="K3" t="s">
        <v>46</v>
      </c>
      <c r="L3" s="2">
        <v>2</v>
      </c>
      <c r="M3" s="2">
        <v>2</v>
      </c>
      <c r="N3" t="s">
        <v>48</v>
      </c>
      <c r="O3" s="2">
        <v>5130</v>
      </c>
      <c r="P3" s="2">
        <v>24907</v>
      </c>
      <c r="Q3" s="2">
        <v>1</v>
      </c>
      <c r="R3" t="s">
        <v>43</v>
      </c>
      <c r="S3" s="2">
        <v>4</v>
      </c>
      <c r="T3" s="2">
        <v>4</v>
      </c>
      <c r="U3">
        <v>80</v>
      </c>
      <c r="V3" s="2">
        <v>10</v>
      </c>
      <c r="W3">
        <v>3</v>
      </c>
      <c r="X3">
        <v>3</v>
      </c>
      <c r="Y3">
        <v>10</v>
      </c>
      <c r="Z3">
        <v>7</v>
      </c>
      <c r="AA3">
        <v>1</v>
      </c>
      <c r="AB3">
        <v>7</v>
      </c>
      <c r="AE3" t="s">
        <v>63</v>
      </c>
    </row>
    <row r="4" spans="1:31" x14ac:dyDescent="0.35">
      <c r="A4" s="2">
        <v>37</v>
      </c>
      <c r="B4" s="2" t="str" cm="1">
        <f t="array" ref="B4">_xlfn.IFS(HR_table[[#This Row],[Age]]&lt;=20, "Under 20yrs",HR_table[[#This Row],[Age]]&lt;=30,"(21-30)yrs",HR_table[[#This Row],[Age]]&lt;=40,"(31-40)yrs",HR_table[[#This Row],[Age]]&lt;=50,"(41-50)yrs",HR_table[[#This Row],[Age]]&lt;=60,"(51-60)yrs")</f>
        <v>(31-40)yrs</v>
      </c>
      <c r="C4" t="s">
        <v>35</v>
      </c>
      <c r="D4" t="s">
        <v>36</v>
      </c>
      <c r="E4" t="s">
        <v>45</v>
      </c>
      <c r="F4" t="s">
        <v>49</v>
      </c>
      <c r="G4" t="s">
        <v>50</v>
      </c>
      <c r="H4">
        <v>4</v>
      </c>
      <c r="I4" s="2">
        <v>2</v>
      </c>
      <c r="J4" s="2">
        <v>4</v>
      </c>
      <c r="K4" t="s">
        <v>46</v>
      </c>
      <c r="L4" s="2">
        <v>1</v>
      </c>
      <c r="M4" s="2">
        <v>3</v>
      </c>
      <c r="N4" t="s">
        <v>41</v>
      </c>
      <c r="O4" s="2">
        <v>2090</v>
      </c>
      <c r="P4" s="2">
        <v>2396</v>
      </c>
      <c r="Q4" s="2">
        <v>6</v>
      </c>
      <c r="R4" t="s">
        <v>35</v>
      </c>
      <c r="S4" s="2">
        <v>3</v>
      </c>
      <c r="T4" s="2">
        <v>2</v>
      </c>
      <c r="U4">
        <v>80</v>
      </c>
      <c r="V4" s="2">
        <v>7</v>
      </c>
      <c r="W4">
        <v>3</v>
      </c>
      <c r="X4">
        <v>3</v>
      </c>
      <c r="Y4">
        <v>0</v>
      </c>
      <c r="Z4">
        <v>0</v>
      </c>
      <c r="AA4">
        <v>0</v>
      </c>
      <c r="AB4">
        <v>0</v>
      </c>
    </row>
    <row r="5" spans="1:31" x14ac:dyDescent="0.35">
      <c r="A5" s="2">
        <v>33</v>
      </c>
      <c r="B5" s="2" t="str" cm="1">
        <f t="array" ref="B5">_xlfn.IFS(HR_table[[#This Row],[Age]]&lt;=20, "Under 20yrs",HR_table[[#This Row],[Age]]&lt;=30,"(21-30)yrs",HR_table[[#This Row],[Age]]&lt;=40,"(31-40)yrs",HR_table[[#This Row],[Age]]&lt;=50,"(41-50)yrs",HR_table[[#This Row],[Age]]&lt;=60,"(51-60)yrs")</f>
        <v>(31-40)yrs</v>
      </c>
      <c r="C5" t="s">
        <v>43</v>
      </c>
      <c r="D5" t="s">
        <v>44</v>
      </c>
      <c r="E5" t="s">
        <v>45</v>
      </c>
      <c r="F5" t="s">
        <v>38</v>
      </c>
      <c r="G5" t="s">
        <v>47</v>
      </c>
      <c r="H5">
        <v>5</v>
      </c>
      <c r="I5" s="2">
        <v>3</v>
      </c>
      <c r="J5" s="2">
        <v>4</v>
      </c>
      <c r="K5" t="s">
        <v>39</v>
      </c>
      <c r="L5" s="2">
        <v>1</v>
      </c>
      <c r="M5" s="2">
        <v>3</v>
      </c>
      <c r="N5" t="s">
        <v>48</v>
      </c>
      <c r="O5" s="2">
        <v>2909</v>
      </c>
      <c r="P5" s="2">
        <v>23159</v>
      </c>
      <c r="Q5" s="2">
        <v>1</v>
      </c>
      <c r="R5" t="s">
        <v>35</v>
      </c>
      <c r="S5" s="2">
        <v>3</v>
      </c>
      <c r="T5" s="2">
        <v>3</v>
      </c>
      <c r="U5">
        <v>80</v>
      </c>
      <c r="V5" s="2">
        <v>8</v>
      </c>
      <c r="W5">
        <v>3</v>
      </c>
      <c r="X5">
        <v>3</v>
      </c>
      <c r="Y5">
        <v>8</v>
      </c>
      <c r="Z5">
        <v>7</v>
      </c>
      <c r="AA5">
        <v>3</v>
      </c>
      <c r="AB5">
        <v>0</v>
      </c>
      <c r="AD5" t="s">
        <v>64</v>
      </c>
      <c r="AE5">
        <f>MIN(HR_table[[#All],[Age]])</f>
        <v>18</v>
      </c>
    </row>
    <row r="6" spans="1:31" x14ac:dyDescent="0.35">
      <c r="A6" s="2">
        <v>27</v>
      </c>
      <c r="B6" s="2" t="str" cm="1">
        <f t="array" ref="B6">_xlfn.IFS(HR_table[[#This Row],[Age]]&lt;=20, "Under 20yrs",HR_table[[#This Row],[Age]]&lt;=30,"(21-30)yrs",HR_table[[#This Row],[Age]]&lt;=40,"(31-40)yrs",HR_table[[#This Row],[Age]]&lt;=50,"(41-50)yrs",HR_table[[#This Row],[Age]]&lt;=60,"(51-60)yrs")</f>
        <v>(21-30)yrs</v>
      </c>
      <c r="C6" t="s">
        <v>43</v>
      </c>
      <c r="D6" t="s">
        <v>36</v>
      </c>
      <c r="E6" t="s">
        <v>45</v>
      </c>
      <c r="F6" t="s">
        <v>51</v>
      </c>
      <c r="G6" t="s">
        <v>50</v>
      </c>
      <c r="H6">
        <v>7</v>
      </c>
      <c r="I6" s="2">
        <v>2</v>
      </c>
      <c r="J6" s="2">
        <v>1</v>
      </c>
      <c r="K6" t="s">
        <v>46</v>
      </c>
      <c r="L6" s="2">
        <v>1</v>
      </c>
      <c r="M6" s="2">
        <v>2</v>
      </c>
      <c r="N6" t="s">
        <v>48</v>
      </c>
      <c r="O6" s="2">
        <v>3468</v>
      </c>
      <c r="P6" s="2">
        <v>16632</v>
      </c>
      <c r="Q6" s="2">
        <v>9</v>
      </c>
      <c r="R6" t="s">
        <v>43</v>
      </c>
      <c r="S6" s="2">
        <v>3</v>
      </c>
      <c r="T6" s="2">
        <v>4</v>
      </c>
      <c r="U6">
        <v>80</v>
      </c>
      <c r="V6" s="2">
        <v>6</v>
      </c>
      <c r="W6">
        <v>3</v>
      </c>
      <c r="X6">
        <v>3</v>
      </c>
      <c r="Y6">
        <v>2</v>
      </c>
      <c r="Z6">
        <v>2</v>
      </c>
      <c r="AA6">
        <v>2</v>
      </c>
      <c r="AB6">
        <v>2</v>
      </c>
      <c r="AD6" t="s">
        <v>65</v>
      </c>
      <c r="AE6">
        <f>MAX(HR_table[Age])</f>
        <v>60</v>
      </c>
    </row>
    <row r="7" spans="1:31" x14ac:dyDescent="0.35">
      <c r="A7" s="2">
        <v>32</v>
      </c>
      <c r="B7" s="2" t="str" cm="1">
        <f t="array" ref="B7">_xlfn.IFS(HR_table[[#This Row],[Age]]&lt;=20, "Under 20yrs",HR_table[[#This Row],[Age]]&lt;=30,"(21-30)yrs",HR_table[[#This Row],[Age]]&lt;=40,"(31-40)yrs",HR_table[[#This Row],[Age]]&lt;=50,"(41-50)yrs",HR_table[[#This Row],[Age]]&lt;=60,"(51-60)yrs")</f>
        <v>(31-40)yrs</v>
      </c>
      <c r="C7" t="s">
        <v>43</v>
      </c>
      <c r="D7" t="s">
        <v>44</v>
      </c>
      <c r="E7" t="s">
        <v>45</v>
      </c>
      <c r="F7" t="s">
        <v>38</v>
      </c>
      <c r="G7" t="s">
        <v>50</v>
      </c>
      <c r="H7">
        <v>8</v>
      </c>
      <c r="I7" s="2">
        <v>2</v>
      </c>
      <c r="J7" s="2">
        <v>4</v>
      </c>
      <c r="K7" t="s">
        <v>46</v>
      </c>
      <c r="L7" s="2">
        <v>1</v>
      </c>
      <c r="M7" s="2">
        <v>4</v>
      </c>
      <c r="N7" t="s">
        <v>41</v>
      </c>
      <c r="O7" s="2">
        <v>3068</v>
      </c>
      <c r="P7" s="2">
        <v>11864</v>
      </c>
      <c r="Q7" s="2">
        <v>0</v>
      </c>
      <c r="R7" t="s">
        <v>43</v>
      </c>
      <c r="S7" s="2">
        <v>3</v>
      </c>
      <c r="T7" s="2">
        <v>3</v>
      </c>
      <c r="U7">
        <v>80</v>
      </c>
      <c r="V7" s="2">
        <v>8</v>
      </c>
      <c r="W7">
        <v>2</v>
      </c>
      <c r="X7">
        <v>2</v>
      </c>
      <c r="Y7">
        <v>7</v>
      </c>
      <c r="Z7">
        <v>7</v>
      </c>
      <c r="AA7">
        <v>3</v>
      </c>
      <c r="AB7">
        <v>6</v>
      </c>
    </row>
    <row r="8" spans="1:31" x14ac:dyDescent="0.35">
      <c r="A8" s="2">
        <v>59</v>
      </c>
      <c r="B8" s="2" t="str" cm="1">
        <f t="array" ref="B8">_xlfn.IFS(HR_table[[#This Row],[Age]]&lt;=20, "Under 20yrs",HR_table[[#This Row],[Age]]&lt;=30,"(21-30)yrs",HR_table[[#This Row],[Age]]&lt;=40,"(31-40)yrs",HR_table[[#This Row],[Age]]&lt;=50,"(41-50)yrs",HR_table[[#This Row],[Age]]&lt;=60,"(51-60)yrs")</f>
        <v>(51-60)yrs</v>
      </c>
      <c r="C8" t="s">
        <v>43</v>
      </c>
      <c r="D8" t="s">
        <v>36</v>
      </c>
      <c r="E8" t="s">
        <v>45</v>
      </c>
      <c r="F8" t="s">
        <v>51</v>
      </c>
      <c r="G8" t="s">
        <v>50</v>
      </c>
      <c r="H8">
        <v>10</v>
      </c>
      <c r="I8" s="2">
        <v>3</v>
      </c>
      <c r="J8" s="2">
        <v>3</v>
      </c>
      <c r="K8" t="s">
        <v>39</v>
      </c>
      <c r="L8" s="2">
        <v>1</v>
      </c>
      <c r="M8" s="2">
        <v>1</v>
      </c>
      <c r="N8" t="s">
        <v>48</v>
      </c>
      <c r="O8" s="2">
        <v>2670</v>
      </c>
      <c r="P8" s="2">
        <v>9964</v>
      </c>
      <c r="Q8" s="2">
        <v>4</v>
      </c>
      <c r="R8" t="s">
        <v>35</v>
      </c>
      <c r="S8" s="2">
        <v>4</v>
      </c>
      <c r="T8" s="2">
        <v>1</v>
      </c>
      <c r="U8">
        <v>80</v>
      </c>
      <c r="V8" s="2">
        <v>12</v>
      </c>
      <c r="W8">
        <v>3</v>
      </c>
      <c r="X8">
        <v>2</v>
      </c>
      <c r="Y8">
        <v>1</v>
      </c>
      <c r="Z8">
        <v>0</v>
      </c>
      <c r="AA8">
        <v>0</v>
      </c>
      <c r="AB8">
        <v>0</v>
      </c>
      <c r="AD8" t="s">
        <v>66</v>
      </c>
      <c r="AE8">
        <f>(AE6-AE5)/4</f>
        <v>10.5</v>
      </c>
    </row>
    <row r="9" spans="1:31" x14ac:dyDescent="0.35">
      <c r="A9" s="2">
        <v>30</v>
      </c>
      <c r="B9" s="2" t="str" cm="1">
        <f t="array" ref="B9">_xlfn.IFS(HR_table[[#This Row],[Age]]&lt;=20, "Under 20yrs",HR_table[[#This Row],[Age]]&lt;=30,"(21-30)yrs",HR_table[[#This Row],[Age]]&lt;=40,"(31-40)yrs",HR_table[[#This Row],[Age]]&lt;=50,"(41-50)yrs",HR_table[[#This Row],[Age]]&lt;=60,"(51-60)yrs")</f>
        <v>(21-30)yrs</v>
      </c>
      <c r="C9" t="s">
        <v>43</v>
      </c>
      <c r="D9" t="s">
        <v>36</v>
      </c>
      <c r="E9" t="s">
        <v>45</v>
      </c>
      <c r="F9" t="s">
        <v>38</v>
      </c>
      <c r="G9" t="s">
        <v>50</v>
      </c>
      <c r="H9">
        <v>11</v>
      </c>
      <c r="I9" s="2">
        <v>24</v>
      </c>
      <c r="J9" s="2">
        <v>4</v>
      </c>
      <c r="K9" t="s">
        <v>46</v>
      </c>
      <c r="L9" s="2">
        <v>1</v>
      </c>
      <c r="M9" s="2">
        <v>3</v>
      </c>
      <c r="N9" t="s">
        <v>52</v>
      </c>
      <c r="O9" s="2">
        <v>2693</v>
      </c>
      <c r="P9" s="2">
        <v>13335</v>
      </c>
      <c r="Q9" s="2">
        <v>1</v>
      </c>
      <c r="R9" t="s">
        <v>43</v>
      </c>
      <c r="S9" s="2">
        <v>4</v>
      </c>
      <c r="T9" s="2">
        <v>2</v>
      </c>
      <c r="U9">
        <v>80</v>
      </c>
      <c r="V9" s="2">
        <v>1</v>
      </c>
      <c r="W9">
        <v>2</v>
      </c>
      <c r="X9">
        <v>3</v>
      </c>
      <c r="Y9">
        <v>1</v>
      </c>
      <c r="Z9">
        <v>0</v>
      </c>
      <c r="AA9">
        <v>0</v>
      </c>
      <c r="AB9">
        <v>0</v>
      </c>
    </row>
    <row r="10" spans="1:31" x14ac:dyDescent="0.35">
      <c r="A10" s="2">
        <v>38</v>
      </c>
      <c r="B10" s="2" t="str" cm="1">
        <f t="array" ref="B10">_xlfn.IFS(HR_table[[#This Row],[Age]]&lt;=20, "Under 20yrs",HR_table[[#This Row],[Age]]&lt;=30,"(21-30)yrs",HR_table[[#This Row],[Age]]&lt;=40,"(31-40)yrs",HR_table[[#This Row],[Age]]&lt;=50,"(41-50)yrs",HR_table[[#This Row],[Age]]&lt;=60,"(51-60)yrs")</f>
        <v>(31-40)yrs</v>
      </c>
      <c r="C10" t="s">
        <v>43</v>
      </c>
      <c r="D10" t="s">
        <v>44</v>
      </c>
      <c r="E10" t="s">
        <v>45</v>
      </c>
      <c r="F10" t="s">
        <v>38</v>
      </c>
      <c r="G10" t="s">
        <v>53</v>
      </c>
      <c r="H10">
        <v>12</v>
      </c>
      <c r="I10" s="2">
        <v>23</v>
      </c>
      <c r="J10" s="2">
        <v>4</v>
      </c>
      <c r="K10" t="s">
        <v>46</v>
      </c>
      <c r="L10" s="2">
        <v>3</v>
      </c>
      <c r="M10" s="2">
        <v>3</v>
      </c>
      <c r="N10" t="s">
        <v>41</v>
      </c>
      <c r="O10" s="2">
        <v>9526</v>
      </c>
      <c r="P10" s="2">
        <v>8787</v>
      </c>
      <c r="Q10" s="2">
        <v>0</v>
      </c>
      <c r="R10" t="s">
        <v>43</v>
      </c>
      <c r="S10" s="2">
        <v>4</v>
      </c>
      <c r="T10" s="2">
        <v>2</v>
      </c>
      <c r="U10">
        <v>80</v>
      </c>
      <c r="V10" s="2">
        <v>10</v>
      </c>
      <c r="W10">
        <v>2</v>
      </c>
      <c r="X10">
        <v>3</v>
      </c>
      <c r="Y10">
        <v>9</v>
      </c>
      <c r="Z10">
        <v>7</v>
      </c>
      <c r="AA10">
        <v>1</v>
      </c>
      <c r="AB10">
        <v>8</v>
      </c>
      <c r="AD10" t="s">
        <v>67</v>
      </c>
    </row>
    <row r="11" spans="1:31" x14ac:dyDescent="0.35">
      <c r="A11" s="2">
        <v>36</v>
      </c>
      <c r="B11" s="2" t="str" cm="1">
        <f t="array" ref="B11">_xlfn.IFS(HR_table[[#This Row],[Age]]&lt;=20, "Under 20yrs",HR_table[[#This Row],[Age]]&lt;=30,"(21-30)yrs",HR_table[[#This Row],[Age]]&lt;=40,"(31-40)yrs",HR_table[[#This Row],[Age]]&lt;=50,"(41-50)yrs",HR_table[[#This Row],[Age]]&lt;=60,"(51-60)yrs")</f>
        <v>(31-40)yrs</v>
      </c>
      <c r="C11" t="s">
        <v>43</v>
      </c>
      <c r="D11" t="s">
        <v>36</v>
      </c>
      <c r="E11" t="s">
        <v>45</v>
      </c>
      <c r="F11" t="s">
        <v>51</v>
      </c>
      <c r="G11" t="s">
        <v>54</v>
      </c>
      <c r="H11">
        <v>13</v>
      </c>
      <c r="I11" s="2">
        <v>27</v>
      </c>
      <c r="J11" s="2">
        <v>3</v>
      </c>
      <c r="K11" t="s">
        <v>46</v>
      </c>
      <c r="L11" s="2">
        <v>2</v>
      </c>
      <c r="M11" s="2">
        <v>3</v>
      </c>
      <c r="N11" t="s">
        <v>48</v>
      </c>
      <c r="O11" s="2">
        <v>5237</v>
      </c>
      <c r="P11" s="2">
        <v>16577</v>
      </c>
      <c r="Q11" s="2">
        <v>6</v>
      </c>
      <c r="R11" t="s">
        <v>43</v>
      </c>
      <c r="S11" s="2">
        <v>3</v>
      </c>
      <c r="T11" s="2">
        <v>2</v>
      </c>
      <c r="U11">
        <v>80</v>
      </c>
      <c r="V11" s="2">
        <v>17</v>
      </c>
      <c r="W11">
        <v>3</v>
      </c>
      <c r="X11">
        <v>2</v>
      </c>
      <c r="Y11">
        <v>7</v>
      </c>
      <c r="Z11">
        <v>7</v>
      </c>
      <c r="AA11">
        <v>7</v>
      </c>
      <c r="AB11">
        <v>7</v>
      </c>
    </row>
    <row r="12" spans="1:31" x14ac:dyDescent="0.35">
      <c r="A12" s="2">
        <v>35</v>
      </c>
      <c r="B12" s="2" t="str" cm="1">
        <f t="array" ref="B12">_xlfn.IFS(HR_table[[#This Row],[Age]]&lt;=20, "Under 20yrs",HR_table[[#This Row],[Age]]&lt;=30,"(21-30)yrs",HR_table[[#This Row],[Age]]&lt;=40,"(31-40)yrs",HR_table[[#This Row],[Age]]&lt;=50,"(41-50)yrs",HR_table[[#This Row],[Age]]&lt;=60,"(51-60)yrs")</f>
        <v>(31-40)yrs</v>
      </c>
      <c r="C12" t="s">
        <v>43</v>
      </c>
      <c r="D12" t="s">
        <v>36</v>
      </c>
      <c r="E12" t="s">
        <v>45</v>
      </c>
      <c r="F12" t="s">
        <v>51</v>
      </c>
      <c r="G12" t="s">
        <v>50</v>
      </c>
      <c r="H12">
        <v>14</v>
      </c>
      <c r="I12" s="2">
        <v>16</v>
      </c>
      <c r="J12" s="2">
        <v>1</v>
      </c>
      <c r="K12" t="s">
        <v>46</v>
      </c>
      <c r="L12" s="2">
        <v>1</v>
      </c>
      <c r="M12" s="2">
        <v>2</v>
      </c>
      <c r="N12" t="s">
        <v>48</v>
      </c>
      <c r="O12" s="2">
        <v>2426</v>
      </c>
      <c r="P12" s="2">
        <v>16479</v>
      </c>
      <c r="Q12" s="2">
        <v>0</v>
      </c>
      <c r="R12" t="s">
        <v>43</v>
      </c>
      <c r="S12" s="2">
        <v>3</v>
      </c>
      <c r="T12" s="2">
        <v>3</v>
      </c>
      <c r="U12">
        <v>80</v>
      </c>
      <c r="V12" s="2">
        <v>6</v>
      </c>
      <c r="W12">
        <v>5</v>
      </c>
      <c r="X12">
        <v>3</v>
      </c>
      <c r="Y12">
        <v>5</v>
      </c>
      <c r="Z12">
        <v>4</v>
      </c>
      <c r="AA12">
        <v>0</v>
      </c>
      <c r="AB12">
        <v>3</v>
      </c>
    </row>
    <row r="13" spans="1:31" x14ac:dyDescent="0.35">
      <c r="A13" s="2">
        <v>29</v>
      </c>
      <c r="B13" s="2" t="str" cm="1">
        <f t="array" ref="B13">_xlfn.IFS(HR_table[[#This Row],[Age]]&lt;=20, "Under 20yrs",HR_table[[#This Row],[Age]]&lt;=30,"(21-30)yrs",HR_table[[#This Row],[Age]]&lt;=40,"(31-40)yrs",HR_table[[#This Row],[Age]]&lt;=50,"(41-50)yrs",HR_table[[#This Row],[Age]]&lt;=60,"(51-60)yrs")</f>
        <v>(21-30)yrs</v>
      </c>
      <c r="C13" t="s">
        <v>43</v>
      </c>
      <c r="D13" t="s">
        <v>36</v>
      </c>
      <c r="E13" t="s">
        <v>45</v>
      </c>
      <c r="F13" t="s">
        <v>38</v>
      </c>
      <c r="G13" t="s">
        <v>50</v>
      </c>
      <c r="H13">
        <v>15</v>
      </c>
      <c r="I13" s="2">
        <v>15</v>
      </c>
      <c r="J13" s="2">
        <v>4</v>
      </c>
      <c r="K13" t="s">
        <v>39</v>
      </c>
      <c r="L13" s="2">
        <v>2</v>
      </c>
      <c r="M13" s="2">
        <v>3</v>
      </c>
      <c r="N13" t="s">
        <v>41</v>
      </c>
      <c r="O13" s="2">
        <v>4193</v>
      </c>
      <c r="P13" s="2">
        <v>12682</v>
      </c>
      <c r="Q13" s="2">
        <v>0</v>
      </c>
      <c r="R13" t="s">
        <v>35</v>
      </c>
      <c r="S13" s="2">
        <v>3</v>
      </c>
      <c r="T13" s="2">
        <v>4</v>
      </c>
      <c r="U13">
        <v>80</v>
      </c>
      <c r="V13" s="2">
        <v>10</v>
      </c>
      <c r="W13">
        <v>3</v>
      </c>
      <c r="X13">
        <v>3</v>
      </c>
      <c r="Y13">
        <v>9</v>
      </c>
      <c r="Z13">
        <v>5</v>
      </c>
      <c r="AA13">
        <v>0</v>
      </c>
      <c r="AB13">
        <v>8</v>
      </c>
    </row>
    <row r="14" spans="1:31" x14ac:dyDescent="0.35">
      <c r="A14" s="2">
        <v>31</v>
      </c>
      <c r="B14" s="2" t="str" cm="1">
        <f t="array" ref="B14">_xlfn.IFS(HR_table[[#This Row],[Age]]&lt;=20, "Under 20yrs",HR_table[[#This Row],[Age]]&lt;=30,"(21-30)yrs",HR_table[[#This Row],[Age]]&lt;=40,"(31-40)yrs",HR_table[[#This Row],[Age]]&lt;=50,"(41-50)yrs",HR_table[[#This Row],[Age]]&lt;=60,"(51-60)yrs")</f>
        <v>(31-40)yrs</v>
      </c>
      <c r="C14" t="s">
        <v>43</v>
      </c>
      <c r="D14" t="s">
        <v>36</v>
      </c>
      <c r="E14" t="s">
        <v>45</v>
      </c>
      <c r="F14" t="s">
        <v>38</v>
      </c>
      <c r="G14" t="s">
        <v>47</v>
      </c>
      <c r="H14">
        <v>16</v>
      </c>
      <c r="I14" s="2">
        <v>26</v>
      </c>
      <c r="J14" s="2">
        <v>1</v>
      </c>
      <c r="K14" t="s">
        <v>46</v>
      </c>
      <c r="L14" s="2">
        <v>1</v>
      </c>
      <c r="M14" s="2">
        <v>3</v>
      </c>
      <c r="N14" t="s">
        <v>52</v>
      </c>
      <c r="O14" s="2">
        <v>2911</v>
      </c>
      <c r="P14" s="2">
        <v>15170</v>
      </c>
      <c r="Q14" s="2">
        <v>1</v>
      </c>
      <c r="R14" t="s">
        <v>43</v>
      </c>
      <c r="S14" s="2">
        <v>3</v>
      </c>
      <c r="T14" s="2">
        <v>4</v>
      </c>
      <c r="U14">
        <v>80</v>
      </c>
      <c r="V14" s="2">
        <v>5</v>
      </c>
      <c r="W14">
        <v>1</v>
      </c>
      <c r="X14">
        <v>2</v>
      </c>
      <c r="Y14">
        <v>5</v>
      </c>
      <c r="Z14">
        <v>2</v>
      </c>
      <c r="AA14">
        <v>4</v>
      </c>
      <c r="AB14">
        <v>3</v>
      </c>
    </row>
    <row r="15" spans="1:31" x14ac:dyDescent="0.35">
      <c r="A15" s="2">
        <v>34</v>
      </c>
      <c r="B15" s="2" t="str" cm="1">
        <f t="array" ref="B15">_xlfn.IFS(HR_table[[#This Row],[Age]]&lt;=20, "Under 20yrs",HR_table[[#This Row],[Age]]&lt;=30,"(21-30)yrs",HR_table[[#This Row],[Age]]&lt;=40,"(31-40)yrs",HR_table[[#This Row],[Age]]&lt;=50,"(41-50)yrs",HR_table[[#This Row],[Age]]&lt;=60,"(51-60)yrs")</f>
        <v>(31-40)yrs</v>
      </c>
      <c r="C15" t="s">
        <v>43</v>
      </c>
      <c r="D15" t="s">
        <v>36</v>
      </c>
      <c r="E15" t="s">
        <v>45</v>
      </c>
      <c r="F15" t="s">
        <v>51</v>
      </c>
      <c r="G15" t="s">
        <v>50</v>
      </c>
      <c r="H15">
        <v>18</v>
      </c>
      <c r="I15" s="2">
        <v>19</v>
      </c>
      <c r="J15" s="2">
        <v>2</v>
      </c>
      <c r="K15" t="s">
        <v>46</v>
      </c>
      <c r="L15" s="2">
        <v>1</v>
      </c>
      <c r="M15" s="2">
        <v>4</v>
      </c>
      <c r="N15" t="s">
        <v>52</v>
      </c>
      <c r="O15" s="2">
        <v>2661</v>
      </c>
      <c r="P15" s="2">
        <v>8758</v>
      </c>
      <c r="Q15" s="2">
        <v>0</v>
      </c>
      <c r="R15" t="s">
        <v>43</v>
      </c>
      <c r="S15" s="2">
        <v>3</v>
      </c>
      <c r="T15" s="2">
        <v>3</v>
      </c>
      <c r="U15">
        <v>80</v>
      </c>
      <c r="V15" s="2">
        <v>3</v>
      </c>
      <c r="W15">
        <v>2</v>
      </c>
      <c r="X15">
        <v>3</v>
      </c>
      <c r="Y15">
        <v>2</v>
      </c>
      <c r="Z15">
        <v>2</v>
      </c>
      <c r="AA15">
        <v>1</v>
      </c>
      <c r="AB15">
        <v>2</v>
      </c>
    </row>
    <row r="16" spans="1:31" x14ac:dyDescent="0.35">
      <c r="A16" s="2">
        <v>28</v>
      </c>
      <c r="B16" s="2" t="str" cm="1">
        <f t="array" ref="B16">_xlfn.IFS(HR_table[[#This Row],[Age]]&lt;=20, "Under 20yrs",HR_table[[#This Row],[Age]]&lt;=30,"(21-30)yrs",HR_table[[#This Row],[Age]]&lt;=40,"(31-40)yrs",HR_table[[#This Row],[Age]]&lt;=50,"(41-50)yrs",HR_table[[#This Row],[Age]]&lt;=60,"(51-60)yrs")</f>
        <v>(21-30)yrs</v>
      </c>
      <c r="C16" t="s">
        <v>35</v>
      </c>
      <c r="D16" t="s">
        <v>36</v>
      </c>
      <c r="E16" t="s">
        <v>45</v>
      </c>
      <c r="F16" t="s">
        <v>38</v>
      </c>
      <c r="G16" t="s">
        <v>50</v>
      </c>
      <c r="H16">
        <v>19</v>
      </c>
      <c r="I16" s="2">
        <v>24</v>
      </c>
      <c r="J16" s="2">
        <v>3</v>
      </c>
      <c r="K16" t="s">
        <v>46</v>
      </c>
      <c r="L16" s="2">
        <v>1</v>
      </c>
      <c r="M16" s="2">
        <v>3</v>
      </c>
      <c r="N16" t="s">
        <v>41</v>
      </c>
      <c r="O16" s="2">
        <v>2028</v>
      </c>
      <c r="P16" s="2">
        <v>12947</v>
      </c>
      <c r="Q16" s="2">
        <v>5</v>
      </c>
      <c r="R16" t="s">
        <v>35</v>
      </c>
      <c r="S16" s="2">
        <v>3</v>
      </c>
      <c r="T16" s="2">
        <v>2</v>
      </c>
      <c r="U16">
        <v>80</v>
      </c>
      <c r="V16" s="2">
        <v>6</v>
      </c>
      <c r="W16">
        <v>4</v>
      </c>
      <c r="X16">
        <v>3</v>
      </c>
      <c r="Y16">
        <v>4</v>
      </c>
      <c r="Z16">
        <v>2</v>
      </c>
      <c r="AA16">
        <v>0</v>
      </c>
      <c r="AB16">
        <v>3</v>
      </c>
    </row>
    <row r="17" spans="1:28" x14ac:dyDescent="0.35">
      <c r="A17" s="2">
        <v>29</v>
      </c>
      <c r="B17" s="2" t="str" cm="1">
        <f t="array" ref="B17">_xlfn.IFS(HR_table[[#This Row],[Age]]&lt;=20, "Under 20yrs",HR_table[[#This Row],[Age]]&lt;=30,"(21-30)yrs",HR_table[[#This Row],[Age]]&lt;=40,"(31-40)yrs",HR_table[[#This Row],[Age]]&lt;=50,"(41-50)yrs",HR_table[[#This Row],[Age]]&lt;=60,"(51-60)yrs")</f>
        <v>(21-30)yrs</v>
      </c>
      <c r="C17" t="s">
        <v>43</v>
      </c>
      <c r="D17" t="s">
        <v>36</v>
      </c>
      <c r="E17" t="s">
        <v>45</v>
      </c>
      <c r="F17" t="s">
        <v>38</v>
      </c>
      <c r="G17" t="s">
        <v>53</v>
      </c>
      <c r="H17">
        <v>20</v>
      </c>
      <c r="I17" s="2">
        <v>21</v>
      </c>
      <c r="J17" s="2">
        <v>2</v>
      </c>
      <c r="K17" t="s">
        <v>39</v>
      </c>
      <c r="L17" s="2">
        <v>3</v>
      </c>
      <c r="M17" s="2">
        <v>1</v>
      </c>
      <c r="N17" t="s">
        <v>52</v>
      </c>
      <c r="O17" s="2">
        <v>9980</v>
      </c>
      <c r="P17" s="2">
        <v>10195</v>
      </c>
      <c r="Q17" s="2">
        <v>1</v>
      </c>
      <c r="R17" t="s">
        <v>43</v>
      </c>
      <c r="S17" s="2">
        <v>3</v>
      </c>
      <c r="T17" s="2">
        <v>3</v>
      </c>
      <c r="U17">
        <v>80</v>
      </c>
      <c r="V17" s="2">
        <v>10</v>
      </c>
      <c r="W17">
        <v>1</v>
      </c>
      <c r="X17">
        <v>3</v>
      </c>
      <c r="Y17">
        <v>10</v>
      </c>
      <c r="Z17">
        <v>9</v>
      </c>
      <c r="AA17">
        <v>8</v>
      </c>
      <c r="AB17">
        <v>8</v>
      </c>
    </row>
    <row r="18" spans="1:28" x14ac:dyDescent="0.35">
      <c r="A18" s="2">
        <v>32</v>
      </c>
      <c r="B18" s="2" t="str" cm="1">
        <f t="array" ref="B18">_xlfn.IFS(HR_table[[#This Row],[Age]]&lt;=20, "Under 20yrs",HR_table[[#This Row],[Age]]&lt;=30,"(21-30)yrs",HR_table[[#This Row],[Age]]&lt;=40,"(31-40)yrs",HR_table[[#This Row],[Age]]&lt;=50,"(41-50)yrs",HR_table[[#This Row],[Age]]&lt;=60,"(51-60)yrs")</f>
        <v>(31-40)yrs</v>
      </c>
      <c r="C18" t="s">
        <v>43</v>
      </c>
      <c r="D18" t="s">
        <v>36</v>
      </c>
      <c r="E18" t="s">
        <v>45</v>
      </c>
      <c r="F18" t="s">
        <v>38</v>
      </c>
      <c r="G18" t="s">
        <v>47</v>
      </c>
      <c r="H18">
        <v>21</v>
      </c>
      <c r="I18" s="2">
        <v>5</v>
      </c>
      <c r="J18" s="2">
        <v>1</v>
      </c>
      <c r="K18" t="s">
        <v>46</v>
      </c>
      <c r="L18" s="2">
        <v>1</v>
      </c>
      <c r="M18" s="2">
        <v>2</v>
      </c>
      <c r="N18" t="s">
        <v>52</v>
      </c>
      <c r="O18" s="2">
        <v>3298</v>
      </c>
      <c r="P18" s="2">
        <v>15053</v>
      </c>
      <c r="Q18" s="2">
        <v>0</v>
      </c>
      <c r="R18" t="s">
        <v>35</v>
      </c>
      <c r="S18" s="2">
        <v>3</v>
      </c>
      <c r="T18" s="2">
        <v>4</v>
      </c>
      <c r="U18">
        <v>80</v>
      </c>
      <c r="V18" s="2">
        <v>7</v>
      </c>
      <c r="W18">
        <v>5</v>
      </c>
      <c r="X18">
        <v>2</v>
      </c>
      <c r="Y18">
        <v>6</v>
      </c>
      <c r="Z18">
        <v>2</v>
      </c>
      <c r="AA18">
        <v>0</v>
      </c>
      <c r="AB18">
        <v>5</v>
      </c>
    </row>
    <row r="19" spans="1:28" x14ac:dyDescent="0.35">
      <c r="A19" s="2">
        <v>22</v>
      </c>
      <c r="B19" s="2" t="str" cm="1">
        <f t="array" ref="B19">_xlfn.IFS(HR_table[[#This Row],[Age]]&lt;=20, "Under 20yrs",HR_table[[#This Row],[Age]]&lt;=30,"(21-30)yrs",HR_table[[#This Row],[Age]]&lt;=40,"(31-40)yrs",HR_table[[#This Row],[Age]]&lt;=50,"(41-50)yrs",HR_table[[#This Row],[Age]]&lt;=60,"(51-60)yrs")</f>
        <v>(21-30)yrs</v>
      </c>
      <c r="C19" t="s">
        <v>43</v>
      </c>
      <c r="D19" t="s">
        <v>55</v>
      </c>
      <c r="E19" t="s">
        <v>45</v>
      </c>
      <c r="F19" t="s">
        <v>51</v>
      </c>
      <c r="G19" t="s">
        <v>50</v>
      </c>
      <c r="H19">
        <v>22</v>
      </c>
      <c r="I19" s="2">
        <v>16</v>
      </c>
      <c r="J19" s="2">
        <v>4</v>
      </c>
      <c r="K19" t="s">
        <v>46</v>
      </c>
      <c r="L19" s="2">
        <v>1</v>
      </c>
      <c r="M19" s="2">
        <v>4</v>
      </c>
      <c r="N19" t="s">
        <v>52</v>
      </c>
      <c r="O19" s="2">
        <v>2935</v>
      </c>
      <c r="P19" s="2">
        <v>7324</v>
      </c>
      <c r="Q19" s="2">
        <v>1</v>
      </c>
      <c r="R19" t="s">
        <v>35</v>
      </c>
      <c r="S19" s="2">
        <v>3</v>
      </c>
      <c r="T19" s="2">
        <v>2</v>
      </c>
      <c r="U19">
        <v>80</v>
      </c>
      <c r="V19" s="2">
        <v>1</v>
      </c>
      <c r="W19">
        <v>2</v>
      </c>
      <c r="X19">
        <v>2</v>
      </c>
      <c r="Y19">
        <v>1</v>
      </c>
      <c r="Z19">
        <v>0</v>
      </c>
      <c r="AA19">
        <v>0</v>
      </c>
      <c r="AB19">
        <v>0</v>
      </c>
    </row>
    <row r="20" spans="1:28" x14ac:dyDescent="0.35">
      <c r="A20" s="2">
        <v>53</v>
      </c>
      <c r="B20" s="2" t="str" cm="1">
        <f t="array" ref="B20">_xlfn.IFS(HR_table[[#This Row],[Age]]&lt;=20, "Under 20yrs",HR_table[[#This Row],[Age]]&lt;=30,"(21-30)yrs",HR_table[[#This Row],[Age]]&lt;=40,"(31-40)yrs",HR_table[[#This Row],[Age]]&lt;=50,"(41-50)yrs",HR_table[[#This Row],[Age]]&lt;=60,"(51-60)yrs")</f>
        <v>(51-60)yrs</v>
      </c>
      <c r="C20" t="s">
        <v>43</v>
      </c>
      <c r="D20" t="s">
        <v>36</v>
      </c>
      <c r="E20" t="s">
        <v>37</v>
      </c>
      <c r="F20" t="s">
        <v>38</v>
      </c>
      <c r="G20" t="s">
        <v>56</v>
      </c>
      <c r="H20">
        <v>23</v>
      </c>
      <c r="I20" s="2">
        <v>2</v>
      </c>
      <c r="J20" s="2">
        <v>1</v>
      </c>
      <c r="K20" t="s">
        <v>39</v>
      </c>
      <c r="L20" s="2">
        <v>4</v>
      </c>
      <c r="M20" s="2">
        <v>4</v>
      </c>
      <c r="N20" t="s">
        <v>48</v>
      </c>
      <c r="O20" s="2">
        <v>15427</v>
      </c>
      <c r="P20" s="2">
        <v>22021</v>
      </c>
      <c r="Q20" s="2">
        <v>2</v>
      </c>
      <c r="R20" t="s">
        <v>43</v>
      </c>
      <c r="S20" s="2">
        <v>3</v>
      </c>
      <c r="T20" s="2">
        <v>3</v>
      </c>
      <c r="U20">
        <v>80</v>
      </c>
      <c r="V20" s="2">
        <v>31</v>
      </c>
      <c r="W20">
        <v>3</v>
      </c>
      <c r="X20">
        <v>3</v>
      </c>
      <c r="Y20">
        <v>25</v>
      </c>
      <c r="Z20">
        <v>8</v>
      </c>
      <c r="AA20">
        <v>3</v>
      </c>
      <c r="AB20">
        <v>7</v>
      </c>
    </row>
    <row r="21" spans="1:28" x14ac:dyDescent="0.35">
      <c r="A21" s="2">
        <v>38</v>
      </c>
      <c r="B21" s="2" t="str" cm="1">
        <f t="array" ref="B21">_xlfn.IFS(HR_table[[#This Row],[Age]]&lt;=20, "Under 20yrs",HR_table[[#This Row],[Age]]&lt;=30,"(21-30)yrs",HR_table[[#This Row],[Age]]&lt;=40,"(31-40)yrs",HR_table[[#This Row],[Age]]&lt;=50,"(41-50)yrs",HR_table[[#This Row],[Age]]&lt;=60,"(51-60)yrs")</f>
        <v>(31-40)yrs</v>
      </c>
      <c r="C21" t="s">
        <v>43</v>
      </c>
      <c r="D21" t="s">
        <v>36</v>
      </c>
      <c r="E21" t="s">
        <v>45</v>
      </c>
      <c r="F21" t="s">
        <v>38</v>
      </c>
      <c r="G21" t="s">
        <v>47</v>
      </c>
      <c r="H21">
        <v>24</v>
      </c>
      <c r="I21" s="2">
        <v>2</v>
      </c>
      <c r="J21" s="2">
        <v>4</v>
      </c>
      <c r="K21" t="s">
        <v>46</v>
      </c>
      <c r="L21" s="2">
        <v>1</v>
      </c>
      <c r="M21" s="2">
        <v>4</v>
      </c>
      <c r="N21" t="s">
        <v>41</v>
      </c>
      <c r="O21" s="2">
        <v>3944</v>
      </c>
      <c r="P21" s="2">
        <v>4306</v>
      </c>
      <c r="Q21" s="2">
        <v>5</v>
      </c>
      <c r="R21" t="s">
        <v>35</v>
      </c>
      <c r="S21" s="2">
        <v>3</v>
      </c>
      <c r="T21" s="2">
        <v>3</v>
      </c>
      <c r="U21">
        <v>80</v>
      </c>
      <c r="V21" s="2">
        <v>6</v>
      </c>
      <c r="W21">
        <v>3</v>
      </c>
      <c r="X21">
        <v>3</v>
      </c>
      <c r="Y21">
        <v>3</v>
      </c>
      <c r="Z21">
        <v>2</v>
      </c>
      <c r="AA21">
        <v>1</v>
      </c>
      <c r="AB21">
        <v>2</v>
      </c>
    </row>
    <row r="22" spans="1:28" x14ac:dyDescent="0.35">
      <c r="A22" s="2">
        <v>24</v>
      </c>
      <c r="B22" s="2" t="str" cm="1">
        <f t="array" ref="B22">_xlfn.IFS(HR_table[[#This Row],[Age]]&lt;=20, "Under 20yrs",HR_table[[#This Row],[Age]]&lt;=30,"(21-30)yrs",HR_table[[#This Row],[Age]]&lt;=40,"(31-40)yrs",HR_table[[#This Row],[Age]]&lt;=50,"(41-50)yrs",HR_table[[#This Row],[Age]]&lt;=60,"(51-60)yrs")</f>
        <v>(21-30)yrs</v>
      </c>
      <c r="C22" t="s">
        <v>43</v>
      </c>
      <c r="D22" t="s">
        <v>55</v>
      </c>
      <c r="E22" t="s">
        <v>45</v>
      </c>
      <c r="F22" t="s">
        <v>49</v>
      </c>
      <c r="G22" t="s">
        <v>53</v>
      </c>
      <c r="H22">
        <v>26</v>
      </c>
      <c r="I22" s="2">
        <v>11</v>
      </c>
      <c r="J22" s="2">
        <v>1</v>
      </c>
      <c r="K22" t="s">
        <v>39</v>
      </c>
      <c r="L22" s="2">
        <v>2</v>
      </c>
      <c r="M22" s="2">
        <v>3</v>
      </c>
      <c r="N22" t="s">
        <v>52</v>
      </c>
      <c r="O22" s="2">
        <v>4011</v>
      </c>
      <c r="P22" s="2">
        <v>8232</v>
      </c>
      <c r="Q22" s="2">
        <v>0</v>
      </c>
      <c r="R22" t="s">
        <v>43</v>
      </c>
      <c r="S22" s="2">
        <v>3</v>
      </c>
      <c r="T22" s="2">
        <v>4</v>
      </c>
      <c r="U22">
        <v>80</v>
      </c>
      <c r="V22" s="2">
        <v>5</v>
      </c>
      <c r="W22">
        <v>5</v>
      </c>
      <c r="X22">
        <v>2</v>
      </c>
      <c r="Y22">
        <v>4</v>
      </c>
      <c r="Z22">
        <v>2</v>
      </c>
      <c r="AA22">
        <v>1</v>
      </c>
      <c r="AB22">
        <v>3</v>
      </c>
    </row>
    <row r="23" spans="1:28" x14ac:dyDescent="0.35">
      <c r="A23" s="2">
        <v>36</v>
      </c>
      <c r="B23" s="2" t="str" cm="1">
        <f t="array" ref="B23">_xlfn.IFS(HR_table[[#This Row],[Age]]&lt;=20, "Under 20yrs",HR_table[[#This Row],[Age]]&lt;=30,"(21-30)yrs",HR_table[[#This Row],[Age]]&lt;=40,"(31-40)yrs",HR_table[[#This Row],[Age]]&lt;=50,"(41-50)yrs",HR_table[[#This Row],[Age]]&lt;=60,"(51-60)yrs")</f>
        <v>(31-40)yrs</v>
      </c>
      <c r="C23" t="s">
        <v>35</v>
      </c>
      <c r="D23" t="s">
        <v>36</v>
      </c>
      <c r="E23" t="s">
        <v>37</v>
      </c>
      <c r="F23" t="s">
        <v>38</v>
      </c>
      <c r="G23" t="s">
        <v>57</v>
      </c>
      <c r="H23">
        <v>27</v>
      </c>
      <c r="I23" s="2">
        <v>9</v>
      </c>
      <c r="J23" s="2">
        <v>3</v>
      </c>
      <c r="K23" t="s">
        <v>46</v>
      </c>
      <c r="L23" s="2">
        <v>1</v>
      </c>
      <c r="M23" s="2">
        <v>1</v>
      </c>
      <c r="N23" t="s">
        <v>41</v>
      </c>
      <c r="O23" s="2">
        <v>3407</v>
      </c>
      <c r="P23" s="2">
        <v>6986</v>
      </c>
      <c r="Q23" s="2">
        <v>7</v>
      </c>
      <c r="R23" t="s">
        <v>43</v>
      </c>
      <c r="S23" s="2">
        <v>4</v>
      </c>
      <c r="T23" s="2">
        <v>2</v>
      </c>
      <c r="U23">
        <v>80</v>
      </c>
      <c r="V23" s="2">
        <v>10</v>
      </c>
      <c r="W23">
        <v>4</v>
      </c>
      <c r="X23">
        <v>3</v>
      </c>
      <c r="Y23">
        <v>5</v>
      </c>
      <c r="Z23">
        <v>3</v>
      </c>
      <c r="AA23">
        <v>0</v>
      </c>
      <c r="AB23">
        <v>3</v>
      </c>
    </row>
    <row r="24" spans="1:28" x14ac:dyDescent="0.35">
      <c r="A24" s="2">
        <v>34</v>
      </c>
      <c r="B24" s="2" t="str" cm="1">
        <f t="array" ref="B24">_xlfn.IFS(HR_table[[#This Row],[Age]]&lt;=20, "Under 20yrs",HR_table[[#This Row],[Age]]&lt;=30,"(21-30)yrs",HR_table[[#This Row],[Age]]&lt;=40,"(31-40)yrs",HR_table[[#This Row],[Age]]&lt;=50,"(41-50)yrs",HR_table[[#This Row],[Age]]&lt;=60,"(51-60)yrs")</f>
        <v>(31-40)yrs</v>
      </c>
      <c r="C24" t="s">
        <v>43</v>
      </c>
      <c r="D24" t="s">
        <v>36</v>
      </c>
      <c r="E24" t="s">
        <v>45</v>
      </c>
      <c r="F24" t="s">
        <v>38</v>
      </c>
      <c r="G24" t="s">
        <v>58</v>
      </c>
      <c r="H24">
        <v>28</v>
      </c>
      <c r="I24" s="2">
        <v>7</v>
      </c>
      <c r="J24" s="2">
        <v>1</v>
      </c>
      <c r="K24" t="s">
        <v>39</v>
      </c>
      <c r="L24" s="2">
        <v>3</v>
      </c>
      <c r="M24" s="2">
        <v>2</v>
      </c>
      <c r="N24" t="s">
        <v>41</v>
      </c>
      <c r="O24" s="2">
        <v>11994</v>
      </c>
      <c r="P24" s="2">
        <v>21293</v>
      </c>
      <c r="Q24" s="2">
        <v>0</v>
      </c>
      <c r="R24" t="s">
        <v>43</v>
      </c>
      <c r="S24" s="2">
        <v>3</v>
      </c>
      <c r="T24" s="2">
        <v>3</v>
      </c>
      <c r="U24">
        <v>80</v>
      </c>
      <c r="V24" s="2">
        <v>13</v>
      </c>
      <c r="W24">
        <v>4</v>
      </c>
      <c r="X24">
        <v>3</v>
      </c>
      <c r="Y24">
        <v>12</v>
      </c>
      <c r="Z24">
        <v>6</v>
      </c>
      <c r="AA24">
        <v>2</v>
      </c>
      <c r="AB24">
        <v>11</v>
      </c>
    </row>
    <row r="25" spans="1:28" x14ac:dyDescent="0.35">
      <c r="A25" s="2">
        <v>21</v>
      </c>
      <c r="B25" s="2" t="str" cm="1">
        <f t="array" ref="B25">_xlfn.IFS(HR_table[[#This Row],[Age]]&lt;=20, "Under 20yrs",HR_table[[#This Row],[Age]]&lt;=30,"(21-30)yrs",HR_table[[#This Row],[Age]]&lt;=40,"(31-40)yrs",HR_table[[#This Row],[Age]]&lt;=50,"(41-50)yrs",HR_table[[#This Row],[Age]]&lt;=60,"(51-60)yrs")</f>
        <v>(21-30)yrs</v>
      </c>
      <c r="C25" t="s">
        <v>43</v>
      </c>
      <c r="D25" t="s">
        <v>36</v>
      </c>
      <c r="E25" t="s">
        <v>45</v>
      </c>
      <c r="F25" t="s">
        <v>38</v>
      </c>
      <c r="G25" t="s">
        <v>47</v>
      </c>
      <c r="H25">
        <v>30</v>
      </c>
      <c r="I25" s="2">
        <v>15</v>
      </c>
      <c r="J25" s="2">
        <v>3</v>
      </c>
      <c r="K25" t="s">
        <v>46</v>
      </c>
      <c r="L25" s="2">
        <v>1</v>
      </c>
      <c r="M25" s="2">
        <v>4</v>
      </c>
      <c r="N25" t="s">
        <v>41</v>
      </c>
      <c r="O25" s="2">
        <v>1232</v>
      </c>
      <c r="P25" s="2">
        <v>19281</v>
      </c>
      <c r="Q25" s="2">
        <v>1</v>
      </c>
      <c r="R25" t="s">
        <v>43</v>
      </c>
      <c r="S25" s="2">
        <v>3</v>
      </c>
      <c r="T25" s="2">
        <v>4</v>
      </c>
      <c r="U25">
        <v>80</v>
      </c>
      <c r="V25" s="2">
        <v>0</v>
      </c>
      <c r="W25">
        <v>6</v>
      </c>
      <c r="X25">
        <v>3</v>
      </c>
      <c r="Y25">
        <v>0</v>
      </c>
      <c r="Z25">
        <v>0</v>
      </c>
      <c r="AA25">
        <v>0</v>
      </c>
      <c r="AB25">
        <v>0</v>
      </c>
    </row>
    <row r="26" spans="1:28" x14ac:dyDescent="0.35">
      <c r="A26" s="2">
        <v>34</v>
      </c>
      <c r="B26" s="2" t="str" cm="1">
        <f t="array" ref="B26">_xlfn.IFS(HR_table[[#This Row],[Age]]&lt;=20, "Under 20yrs",HR_table[[#This Row],[Age]]&lt;=30,"(21-30)yrs",HR_table[[#This Row],[Age]]&lt;=40,"(31-40)yrs",HR_table[[#This Row],[Age]]&lt;=50,"(41-50)yrs",HR_table[[#This Row],[Age]]&lt;=60,"(51-60)yrs")</f>
        <v>(31-40)yrs</v>
      </c>
      <c r="C26" t="s">
        <v>35</v>
      </c>
      <c r="D26" t="s">
        <v>36</v>
      </c>
      <c r="E26" t="s">
        <v>45</v>
      </c>
      <c r="F26" t="s">
        <v>51</v>
      </c>
      <c r="G26" t="s">
        <v>47</v>
      </c>
      <c r="H26">
        <v>31</v>
      </c>
      <c r="I26" s="2">
        <v>6</v>
      </c>
      <c r="J26" s="2">
        <v>2</v>
      </c>
      <c r="K26" t="s">
        <v>46</v>
      </c>
      <c r="L26" s="2">
        <v>1</v>
      </c>
      <c r="M26" s="2">
        <v>1</v>
      </c>
      <c r="N26" t="s">
        <v>41</v>
      </c>
      <c r="O26" s="2">
        <v>2960</v>
      </c>
      <c r="P26" s="2">
        <v>17102</v>
      </c>
      <c r="Q26" s="2">
        <v>2</v>
      </c>
      <c r="R26" t="s">
        <v>43</v>
      </c>
      <c r="S26" s="2">
        <v>3</v>
      </c>
      <c r="T26" s="2">
        <v>3</v>
      </c>
      <c r="U26">
        <v>80</v>
      </c>
      <c r="V26" s="2">
        <v>8</v>
      </c>
      <c r="W26">
        <v>2</v>
      </c>
      <c r="X26">
        <v>3</v>
      </c>
      <c r="Y26">
        <v>4</v>
      </c>
      <c r="Z26">
        <v>2</v>
      </c>
      <c r="AA26">
        <v>1</v>
      </c>
      <c r="AB26">
        <v>3</v>
      </c>
    </row>
    <row r="27" spans="1:28" x14ac:dyDescent="0.35">
      <c r="A27" s="2">
        <v>53</v>
      </c>
      <c r="B27" s="2" t="str" cm="1">
        <f t="array" ref="B27">_xlfn.IFS(HR_table[[#This Row],[Age]]&lt;=20, "Under 20yrs",HR_table[[#This Row],[Age]]&lt;=30,"(21-30)yrs",HR_table[[#This Row],[Age]]&lt;=40,"(31-40)yrs",HR_table[[#This Row],[Age]]&lt;=50,"(41-50)yrs",HR_table[[#This Row],[Age]]&lt;=60,"(51-60)yrs")</f>
        <v>(51-60)yrs</v>
      </c>
      <c r="C27" t="s">
        <v>43</v>
      </c>
      <c r="D27" t="s">
        <v>36</v>
      </c>
      <c r="E27" t="s">
        <v>45</v>
      </c>
      <c r="F27" t="s">
        <v>49</v>
      </c>
      <c r="G27" t="s">
        <v>56</v>
      </c>
      <c r="H27">
        <v>32</v>
      </c>
      <c r="I27" s="2">
        <v>5</v>
      </c>
      <c r="J27" s="2">
        <v>3</v>
      </c>
      <c r="K27" t="s">
        <v>39</v>
      </c>
      <c r="L27" s="2">
        <v>5</v>
      </c>
      <c r="M27" s="2">
        <v>3</v>
      </c>
      <c r="N27" t="s">
        <v>52</v>
      </c>
      <c r="O27" s="2">
        <v>19094</v>
      </c>
      <c r="P27" s="2">
        <v>10735</v>
      </c>
      <c r="Q27" s="2">
        <v>4</v>
      </c>
      <c r="R27" t="s">
        <v>43</v>
      </c>
      <c r="S27" s="2">
        <v>3</v>
      </c>
      <c r="T27" s="2">
        <v>4</v>
      </c>
      <c r="U27">
        <v>80</v>
      </c>
      <c r="V27" s="2">
        <v>26</v>
      </c>
      <c r="W27">
        <v>3</v>
      </c>
      <c r="X27">
        <v>2</v>
      </c>
      <c r="Y27">
        <v>14</v>
      </c>
      <c r="Z27">
        <v>13</v>
      </c>
      <c r="AA27">
        <v>4</v>
      </c>
      <c r="AB27">
        <v>8</v>
      </c>
    </row>
    <row r="28" spans="1:28" x14ac:dyDescent="0.35">
      <c r="A28" s="2">
        <v>32</v>
      </c>
      <c r="B28" s="2" t="str" cm="1">
        <f t="array" ref="B28">_xlfn.IFS(HR_table[[#This Row],[Age]]&lt;=20, "Under 20yrs",HR_table[[#This Row],[Age]]&lt;=30,"(21-30)yrs",HR_table[[#This Row],[Age]]&lt;=40,"(31-40)yrs",HR_table[[#This Row],[Age]]&lt;=50,"(41-50)yrs",HR_table[[#This Row],[Age]]&lt;=60,"(51-60)yrs")</f>
        <v>(31-40)yrs</v>
      </c>
      <c r="C28" t="s">
        <v>35</v>
      </c>
      <c r="D28" t="s">
        <v>44</v>
      </c>
      <c r="E28" t="s">
        <v>45</v>
      </c>
      <c r="F28" t="s">
        <v>38</v>
      </c>
      <c r="G28" t="s">
        <v>47</v>
      </c>
      <c r="H28">
        <v>33</v>
      </c>
      <c r="I28" s="2">
        <v>16</v>
      </c>
      <c r="J28" s="2">
        <v>2</v>
      </c>
      <c r="K28" t="s">
        <v>39</v>
      </c>
      <c r="L28" s="2">
        <v>1</v>
      </c>
      <c r="M28" s="2">
        <v>1</v>
      </c>
      <c r="N28" t="s">
        <v>41</v>
      </c>
      <c r="O28" s="2">
        <v>3919</v>
      </c>
      <c r="P28" s="2">
        <v>4681</v>
      </c>
      <c r="Q28" s="2">
        <v>1</v>
      </c>
      <c r="R28" t="s">
        <v>35</v>
      </c>
      <c r="S28" s="2">
        <v>4</v>
      </c>
      <c r="T28" s="2">
        <v>2</v>
      </c>
      <c r="U28">
        <v>80</v>
      </c>
      <c r="V28" s="2">
        <v>10</v>
      </c>
      <c r="W28">
        <v>5</v>
      </c>
      <c r="X28">
        <v>3</v>
      </c>
      <c r="Y28">
        <v>10</v>
      </c>
      <c r="Z28">
        <v>2</v>
      </c>
      <c r="AA28">
        <v>6</v>
      </c>
      <c r="AB28">
        <v>7</v>
      </c>
    </row>
    <row r="29" spans="1:28" x14ac:dyDescent="0.35">
      <c r="A29" s="2">
        <v>42</v>
      </c>
      <c r="B29" s="2" t="str" cm="1">
        <f t="array" ref="B29">_xlfn.IFS(HR_table[[#This Row],[Age]]&lt;=20, "Under 20yrs",HR_table[[#This Row],[Age]]&lt;=30,"(21-30)yrs",HR_table[[#This Row],[Age]]&lt;=40,"(31-40)yrs",HR_table[[#This Row],[Age]]&lt;=50,"(41-50)yrs",HR_table[[#This Row],[Age]]&lt;=60,"(51-60)yrs")</f>
        <v>(41-50)yrs</v>
      </c>
      <c r="C29" t="s">
        <v>43</v>
      </c>
      <c r="D29" t="s">
        <v>36</v>
      </c>
      <c r="E29" t="s">
        <v>37</v>
      </c>
      <c r="F29" t="s">
        <v>59</v>
      </c>
      <c r="G29" t="s">
        <v>40</v>
      </c>
      <c r="H29">
        <v>35</v>
      </c>
      <c r="I29" s="2">
        <v>8</v>
      </c>
      <c r="J29" s="2">
        <v>3</v>
      </c>
      <c r="K29" t="s">
        <v>46</v>
      </c>
      <c r="L29" s="2">
        <v>2</v>
      </c>
      <c r="M29" s="2">
        <v>2</v>
      </c>
      <c r="N29" t="s">
        <v>48</v>
      </c>
      <c r="O29" s="2">
        <v>6825</v>
      </c>
      <c r="P29" s="2">
        <v>21173</v>
      </c>
      <c r="Q29" s="2">
        <v>0</v>
      </c>
      <c r="R29" t="s">
        <v>43</v>
      </c>
      <c r="S29" s="2">
        <v>3</v>
      </c>
      <c r="T29" s="2">
        <v>4</v>
      </c>
      <c r="U29">
        <v>80</v>
      </c>
      <c r="V29" s="2">
        <v>10</v>
      </c>
      <c r="W29">
        <v>2</v>
      </c>
      <c r="X29">
        <v>3</v>
      </c>
      <c r="Y29">
        <v>9</v>
      </c>
      <c r="Z29">
        <v>7</v>
      </c>
      <c r="AA29">
        <v>4</v>
      </c>
      <c r="AB29">
        <v>2</v>
      </c>
    </row>
    <row r="30" spans="1:28" x14ac:dyDescent="0.35">
      <c r="A30" s="2">
        <v>44</v>
      </c>
      <c r="B30" s="2" t="str" cm="1">
        <f t="array" ref="B30">_xlfn.IFS(HR_table[[#This Row],[Age]]&lt;=20, "Under 20yrs",HR_table[[#This Row],[Age]]&lt;=30,"(21-30)yrs",HR_table[[#This Row],[Age]]&lt;=40,"(31-40)yrs",HR_table[[#This Row],[Age]]&lt;=50,"(41-50)yrs",HR_table[[#This Row],[Age]]&lt;=60,"(51-60)yrs")</f>
        <v>(41-50)yrs</v>
      </c>
      <c r="C30" t="s">
        <v>43</v>
      </c>
      <c r="D30" t="s">
        <v>36</v>
      </c>
      <c r="E30" t="s">
        <v>45</v>
      </c>
      <c r="F30" t="s">
        <v>51</v>
      </c>
      <c r="G30" t="s">
        <v>54</v>
      </c>
      <c r="H30">
        <v>36</v>
      </c>
      <c r="I30" s="2">
        <v>7</v>
      </c>
      <c r="J30" s="2">
        <v>1</v>
      </c>
      <c r="K30" t="s">
        <v>39</v>
      </c>
      <c r="L30" s="2">
        <v>3</v>
      </c>
      <c r="M30" s="2">
        <v>4</v>
      </c>
      <c r="N30" t="s">
        <v>48</v>
      </c>
      <c r="O30" s="2">
        <v>10248</v>
      </c>
      <c r="P30" s="2">
        <v>2094</v>
      </c>
      <c r="Q30" s="2">
        <v>3</v>
      </c>
      <c r="R30" t="s">
        <v>43</v>
      </c>
      <c r="S30" s="2">
        <v>3</v>
      </c>
      <c r="T30" s="2">
        <v>4</v>
      </c>
      <c r="U30">
        <v>80</v>
      </c>
      <c r="V30" s="2">
        <v>24</v>
      </c>
      <c r="W30">
        <v>4</v>
      </c>
      <c r="X30">
        <v>3</v>
      </c>
      <c r="Y30">
        <v>22</v>
      </c>
      <c r="Z30">
        <v>6</v>
      </c>
      <c r="AA30">
        <v>5</v>
      </c>
      <c r="AB30">
        <v>17</v>
      </c>
    </row>
    <row r="31" spans="1:28" x14ac:dyDescent="0.35">
      <c r="A31" s="2">
        <v>46</v>
      </c>
      <c r="B31" s="2" t="str" cm="1">
        <f t="array" ref="B31">_xlfn.IFS(HR_table[[#This Row],[Age]]&lt;=20, "Under 20yrs",HR_table[[#This Row],[Age]]&lt;=30,"(21-30)yrs",HR_table[[#This Row],[Age]]&lt;=40,"(31-40)yrs",HR_table[[#This Row],[Age]]&lt;=50,"(41-50)yrs",HR_table[[#This Row],[Age]]&lt;=60,"(51-60)yrs")</f>
        <v>(41-50)yrs</v>
      </c>
      <c r="C31" t="s">
        <v>43</v>
      </c>
      <c r="D31" t="s">
        <v>36</v>
      </c>
      <c r="E31" t="s">
        <v>37</v>
      </c>
      <c r="F31" t="s">
        <v>59</v>
      </c>
      <c r="G31" t="s">
        <v>56</v>
      </c>
      <c r="H31">
        <v>38</v>
      </c>
      <c r="I31" s="2">
        <v>2</v>
      </c>
      <c r="J31" s="2">
        <v>2</v>
      </c>
      <c r="K31" t="s">
        <v>39</v>
      </c>
      <c r="L31" s="2">
        <v>5</v>
      </c>
      <c r="M31" s="2">
        <v>1</v>
      </c>
      <c r="N31" t="s">
        <v>41</v>
      </c>
      <c r="O31" s="2">
        <v>18947</v>
      </c>
      <c r="P31" s="2">
        <v>22822</v>
      </c>
      <c r="Q31" s="2">
        <v>3</v>
      </c>
      <c r="R31" t="s">
        <v>43</v>
      </c>
      <c r="S31" s="2">
        <v>3</v>
      </c>
      <c r="T31" s="2">
        <v>4</v>
      </c>
      <c r="U31">
        <v>80</v>
      </c>
      <c r="V31" s="2">
        <v>22</v>
      </c>
      <c r="W31">
        <v>2</v>
      </c>
      <c r="X31">
        <v>2</v>
      </c>
      <c r="Y31">
        <v>2</v>
      </c>
      <c r="Z31">
        <v>2</v>
      </c>
      <c r="AA31">
        <v>2</v>
      </c>
      <c r="AB31">
        <v>1</v>
      </c>
    </row>
    <row r="32" spans="1:28" x14ac:dyDescent="0.35">
      <c r="A32" s="2">
        <v>33</v>
      </c>
      <c r="B32" s="2" t="str" cm="1">
        <f t="array" ref="B32">_xlfn.IFS(HR_table[[#This Row],[Age]]&lt;=20, "Under 20yrs",HR_table[[#This Row],[Age]]&lt;=30,"(21-30)yrs",HR_table[[#This Row],[Age]]&lt;=40,"(31-40)yrs",HR_table[[#This Row],[Age]]&lt;=50,"(41-50)yrs",HR_table[[#This Row],[Age]]&lt;=60,"(51-60)yrs")</f>
        <v>(31-40)yrs</v>
      </c>
      <c r="C32" t="s">
        <v>43</v>
      </c>
      <c r="D32" t="s">
        <v>36</v>
      </c>
      <c r="E32" t="s">
        <v>45</v>
      </c>
      <c r="F32" t="s">
        <v>51</v>
      </c>
      <c r="G32" t="s">
        <v>50</v>
      </c>
      <c r="H32">
        <v>39</v>
      </c>
      <c r="I32" s="2">
        <v>2</v>
      </c>
      <c r="J32" s="2">
        <v>3</v>
      </c>
      <c r="K32" t="s">
        <v>46</v>
      </c>
      <c r="L32" s="2">
        <v>1</v>
      </c>
      <c r="M32" s="2">
        <v>4</v>
      </c>
      <c r="N32" t="s">
        <v>41</v>
      </c>
      <c r="O32" s="2">
        <v>2496</v>
      </c>
      <c r="P32" s="2">
        <v>6670</v>
      </c>
      <c r="Q32" s="2">
        <v>4</v>
      </c>
      <c r="R32" t="s">
        <v>43</v>
      </c>
      <c r="S32" s="2">
        <v>3</v>
      </c>
      <c r="T32" s="2">
        <v>4</v>
      </c>
      <c r="U32">
        <v>80</v>
      </c>
      <c r="V32" s="2">
        <v>7</v>
      </c>
      <c r="W32">
        <v>3</v>
      </c>
      <c r="X32">
        <v>3</v>
      </c>
      <c r="Y32">
        <v>1</v>
      </c>
      <c r="Z32">
        <v>1</v>
      </c>
      <c r="AA32">
        <v>0</v>
      </c>
      <c r="AB32">
        <v>0</v>
      </c>
    </row>
    <row r="33" spans="1:28" x14ac:dyDescent="0.35">
      <c r="A33" s="2">
        <v>44</v>
      </c>
      <c r="B33" s="2" t="str" cm="1">
        <f t="array" ref="B33">_xlfn.IFS(HR_table[[#This Row],[Age]]&lt;=20, "Under 20yrs",HR_table[[#This Row],[Age]]&lt;=30,"(21-30)yrs",HR_table[[#This Row],[Age]]&lt;=40,"(31-40)yrs",HR_table[[#This Row],[Age]]&lt;=50,"(41-50)yrs",HR_table[[#This Row],[Age]]&lt;=60,"(51-60)yrs")</f>
        <v>(41-50)yrs</v>
      </c>
      <c r="C33" t="s">
        <v>43</v>
      </c>
      <c r="D33" t="s">
        <v>36</v>
      </c>
      <c r="E33" t="s">
        <v>45</v>
      </c>
      <c r="F33" t="s">
        <v>49</v>
      </c>
      <c r="G33" t="s">
        <v>54</v>
      </c>
      <c r="H33">
        <v>40</v>
      </c>
      <c r="I33" s="2">
        <v>10</v>
      </c>
      <c r="J33" s="2">
        <v>4</v>
      </c>
      <c r="K33" t="s">
        <v>46</v>
      </c>
      <c r="L33" s="2">
        <v>2</v>
      </c>
      <c r="M33" s="2">
        <v>4</v>
      </c>
      <c r="N33" t="s">
        <v>48</v>
      </c>
      <c r="O33" s="2">
        <v>6465</v>
      </c>
      <c r="P33" s="2">
        <v>19121</v>
      </c>
      <c r="Q33" s="2">
        <v>2</v>
      </c>
      <c r="R33" t="s">
        <v>35</v>
      </c>
      <c r="S33" s="2">
        <v>3</v>
      </c>
      <c r="T33" s="2">
        <v>4</v>
      </c>
      <c r="U33">
        <v>80</v>
      </c>
      <c r="V33" s="2">
        <v>9</v>
      </c>
      <c r="W33">
        <v>5</v>
      </c>
      <c r="X33">
        <v>4</v>
      </c>
      <c r="Y33">
        <v>4</v>
      </c>
      <c r="Z33">
        <v>2</v>
      </c>
      <c r="AA33">
        <v>1</v>
      </c>
      <c r="AB33">
        <v>3</v>
      </c>
    </row>
    <row r="34" spans="1:28" x14ac:dyDescent="0.35">
      <c r="A34" s="2">
        <v>30</v>
      </c>
      <c r="B34" s="2" t="str" cm="1">
        <f t="array" ref="B34">_xlfn.IFS(HR_table[[#This Row],[Age]]&lt;=20, "Under 20yrs",HR_table[[#This Row],[Age]]&lt;=30,"(21-30)yrs",HR_table[[#This Row],[Age]]&lt;=40,"(31-40)yrs",HR_table[[#This Row],[Age]]&lt;=50,"(41-50)yrs",HR_table[[#This Row],[Age]]&lt;=60,"(51-60)yrs")</f>
        <v>(21-30)yrs</v>
      </c>
      <c r="C34" t="s">
        <v>43</v>
      </c>
      <c r="D34" t="s">
        <v>36</v>
      </c>
      <c r="E34" t="s">
        <v>45</v>
      </c>
      <c r="F34" t="s">
        <v>51</v>
      </c>
      <c r="G34" t="s">
        <v>50</v>
      </c>
      <c r="H34">
        <v>41</v>
      </c>
      <c r="I34" s="2">
        <v>9</v>
      </c>
      <c r="J34" s="2">
        <v>4</v>
      </c>
      <c r="K34" t="s">
        <v>46</v>
      </c>
      <c r="L34" s="2">
        <v>1</v>
      </c>
      <c r="M34" s="2">
        <v>3</v>
      </c>
      <c r="N34" t="s">
        <v>41</v>
      </c>
      <c r="O34" s="2">
        <v>2206</v>
      </c>
      <c r="P34" s="2">
        <v>16117</v>
      </c>
      <c r="Q34" s="2">
        <v>1</v>
      </c>
      <c r="R34" t="s">
        <v>43</v>
      </c>
      <c r="S34" s="2">
        <v>3</v>
      </c>
      <c r="T34" s="2">
        <v>1</v>
      </c>
      <c r="U34">
        <v>80</v>
      </c>
      <c r="V34" s="2">
        <v>10</v>
      </c>
      <c r="W34">
        <v>5</v>
      </c>
      <c r="X34">
        <v>3</v>
      </c>
      <c r="Y34">
        <v>10</v>
      </c>
      <c r="Z34">
        <v>0</v>
      </c>
      <c r="AA34">
        <v>1</v>
      </c>
      <c r="AB34">
        <v>8</v>
      </c>
    </row>
    <row r="35" spans="1:28" x14ac:dyDescent="0.35">
      <c r="A35" s="2">
        <v>39</v>
      </c>
      <c r="B35" s="2" t="str" cm="1">
        <f t="array" ref="B35">_xlfn.IFS(HR_table[[#This Row],[Age]]&lt;=20, "Under 20yrs",HR_table[[#This Row],[Age]]&lt;=30,"(21-30)yrs",HR_table[[#This Row],[Age]]&lt;=40,"(31-40)yrs",HR_table[[#This Row],[Age]]&lt;=50,"(41-50)yrs",HR_table[[#This Row],[Age]]&lt;=60,"(51-60)yrs")</f>
        <v>(31-40)yrs</v>
      </c>
      <c r="C35" t="s">
        <v>35</v>
      </c>
      <c r="D35" t="s">
        <v>36</v>
      </c>
      <c r="E35" t="s">
        <v>37</v>
      </c>
      <c r="F35" t="s">
        <v>60</v>
      </c>
      <c r="G35" t="s">
        <v>57</v>
      </c>
      <c r="H35">
        <v>42</v>
      </c>
      <c r="I35" s="2">
        <v>5</v>
      </c>
      <c r="J35" s="2">
        <v>4</v>
      </c>
      <c r="K35" t="s">
        <v>46</v>
      </c>
      <c r="L35" s="2">
        <v>2</v>
      </c>
      <c r="M35" s="2">
        <v>4</v>
      </c>
      <c r="N35" t="s">
        <v>48</v>
      </c>
      <c r="O35" s="2">
        <v>2086</v>
      </c>
      <c r="P35" s="2">
        <v>3335</v>
      </c>
      <c r="Q35" s="2">
        <v>3</v>
      </c>
      <c r="R35" t="s">
        <v>43</v>
      </c>
      <c r="S35" s="2">
        <v>3</v>
      </c>
      <c r="T35" s="2">
        <v>3</v>
      </c>
      <c r="U35">
        <v>80</v>
      </c>
      <c r="V35" s="2">
        <v>19</v>
      </c>
      <c r="W35">
        <v>6</v>
      </c>
      <c r="X35">
        <v>4</v>
      </c>
      <c r="Y35">
        <v>1</v>
      </c>
      <c r="Z35">
        <v>0</v>
      </c>
      <c r="AA35">
        <v>0</v>
      </c>
      <c r="AB35">
        <v>0</v>
      </c>
    </row>
    <row r="36" spans="1:28" x14ac:dyDescent="0.35">
      <c r="A36" s="2">
        <v>24</v>
      </c>
      <c r="B36" s="2" t="str" cm="1">
        <f t="array" ref="B36">_xlfn.IFS(HR_table[[#This Row],[Age]]&lt;=20, "Under 20yrs",HR_table[[#This Row],[Age]]&lt;=30,"(21-30)yrs",HR_table[[#This Row],[Age]]&lt;=40,"(31-40)yrs",HR_table[[#This Row],[Age]]&lt;=50,"(41-50)yrs",HR_table[[#This Row],[Age]]&lt;=60,"(51-60)yrs")</f>
        <v>(21-30)yrs</v>
      </c>
      <c r="C36" t="s">
        <v>35</v>
      </c>
      <c r="D36" t="s">
        <v>36</v>
      </c>
      <c r="E36" t="s">
        <v>45</v>
      </c>
      <c r="F36" t="s">
        <v>51</v>
      </c>
      <c r="G36" t="s">
        <v>47</v>
      </c>
      <c r="H36">
        <v>45</v>
      </c>
      <c r="I36" s="2">
        <v>1</v>
      </c>
      <c r="J36" s="2">
        <v>2</v>
      </c>
      <c r="K36" t="s">
        <v>46</v>
      </c>
      <c r="L36" s="2">
        <v>1</v>
      </c>
      <c r="M36" s="2">
        <v>4</v>
      </c>
      <c r="N36" t="s">
        <v>48</v>
      </c>
      <c r="O36" s="2">
        <v>2293</v>
      </c>
      <c r="P36" s="2">
        <v>3020</v>
      </c>
      <c r="Q36" s="2">
        <v>2</v>
      </c>
      <c r="R36" t="s">
        <v>35</v>
      </c>
      <c r="S36" s="2">
        <v>3</v>
      </c>
      <c r="T36" s="2">
        <v>1</v>
      </c>
      <c r="U36">
        <v>80</v>
      </c>
      <c r="V36" s="2">
        <v>6</v>
      </c>
      <c r="W36">
        <v>2</v>
      </c>
      <c r="X36">
        <v>2</v>
      </c>
      <c r="Y36">
        <v>2</v>
      </c>
      <c r="Z36">
        <v>0</v>
      </c>
      <c r="AA36">
        <v>2</v>
      </c>
      <c r="AB36">
        <v>0</v>
      </c>
    </row>
    <row r="37" spans="1:28" x14ac:dyDescent="0.35">
      <c r="A37" s="2">
        <v>43</v>
      </c>
      <c r="B37" s="2" t="str" cm="1">
        <f t="array" ref="B37">_xlfn.IFS(HR_table[[#This Row],[Age]]&lt;=20, "Under 20yrs",HR_table[[#This Row],[Age]]&lt;=30,"(21-30)yrs",HR_table[[#This Row],[Age]]&lt;=40,"(31-40)yrs",HR_table[[#This Row],[Age]]&lt;=50,"(41-50)yrs",HR_table[[#This Row],[Age]]&lt;=60,"(51-60)yrs")</f>
        <v>(41-50)yrs</v>
      </c>
      <c r="C37" t="s">
        <v>43</v>
      </c>
      <c r="D37" t="s">
        <v>36</v>
      </c>
      <c r="E37" t="s">
        <v>45</v>
      </c>
      <c r="F37" t="s">
        <v>51</v>
      </c>
      <c r="G37" t="s">
        <v>47</v>
      </c>
      <c r="H37">
        <v>46</v>
      </c>
      <c r="I37" s="2">
        <v>2</v>
      </c>
      <c r="J37" s="2">
        <v>4</v>
      </c>
      <c r="K37" t="s">
        <v>39</v>
      </c>
      <c r="L37" s="2">
        <v>1</v>
      </c>
      <c r="M37" s="2">
        <v>3</v>
      </c>
      <c r="N37" t="s">
        <v>52</v>
      </c>
      <c r="O37" s="2">
        <v>2645</v>
      </c>
      <c r="P37" s="2">
        <v>21923</v>
      </c>
      <c r="Q37" s="2">
        <v>1</v>
      </c>
      <c r="R37" t="s">
        <v>43</v>
      </c>
      <c r="S37" s="2">
        <v>3</v>
      </c>
      <c r="T37" s="2">
        <v>4</v>
      </c>
      <c r="U37">
        <v>80</v>
      </c>
      <c r="V37" s="2">
        <v>6</v>
      </c>
      <c r="W37">
        <v>3</v>
      </c>
      <c r="X37">
        <v>2</v>
      </c>
      <c r="Y37">
        <v>5</v>
      </c>
      <c r="Z37">
        <v>3</v>
      </c>
      <c r="AA37">
        <v>1</v>
      </c>
      <c r="AB37">
        <v>4</v>
      </c>
    </row>
    <row r="38" spans="1:28" x14ac:dyDescent="0.35">
      <c r="A38" s="2">
        <v>50</v>
      </c>
      <c r="B38" s="2" t="str" cm="1">
        <f t="array" ref="B38">_xlfn.IFS(HR_table[[#This Row],[Age]]&lt;=20, "Under 20yrs",HR_table[[#This Row],[Age]]&lt;=30,"(21-30)yrs",HR_table[[#This Row],[Age]]&lt;=40,"(31-40)yrs",HR_table[[#This Row],[Age]]&lt;=50,"(41-50)yrs",HR_table[[#This Row],[Age]]&lt;=60,"(51-60)yrs")</f>
        <v>(41-50)yrs</v>
      </c>
      <c r="C38" t="s">
        <v>35</v>
      </c>
      <c r="D38" t="s">
        <v>36</v>
      </c>
      <c r="E38" t="s">
        <v>37</v>
      </c>
      <c r="F38" t="s">
        <v>59</v>
      </c>
      <c r="G38" t="s">
        <v>57</v>
      </c>
      <c r="H38">
        <v>47</v>
      </c>
      <c r="I38" s="2">
        <v>3</v>
      </c>
      <c r="J38" s="2">
        <v>1</v>
      </c>
      <c r="K38" t="s">
        <v>46</v>
      </c>
      <c r="L38" s="2">
        <v>1</v>
      </c>
      <c r="M38" s="2">
        <v>3</v>
      </c>
      <c r="N38" t="s">
        <v>48</v>
      </c>
      <c r="O38" s="2">
        <v>2683</v>
      </c>
      <c r="P38" s="2">
        <v>3810</v>
      </c>
      <c r="Q38" s="2">
        <v>1</v>
      </c>
      <c r="R38" t="s">
        <v>35</v>
      </c>
      <c r="S38" s="2">
        <v>3</v>
      </c>
      <c r="T38" s="2">
        <v>3</v>
      </c>
      <c r="U38">
        <v>80</v>
      </c>
      <c r="V38" s="2">
        <v>3</v>
      </c>
      <c r="W38">
        <v>2</v>
      </c>
      <c r="X38">
        <v>3</v>
      </c>
      <c r="Y38">
        <v>3</v>
      </c>
      <c r="Z38">
        <v>2</v>
      </c>
      <c r="AA38">
        <v>0</v>
      </c>
      <c r="AB38">
        <v>2</v>
      </c>
    </row>
    <row r="39" spans="1:28" x14ac:dyDescent="0.35">
      <c r="A39" s="2">
        <v>35</v>
      </c>
      <c r="B39" s="2" t="str" cm="1">
        <f t="array" ref="B39">_xlfn.IFS(HR_table[[#This Row],[Age]]&lt;=20, "Under 20yrs",HR_table[[#This Row],[Age]]&lt;=30,"(21-30)yrs",HR_table[[#This Row],[Age]]&lt;=40,"(31-40)yrs",HR_table[[#This Row],[Age]]&lt;=50,"(41-50)yrs",HR_table[[#This Row],[Age]]&lt;=60,"(51-60)yrs")</f>
        <v>(31-40)yrs</v>
      </c>
      <c r="C39" t="s">
        <v>43</v>
      </c>
      <c r="D39" t="s">
        <v>36</v>
      </c>
      <c r="E39" t="s">
        <v>37</v>
      </c>
      <c r="F39" t="s">
        <v>59</v>
      </c>
      <c r="G39" t="s">
        <v>57</v>
      </c>
      <c r="H39">
        <v>49</v>
      </c>
      <c r="I39" s="2">
        <v>2</v>
      </c>
      <c r="J39" s="2">
        <v>4</v>
      </c>
      <c r="K39" t="s">
        <v>39</v>
      </c>
      <c r="L39" s="2">
        <v>1</v>
      </c>
      <c r="M39" s="2">
        <v>4</v>
      </c>
      <c r="N39" t="s">
        <v>48</v>
      </c>
      <c r="O39" s="2">
        <v>2014</v>
      </c>
      <c r="P39" s="2">
        <v>9687</v>
      </c>
      <c r="Q39" s="2">
        <v>1</v>
      </c>
      <c r="R39" t="s">
        <v>43</v>
      </c>
      <c r="S39" s="2">
        <v>3</v>
      </c>
      <c r="T39" s="2">
        <v>1</v>
      </c>
      <c r="U39">
        <v>80</v>
      </c>
      <c r="V39" s="2">
        <v>2</v>
      </c>
      <c r="W39">
        <v>3</v>
      </c>
      <c r="X39">
        <v>3</v>
      </c>
      <c r="Y39">
        <v>2</v>
      </c>
      <c r="Z39">
        <v>2</v>
      </c>
      <c r="AA39">
        <v>2</v>
      </c>
      <c r="AB39">
        <v>2</v>
      </c>
    </row>
    <row r="40" spans="1:28" x14ac:dyDescent="0.35">
      <c r="A40" s="2">
        <v>36</v>
      </c>
      <c r="B40" s="2" t="str" cm="1">
        <f t="array" ref="B40">_xlfn.IFS(HR_table[[#This Row],[Age]]&lt;=20, "Under 20yrs",HR_table[[#This Row],[Age]]&lt;=30,"(21-30)yrs",HR_table[[#This Row],[Age]]&lt;=40,"(31-40)yrs",HR_table[[#This Row],[Age]]&lt;=50,"(41-50)yrs",HR_table[[#This Row],[Age]]&lt;=60,"(51-60)yrs")</f>
        <v>(31-40)yrs</v>
      </c>
      <c r="C40" t="s">
        <v>43</v>
      </c>
      <c r="D40" t="s">
        <v>36</v>
      </c>
      <c r="E40" t="s">
        <v>45</v>
      </c>
      <c r="F40" t="s">
        <v>38</v>
      </c>
      <c r="G40" t="s">
        <v>47</v>
      </c>
      <c r="H40">
        <v>51</v>
      </c>
      <c r="I40" s="2">
        <v>5</v>
      </c>
      <c r="J40" s="2">
        <v>2</v>
      </c>
      <c r="K40" t="s">
        <v>39</v>
      </c>
      <c r="L40" s="2">
        <v>1</v>
      </c>
      <c r="M40" s="2">
        <v>1</v>
      </c>
      <c r="N40" t="s">
        <v>48</v>
      </c>
      <c r="O40" s="2">
        <v>3419</v>
      </c>
      <c r="P40" s="2">
        <v>13072</v>
      </c>
      <c r="Q40" s="2">
        <v>9</v>
      </c>
      <c r="R40" t="s">
        <v>35</v>
      </c>
      <c r="S40" s="2">
        <v>3</v>
      </c>
      <c r="T40" s="2">
        <v>4</v>
      </c>
      <c r="U40">
        <v>80</v>
      </c>
      <c r="V40" s="2">
        <v>6</v>
      </c>
      <c r="W40">
        <v>3</v>
      </c>
      <c r="X40">
        <v>4</v>
      </c>
      <c r="Y40">
        <v>1</v>
      </c>
      <c r="Z40">
        <v>1</v>
      </c>
      <c r="AA40">
        <v>0</v>
      </c>
      <c r="AB40">
        <v>0</v>
      </c>
    </row>
    <row r="41" spans="1:28" x14ac:dyDescent="0.35">
      <c r="A41" s="2">
        <v>33</v>
      </c>
      <c r="B41" s="2" t="str" cm="1">
        <f t="array" ref="B41">_xlfn.IFS(HR_table[[#This Row],[Age]]&lt;=20, "Under 20yrs",HR_table[[#This Row],[Age]]&lt;=30,"(21-30)yrs",HR_table[[#This Row],[Age]]&lt;=40,"(31-40)yrs",HR_table[[#This Row],[Age]]&lt;=50,"(41-50)yrs",HR_table[[#This Row],[Age]]&lt;=60,"(51-60)yrs")</f>
        <v>(31-40)yrs</v>
      </c>
      <c r="C41" t="s">
        <v>43</v>
      </c>
      <c r="D41" t="s">
        <v>44</v>
      </c>
      <c r="E41" t="s">
        <v>37</v>
      </c>
      <c r="F41" t="s">
        <v>38</v>
      </c>
      <c r="G41" t="s">
        <v>40</v>
      </c>
      <c r="H41">
        <v>52</v>
      </c>
      <c r="I41" s="2">
        <v>1</v>
      </c>
      <c r="J41" s="2">
        <v>3</v>
      </c>
      <c r="K41" t="s">
        <v>39</v>
      </c>
      <c r="L41" s="2">
        <v>2</v>
      </c>
      <c r="M41" s="2">
        <v>1</v>
      </c>
      <c r="N41" t="s">
        <v>48</v>
      </c>
      <c r="O41" s="2">
        <v>5376</v>
      </c>
      <c r="P41" s="2">
        <v>3193</v>
      </c>
      <c r="Q41" s="2">
        <v>2</v>
      </c>
      <c r="R41" t="s">
        <v>43</v>
      </c>
      <c r="S41" s="2">
        <v>3</v>
      </c>
      <c r="T41" s="2">
        <v>1</v>
      </c>
      <c r="U41">
        <v>80</v>
      </c>
      <c r="V41" s="2">
        <v>10</v>
      </c>
      <c r="W41">
        <v>3</v>
      </c>
      <c r="X41">
        <v>3</v>
      </c>
      <c r="Y41">
        <v>5</v>
      </c>
      <c r="Z41">
        <v>3</v>
      </c>
      <c r="AA41">
        <v>1</v>
      </c>
      <c r="AB41">
        <v>3</v>
      </c>
    </row>
    <row r="42" spans="1:28" x14ac:dyDescent="0.35">
      <c r="A42" s="2">
        <v>35</v>
      </c>
      <c r="B42" s="2" t="str" cm="1">
        <f t="array" ref="B42">_xlfn.IFS(HR_table[[#This Row],[Age]]&lt;=20, "Under 20yrs",HR_table[[#This Row],[Age]]&lt;=30,"(21-30)yrs",HR_table[[#This Row],[Age]]&lt;=40,"(31-40)yrs",HR_table[[#This Row],[Age]]&lt;=50,"(41-50)yrs",HR_table[[#This Row],[Age]]&lt;=60,"(51-60)yrs")</f>
        <v>(31-40)yrs</v>
      </c>
      <c r="C42" t="s">
        <v>43</v>
      </c>
      <c r="D42" t="s">
        <v>36</v>
      </c>
      <c r="E42" t="s">
        <v>45</v>
      </c>
      <c r="F42" t="s">
        <v>49</v>
      </c>
      <c r="G42" t="s">
        <v>50</v>
      </c>
      <c r="H42">
        <v>53</v>
      </c>
      <c r="I42" s="2">
        <v>4</v>
      </c>
      <c r="J42" s="2">
        <v>3</v>
      </c>
      <c r="K42" t="s">
        <v>46</v>
      </c>
      <c r="L42" s="2">
        <v>1</v>
      </c>
      <c r="M42" s="2">
        <v>4</v>
      </c>
      <c r="N42" t="s">
        <v>52</v>
      </c>
      <c r="O42" s="2">
        <v>1951</v>
      </c>
      <c r="P42" s="2">
        <v>10910</v>
      </c>
      <c r="Q42" s="2">
        <v>1</v>
      </c>
      <c r="R42" t="s">
        <v>43</v>
      </c>
      <c r="S42" s="2">
        <v>3</v>
      </c>
      <c r="T42" s="2">
        <v>3</v>
      </c>
      <c r="U42">
        <v>80</v>
      </c>
      <c r="V42" s="2">
        <v>1</v>
      </c>
      <c r="W42">
        <v>3</v>
      </c>
      <c r="X42">
        <v>3</v>
      </c>
      <c r="Y42">
        <v>1</v>
      </c>
      <c r="Z42">
        <v>0</v>
      </c>
      <c r="AA42">
        <v>0</v>
      </c>
      <c r="AB42">
        <v>0</v>
      </c>
    </row>
    <row r="43" spans="1:28" x14ac:dyDescent="0.35">
      <c r="A43" s="2">
        <v>27</v>
      </c>
      <c r="B43" s="2" t="str" cm="1">
        <f t="array" ref="B43">_xlfn.IFS(HR_table[[#This Row],[Age]]&lt;=20, "Under 20yrs",HR_table[[#This Row],[Age]]&lt;=30,"(21-30)yrs",HR_table[[#This Row],[Age]]&lt;=40,"(31-40)yrs",HR_table[[#This Row],[Age]]&lt;=50,"(41-50)yrs",HR_table[[#This Row],[Age]]&lt;=60,"(51-60)yrs")</f>
        <v>(21-30)yrs</v>
      </c>
      <c r="C43" t="s">
        <v>43</v>
      </c>
      <c r="D43" t="s">
        <v>36</v>
      </c>
      <c r="E43" t="s">
        <v>45</v>
      </c>
      <c r="F43" t="s">
        <v>38</v>
      </c>
      <c r="G43" t="s">
        <v>50</v>
      </c>
      <c r="H43">
        <v>54</v>
      </c>
      <c r="I43" s="2">
        <v>2</v>
      </c>
      <c r="J43" s="2">
        <v>4</v>
      </c>
      <c r="K43" t="s">
        <v>39</v>
      </c>
      <c r="L43" s="2">
        <v>1</v>
      </c>
      <c r="M43" s="2">
        <v>1</v>
      </c>
      <c r="N43" t="s">
        <v>52</v>
      </c>
      <c r="O43" s="2">
        <v>2341</v>
      </c>
      <c r="P43" s="2">
        <v>19715</v>
      </c>
      <c r="Q43" s="2">
        <v>1</v>
      </c>
      <c r="R43" t="s">
        <v>43</v>
      </c>
      <c r="S43" s="2">
        <v>3</v>
      </c>
      <c r="T43" s="2">
        <v>4</v>
      </c>
      <c r="U43">
        <v>80</v>
      </c>
      <c r="V43" s="2">
        <v>1</v>
      </c>
      <c r="W43">
        <v>6</v>
      </c>
      <c r="X43">
        <v>3</v>
      </c>
      <c r="Y43">
        <v>1</v>
      </c>
      <c r="Z43">
        <v>0</v>
      </c>
      <c r="AA43">
        <v>0</v>
      </c>
      <c r="AB43">
        <v>0</v>
      </c>
    </row>
    <row r="44" spans="1:28" x14ac:dyDescent="0.35">
      <c r="A44" s="2">
        <v>26</v>
      </c>
      <c r="B44" s="2" t="str" cm="1">
        <f t="array" ref="B44">_xlfn.IFS(HR_table[[#This Row],[Age]]&lt;=20, "Under 20yrs",HR_table[[#This Row],[Age]]&lt;=30,"(21-30)yrs",HR_table[[#This Row],[Age]]&lt;=40,"(31-40)yrs",HR_table[[#This Row],[Age]]&lt;=50,"(41-50)yrs",HR_table[[#This Row],[Age]]&lt;=60,"(51-60)yrs")</f>
        <v>(21-30)yrs</v>
      </c>
      <c r="C44" t="s">
        <v>35</v>
      </c>
      <c r="D44" t="s">
        <v>36</v>
      </c>
      <c r="E44" t="s">
        <v>45</v>
      </c>
      <c r="F44" t="s">
        <v>38</v>
      </c>
      <c r="G44" t="s">
        <v>50</v>
      </c>
      <c r="H44">
        <v>55</v>
      </c>
      <c r="I44" s="2">
        <v>25</v>
      </c>
      <c r="J44" s="2">
        <v>1</v>
      </c>
      <c r="K44" t="s">
        <v>46</v>
      </c>
      <c r="L44" s="2">
        <v>1</v>
      </c>
      <c r="M44" s="2">
        <v>3</v>
      </c>
      <c r="N44" t="s">
        <v>41</v>
      </c>
      <c r="O44" s="2">
        <v>2293</v>
      </c>
      <c r="P44" s="2">
        <v>10558</v>
      </c>
      <c r="Q44" s="2">
        <v>1</v>
      </c>
      <c r="R44" t="s">
        <v>43</v>
      </c>
      <c r="S44" s="2">
        <v>3</v>
      </c>
      <c r="T44" s="2">
        <v>3</v>
      </c>
      <c r="U44">
        <v>80</v>
      </c>
      <c r="V44" s="2">
        <v>1</v>
      </c>
      <c r="W44">
        <v>2</v>
      </c>
      <c r="X44">
        <v>2</v>
      </c>
      <c r="Y44">
        <v>1</v>
      </c>
      <c r="Z44">
        <v>0</v>
      </c>
      <c r="AA44">
        <v>0</v>
      </c>
      <c r="AB44">
        <v>1</v>
      </c>
    </row>
    <row r="45" spans="1:28" x14ac:dyDescent="0.35">
      <c r="A45" s="2">
        <v>27</v>
      </c>
      <c r="B45" s="2" t="str" cm="1">
        <f t="array" ref="B45">_xlfn.IFS(HR_table[[#This Row],[Age]]&lt;=20, "Under 20yrs",HR_table[[#This Row],[Age]]&lt;=30,"(21-30)yrs",HR_table[[#This Row],[Age]]&lt;=40,"(31-40)yrs",HR_table[[#This Row],[Age]]&lt;=50,"(41-50)yrs",HR_table[[#This Row],[Age]]&lt;=60,"(51-60)yrs")</f>
        <v>(21-30)yrs</v>
      </c>
      <c r="C45" t="s">
        <v>43</v>
      </c>
      <c r="D45" t="s">
        <v>44</v>
      </c>
      <c r="E45" t="s">
        <v>37</v>
      </c>
      <c r="F45" t="s">
        <v>38</v>
      </c>
      <c r="G45" t="s">
        <v>40</v>
      </c>
      <c r="H45">
        <v>56</v>
      </c>
      <c r="I45" s="2">
        <v>8</v>
      </c>
      <c r="J45" s="2">
        <v>4</v>
      </c>
      <c r="K45" t="s">
        <v>46</v>
      </c>
      <c r="L45" s="2">
        <v>3</v>
      </c>
      <c r="M45" s="2">
        <v>3</v>
      </c>
      <c r="N45" t="s">
        <v>41</v>
      </c>
      <c r="O45" s="2">
        <v>8726</v>
      </c>
      <c r="P45" s="2">
        <v>2975</v>
      </c>
      <c r="Q45" s="2">
        <v>1</v>
      </c>
      <c r="R45" t="s">
        <v>43</v>
      </c>
      <c r="S45" s="2">
        <v>3</v>
      </c>
      <c r="T45" s="2">
        <v>4</v>
      </c>
      <c r="U45">
        <v>80</v>
      </c>
      <c r="V45" s="2">
        <v>9</v>
      </c>
      <c r="W45">
        <v>0</v>
      </c>
      <c r="X45">
        <v>3</v>
      </c>
      <c r="Y45">
        <v>9</v>
      </c>
      <c r="Z45">
        <v>8</v>
      </c>
      <c r="AA45">
        <v>1</v>
      </c>
      <c r="AB45">
        <v>7</v>
      </c>
    </row>
    <row r="46" spans="1:28" x14ac:dyDescent="0.35">
      <c r="A46" s="2">
        <v>30</v>
      </c>
      <c r="B46" s="2" t="str" cm="1">
        <f t="array" ref="B46">_xlfn.IFS(HR_table[[#This Row],[Age]]&lt;=20, "Under 20yrs",HR_table[[#This Row],[Age]]&lt;=30,"(21-30)yrs",HR_table[[#This Row],[Age]]&lt;=40,"(31-40)yrs",HR_table[[#This Row],[Age]]&lt;=50,"(41-50)yrs",HR_table[[#This Row],[Age]]&lt;=60,"(51-60)yrs")</f>
        <v>(21-30)yrs</v>
      </c>
      <c r="C46" t="s">
        <v>43</v>
      </c>
      <c r="D46" t="s">
        <v>44</v>
      </c>
      <c r="E46" t="s">
        <v>45</v>
      </c>
      <c r="F46" t="s">
        <v>51</v>
      </c>
      <c r="G46" t="s">
        <v>50</v>
      </c>
      <c r="H46">
        <v>57</v>
      </c>
      <c r="I46" s="2">
        <v>1</v>
      </c>
      <c r="J46" s="2">
        <v>3</v>
      </c>
      <c r="K46" t="s">
        <v>39</v>
      </c>
      <c r="L46" s="2">
        <v>2</v>
      </c>
      <c r="M46" s="2">
        <v>4</v>
      </c>
      <c r="N46" t="s">
        <v>41</v>
      </c>
      <c r="O46" s="2">
        <v>4011</v>
      </c>
      <c r="P46" s="2">
        <v>10781</v>
      </c>
      <c r="Q46" s="2">
        <v>1</v>
      </c>
      <c r="R46" t="s">
        <v>43</v>
      </c>
      <c r="S46" s="2">
        <v>4</v>
      </c>
      <c r="T46" s="2">
        <v>4</v>
      </c>
      <c r="U46">
        <v>80</v>
      </c>
      <c r="V46" s="2">
        <v>12</v>
      </c>
      <c r="W46">
        <v>2</v>
      </c>
      <c r="X46">
        <v>3</v>
      </c>
      <c r="Y46">
        <v>12</v>
      </c>
      <c r="Z46">
        <v>8</v>
      </c>
      <c r="AA46">
        <v>3</v>
      </c>
      <c r="AB46">
        <v>7</v>
      </c>
    </row>
    <row r="47" spans="1:28" x14ac:dyDescent="0.35">
      <c r="A47" s="2">
        <v>41</v>
      </c>
      <c r="B47" s="2" t="str" cm="1">
        <f t="array" ref="B47">_xlfn.IFS(HR_table[[#This Row],[Age]]&lt;=20, "Under 20yrs",HR_table[[#This Row],[Age]]&lt;=30,"(21-30)yrs",HR_table[[#This Row],[Age]]&lt;=40,"(31-40)yrs",HR_table[[#This Row],[Age]]&lt;=50,"(41-50)yrs",HR_table[[#This Row],[Age]]&lt;=60,"(51-60)yrs")</f>
        <v>(41-50)yrs</v>
      </c>
      <c r="C47" t="s">
        <v>35</v>
      </c>
      <c r="D47" t="s">
        <v>36</v>
      </c>
      <c r="E47" t="s">
        <v>45</v>
      </c>
      <c r="F47" t="s">
        <v>60</v>
      </c>
      <c r="G47" t="s">
        <v>58</v>
      </c>
      <c r="H47">
        <v>58</v>
      </c>
      <c r="I47" s="2">
        <v>12</v>
      </c>
      <c r="J47" s="2">
        <v>2</v>
      </c>
      <c r="K47" t="s">
        <v>39</v>
      </c>
      <c r="L47" s="2">
        <v>5</v>
      </c>
      <c r="M47" s="2">
        <v>3</v>
      </c>
      <c r="N47" t="s">
        <v>48</v>
      </c>
      <c r="O47" s="2">
        <v>19545</v>
      </c>
      <c r="P47" s="2">
        <v>16280</v>
      </c>
      <c r="Q47" s="2">
        <v>1</v>
      </c>
      <c r="R47" t="s">
        <v>43</v>
      </c>
      <c r="S47" s="2">
        <v>3</v>
      </c>
      <c r="T47" s="2">
        <v>4</v>
      </c>
      <c r="U47">
        <v>80</v>
      </c>
      <c r="V47" s="2">
        <v>23</v>
      </c>
      <c r="W47">
        <v>0</v>
      </c>
      <c r="X47">
        <v>3</v>
      </c>
      <c r="Y47">
        <v>22</v>
      </c>
      <c r="Z47">
        <v>15</v>
      </c>
      <c r="AA47">
        <v>15</v>
      </c>
      <c r="AB47">
        <v>8</v>
      </c>
    </row>
    <row r="48" spans="1:28" x14ac:dyDescent="0.35">
      <c r="A48" s="2">
        <v>34</v>
      </c>
      <c r="B48" s="2" t="str" cm="1">
        <f t="array" ref="B48">_xlfn.IFS(HR_table[[#This Row],[Age]]&lt;=20, "Under 20yrs",HR_table[[#This Row],[Age]]&lt;=30,"(21-30)yrs",HR_table[[#This Row],[Age]]&lt;=40,"(31-40)yrs",HR_table[[#This Row],[Age]]&lt;=50,"(41-50)yrs",HR_table[[#This Row],[Age]]&lt;=60,"(51-60)yrs")</f>
        <v>(31-40)yrs</v>
      </c>
      <c r="C48" t="s">
        <v>43</v>
      </c>
      <c r="D48" t="s">
        <v>55</v>
      </c>
      <c r="E48" t="s">
        <v>37</v>
      </c>
      <c r="F48" t="s">
        <v>59</v>
      </c>
      <c r="G48" t="s">
        <v>40</v>
      </c>
      <c r="H48">
        <v>60</v>
      </c>
      <c r="I48" s="2">
        <v>23</v>
      </c>
      <c r="J48" s="2">
        <v>2</v>
      </c>
      <c r="K48" t="s">
        <v>46</v>
      </c>
      <c r="L48" s="2">
        <v>2</v>
      </c>
      <c r="M48" s="2">
        <v>3</v>
      </c>
      <c r="N48" t="s">
        <v>41</v>
      </c>
      <c r="O48" s="2">
        <v>4568</v>
      </c>
      <c r="P48" s="2">
        <v>10034</v>
      </c>
      <c r="Q48" s="2">
        <v>0</v>
      </c>
      <c r="R48" t="s">
        <v>43</v>
      </c>
      <c r="S48" s="2">
        <v>4</v>
      </c>
      <c r="T48" s="2">
        <v>3</v>
      </c>
      <c r="U48">
        <v>80</v>
      </c>
      <c r="V48" s="2">
        <v>10</v>
      </c>
      <c r="W48">
        <v>2</v>
      </c>
      <c r="X48">
        <v>3</v>
      </c>
      <c r="Y48">
        <v>9</v>
      </c>
      <c r="Z48">
        <v>5</v>
      </c>
      <c r="AA48">
        <v>8</v>
      </c>
      <c r="AB48">
        <v>7</v>
      </c>
    </row>
    <row r="49" spans="1:28" x14ac:dyDescent="0.35">
      <c r="A49" s="2">
        <v>37</v>
      </c>
      <c r="B49" s="2" t="str" cm="1">
        <f t="array" ref="B49">_xlfn.IFS(HR_table[[#This Row],[Age]]&lt;=20, "Under 20yrs",HR_table[[#This Row],[Age]]&lt;=30,"(21-30)yrs",HR_table[[#This Row],[Age]]&lt;=40,"(31-40)yrs",HR_table[[#This Row],[Age]]&lt;=50,"(41-50)yrs",HR_table[[#This Row],[Age]]&lt;=60,"(51-60)yrs")</f>
        <v>(31-40)yrs</v>
      </c>
      <c r="C49" t="s">
        <v>43</v>
      </c>
      <c r="D49" t="s">
        <v>36</v>
      </c>
      <c r="E49" t="s">
        <v>45</v>
      </c>
      <c r="F49" t="s">
        <v>38</v>
      </c>
      <c r="G49" t="s">
        <v>47</v>
      </c>
      <c r="H49">
        <v>61</v>
      </c>
      <c r="I49" s="2">
        <v>19</v>
      </c>
      <c r="J49" s="2">
        <v>2</v>
      </c>
      <c r="K49" t="s">
        <v>46</v>
      </c>
      <c r="L49" s="2">
        <v>1</v>
      </c>
      <c r="M49" s="2">
        <v>2</v>
      </c>
      <c r="N49" t="s">
        <v>48</v>
      </c>
      <c r="O49" s="2">
        <v>3022</v>
      </c>
      <c r="P49" s="2">
        <v>10227</v>
      </c>
      <c r="Q49" s="2">
        <v>4</v>
      </c>
      <c r="R49" t="s">
        <v>43</v>
      </c>
      <c r="S49" s="2">
        <v>4</v>
      </c>
      <c r="T49" s="2">
        <v>1</v>
      </c>
      <c r="U49">
        <v>80</v>
      </c>
      <c r="V49" s="2">
        <v>8</v>
      </c>
      <c r="W49">
        <v>1</v>
      </c>
      <c r="X49">
        <v>3</v>
      </c>
      <c r="Y49">
        <v>1</v>
      </c>
      <c r="Z49">
        <v>0</v>
      </c>
      <c r="AA49">
        <v>0</v>
      </c>
      <c r="AB49">
        <v>0</v>
      </c>
    </row>
    <row r="50" spans="1:28" x14ac:dyDescent="0.35">
      <c r="A50" s="2">
        <v>46</v>
      </c>
      <c r="B50" s="2" t="str" cm="1">
        <f t="array" ref="B50">_xlfn.IFS(HR_table[[#This Row],[Age]]&lt;=20, "Under 20yrs",HR_table[[#This Row],[Age]]&lt;=30,"(21-30)yrs",HR_table[[#This Row],[Age]]&lt;=40,"(31-40)yrs",HR_table[[#This Row],[Age]]&lt;=50,"(41-50)yrs",HR_table[[#This Row],[Age]]&lt;=60,"(51-60)yrs")</f>
        <v>(41-50)yrs</v>
      </c>
      <c r="C50" t="s">
        <v>43</v>
      </c>
      <c r="D50" t="s">
        <v>44</v>
      </c>
      <c r="E50" t="s">
        <v>37</v>
      </c>
      <c r="F50" t="s">
        <v>59</v>
      </c>
      <c r="G50" t="s">
        <v>40</v>
      </c>
      <c r="H50">
        <v>62</v>
      </c>
      <c r="I50" s="2">
        <v>5</v>
      </c>
      <c r="J50" s="2">
        <v>1</v>
      </c>
      <c r="K50" t="s">
        <v>46</v>
      </c>
      <c r="L50" s="2">
        <v>2</v>
      </c>
      <c r="M50" s="2">
        <v>4</v>
      </c>
      <c r="N50" t="s">
        <v>41</v>
      </c>
      <c r="O50" s="2">
        <v>5772</v>
      </c>
      <c r="P50" s="2">
        <v>20445</v>
      </c>
      <c r="Q50" s="2">
        <v>4</v>
      </c>
      <c r="R50" t="s">
        <v>35</v>
      </c>
      <c r="S50" s="2">
        <v>4</v>
      </c>
      <c r="T50" s="2">
        <v>3</v>
      </c>
      <c r="U50">
        <v>80</v>
      </c>
      <c r="V50" s="2">
        <v>14</v>
      </c>
      <c r="W50">
        <v>4</v>
      </c>
      <c r="X50">
        <v>3</v>
      </c>
      <c r="Y50">
        <v>9</v>
      </c>
      <c r="Z50">
        <v>6</v>
      </c>
      <c r="AA50">
        <v>0</v>
      </c>
      <c r="AB50">
        <v>8</v>
      </c>
    </row>
    <row r="51" spans="1:28" x14ac:dyDescent="0.35">
      <c r="A51" s="2">
        <v>35</v>
      </c>
      <c r="B51" s="2" t="str" cm="1">
        <f t="array" ref="B51">_xlfn.IFS(HR_table[[#This Row],[Age]]&lt;=20, "Under 20yrs",HR_table[[#This Row],[Age]]&lt;=30,"(21-30)yrs",HR_table[[#This Row],[Age]]&lt;=40,"(31-40)yrs",HR_table[[#This Row],[Age]]&lt;=50,"(41-50)yrs",HR_table[[#This Row],[Age]]&lt;=60,"(51-60)yrs")</f>
        <v>(31-40)yrs</v>
      </c>
      <c r="C51" t="s">
        <v>43</v>
      </c>
      <c r="D51" t="s">
        <v>36</v>
      </c>
      <c r="E51" t="s">
        <v>45</v>
      </c>
      <c r="F51" t="s">
        <v>38</v>
      </c>
      <c r="G51" t="s">
        <v>50</v>
      </c>
      <c r="H51">
        <v>63</v>
      </c>
      <c r="I51" s="2">
        <v>8</v>
      </c>
      <c r="J51" s="2">
        <v>4</v>
      </c>
      <c r="K51" t="s">
        <v>46</v>
      </c>
      <c r="L51" s="2">
        <v>1</v>
      </c>
      <c r="M51" s="2">
        <v>4</v>
      </c>
      <c r="N51" t="s">
        <v>48</v>
      </c>
      <c r="O51" s="2">
        <v>2269</v>
      </c>
      <c r="P51" s="2">
        <v>4892</v>
      </c>
      <c r="Q51" s="2">
        <v>1</v>
      </c>
      <c r="R51" t="s">
        <v>43</v>
      </c>
      <c r="S51" s="2">
        <v>3</v>
      </c>
      <c r="T51" s="2">
        <v>4</v>
      </c>
      <c r="U51">
        <v>80</v>
      </c>
      <c r="V51" s="2">
        <v>1</v>
      </c>
      <c r="W51">
        <v>2</v>
      </c>
      <c r="X51">
        <v>3</v>
      </c>
      <c r="Y51">
        <v>1</v>
      </c>
      <c r="Z51">
        <v>0</v>
      </c>
      <c r="AA51">
        <v>0</v>
      </c>
      <c r="AB51">
        <v>1</v>
      </c>
    </row>
    <row r="52" spans="1:28" x14ac:dyDescent="0.35">
      <c r="A52" s="2">
        <v>48</v>
      </c>
      <c r="B52" s="2" t="str" cm="1">
        <f t="array" ref="B52">_xlfn.IFS(HR_table[[#This Row],[Age]]&lt;=20, "Under 20yrs",HR_table[[#This Row],[Age]]&lt;=30,"(21-30)yrs",HR_table[[#This Row],[Age]]&lt;=40,"(31-40)yrs",HR_table[[#This Row],[Age]]&lt;=50,"(41-50)yrs",HR_table[[#This Row],[Age]]&lt;=60,"(51-60)yrs")</f>
        <v>(41-50)yrs</v>
      </c>
      <c r="C52" t="s">
        <v>35</v>
      </c>
      <c r="D52" t="s">
        <v>36</v>
      </c>
      <c r="E52" t="s">
        <v>45</v>
      </c>
      <c r="F52" t="s">
        <v>38</v>
      </c>
      <c r="G52" t="s">
        <v>50</v>
      </c>
      <c r="H52">
        <v>64</v>
      </c>
      <c r="I52" s="2">
        <v>1</v>
      </c>
      <c r="J52" s="2">
        <v>1</v>
      </c>
      <c r="K52" t="s">
        <v>46</v>
      </c>
      <c r="L52" s="2">
        <v>3</v>
      </c>
      <c r="M52" s="2">
        <v>3</v>
      </c>
      <c r="N52" t="s">
        <v>41</v>
      </c>
      <c r="O52" s="2">
        <v>5381</v>
      </c>
      <c r="P52" s="2">
        <v>19294</v>
      </c>
      <c r="Q52" s="2">
        <v>9</v>
      </c>
      <c r="R52" t="s">
        <v>35</v>
      </c>
      <c r="S52" s="2">
        <v>3</v>
      </c>
      <c r="T52" s="2">
        <v>4</v>
      </c>
      <c r="U52">
        <v>80</v>
      </c>
      <c r="V52" s="2">
        <v>23</v>
      </c>
      <c r="W52">
        <v>2</v>
      </c>
      <c r="X52">
        <v>3</v>
      </c>
      <c r="Y52">
        <v>1</v>
      </c>
      <c r="Z52">
        <v>0</v>
      </c>
      <c r="AA52">
        <v>0</v>
      </c>
      <c r="AB52">
        <v>0</v>
      </c>
    </row>
    <row r="53" spans="1:28" x14ac:dyDescent="0.35">
      <c r="A53" s="2">
        <v>28</v>
      </c>
      <c r="B53" s="2" t="str" cm="1">
        <f t="array" ref="B53">_xlfn.IFS(HR_table[[#This Row],[Age]]&lt;=20, "Under 20yrs",HR_table[[#This Row],[Age]]&lt;=30,"(21-30)yrs",HR_table[[#This Row],[Age]]&lt;=40,"(31-40)yrs",HR_table[[#This Row],[Age]]&lt;=50,"(41-50)yrs",HR_table[[#This Row],[Age]]&lt;=60,"(51-60)yrs")</f>
        <v>(21-30)yrs</v>
      </c>
      <c r="C53" t="s">
        <v>35</v>
      </c>
      <c r="D53" t="s">
        <v>36</v>
      </c>
      <c r="E53" t="s">
        <v>45</v>
      </c>
      <c r="F53" t="s">
        <v>60</v>
      </c>
      <c r="G53" t="s">
        <v>50</v>
      </c>
      <c r="H53">
        <v>65</v>
      </c>
      <c r="I53" s="2">
        <v>5</v>
      </c>
      <c r="J53" s="2">
        <v>3</v>
      </c>
      <c r="K53" t="s">
        <v>46</v>
      </c>
      <c r="L53" s="2">
        <v>1</v>
      </c>
      <c r="M53" s="2">
        <v>3</v>
      </c>
      <c r="N53" t="s">
        <v>41</v>
      </c>
      <c r="O53" s="2">
        <v>3441</v>
      </c>
      <c r="P53" s="2">
        <v>11179</v>
      </c>
      <c r="Q53" s="2">
        <v>1</v>
      </c>
      <c r="R53" t="s">
        <v>35</v>
      </c>
      <c r="S53" s="2">
        <v>3</v>
      </c>
      <c r="T53" s="2">
        <v>3</v>
      </c>
      <c r="U53">
        <v>80</v>
      </c>
      <c r="V53" s="2">
        <v>2</v>
      </c>
      <c r="W53">
        <v>3</v>
      </c>
      <c r="X53">
        <v>2</v>
      </c>
      <c r="Y53">
        <v>2</v>
      </c>
      <c r="Z53">
        <v>2</v>
      </c>
      <c r="AA53">
        <v>2</v>
      </c>
      <c r="AB53">
        <v>2</v>
      </c>
    </row>
    <row r="54" spans="1:28" x14ac:dyDescent="0.35">
      <c r="A54" s="2">
        <v>44</v>
      </c>
      <c r="B54" s="2" t="str" cm="1">
        <f t="array" ref="B54">_xlfn.IFS(HR_table[[#This Row],[Age]]&lt;=20, "Under 20yrs",HR_table[[#This Row],[Age]]&lt;=30,"(21-30)yrs",HR_table[[#This Row],[Age]]&lt;=40,"(31-40)yrs",HR_table[[#This Row],[Age]]&lt;=50,"(41-50)yrs",HR_table[[#This Row],[Age]]&lt;=60,"(51-60)yrs")</f>
        <v>(41-50)yrs</v>
      </c>
      <c r="C54" t="s">
        <v>43</v>
      </c>
      <c r="D54" t="s">
        <v>36</v>
      </c>
      <c r="E54" t="s">
        <v>37</v>
      </c>
      <c r="F54" t="s">
        <v>59</v>
      </c>
      <c r="G54" t="s">
        <v>40</v>
      </c>
      <c r="H54">
        <v>68</v>
      </c>
      <c r="I54" s="2">
        <v>1</v>
      </c>
      <c r="J54" s="2">
        <v>2</v>
      </c>
      <c r="K54" t="s">
        <v>39</v>
      </c>
      <c r="L54" s="2">
        <v>2</v>
      </c>
      <c r="M54" s="2">
        <v>1</v>
      </c>
      <c r="N54" t="s">
        <v>52</v>
      </c>
      <c r="O54" s="2">
        <v>5454</v>
      </c>
      <c r="P54" s="2">
        <v>4009</v>
      </c>
      <c r="Q54" s="2">
        <v>5</v>
      </c>
      <c r="R54" t="s">
        <v>35</v>
      </c>
      <c r="S54" s="2">
        <v>4</v>
      </c>
      <c r="T54" s="2">
        <v>3</v>
      </c>
      <c r="U54">
        <v>80</v>
      </c>
      <c r="V54" s="2">
        <v>9</v>
      </c>
      <c r="W54">
        <v>2</v>
      </c>
      <c r="X54">
        <v>2</v>
      </c>
      <c r="Y54">
        <v>4</v>
      </c>
      <c r="Z54">
        <v>3</v>
      </c>
      <c r="AA54">
        <v>1</v>
      </c>
      <c r="AB54">
        <v>3</v>
      </c>
    </row>
    <row r="55" spans="1:28" x14ac:dyDescent="0.35">
      <c r="A55" s="2">
        <v>35</v>
      </c>
      <c r="B55" s="2" t="str" cm="1">
        <f t="array" ref="B55">_xlfn.IFS(HR_table[[#This Row],[Age]]&lt;=20, "Under 20yrs",HR_table[[#This Row],[Age]]&lt;=30,"(21-30)yrs",HR_table[[#This Row],[Age]]&lt;=40,"(31-40)yrs",HR_table[[#This Row],[Age]]&lt;=50,"(41-50)yrs",HR_table[[#This Row],[Age]]&lt;=60,"(51-60)yrs")</f>
        <v>(31-40)yrs</v>
      </c>
      <c r="C55" t="s">
        <v>43</v>
      </c>
      <c r="D55" t="s">
        <v>55</v>
      </c>
      <c r="E55" t="s">
        <v>45</v>
      </c>
      <c r="F55" t="s">
        <v>51</v>
      </c>
      <c r="G55" t="s">
        <v>54</v>
      </c>
      <c r="H55">
        <v>70</v>
      </c>
      <c r="I55" s="2">
        <v>11</v>
      </c>
      <c r="J55" s="2">
        <v>3</v>
      </c>
      <c r="K55" t="s">
        <v>46</v>
      </c>
      <c r="L55" s="2">
        <v>3</v>
      </c>
      <c r="M55" s="2">
        <v>1</v>
      </c>
      <c r="N55" t="s">
        <v>48</v>
      </c>
      <c r="O55" s="2">
        <v>9884</v>
      </c>
      <c r="P55" s="2">
        <v>8302</v>
      </c>
      <c r="Q55" s="2">
        <v>2</v>
      </c>
      <c r="R55" t="s">
        <v>35</v>
      </c>
      <c r="S55" s="2">
        <v>3</v>
      </c>
      <c r="T55" s="2">
        <v>3</v>
      </c>
      <c r="U55">
        <v>80</v>
      </c>
      <c r="V55" s="2">
        <v>10</v>
      </c>
      <c r="W55">
        <v>3</v>
      </c>
      <c r="X55">
        <v>3</v>
      </c>
      <c r="Y55">
        <v>4</v>
      </c>
      <c r="Z55">
        <v>0</v>
      </c>
      <c r="AA55">
        <v>2</v>
      </c>
      <c r="AB55">
        <v>3</v>
      </c>
    </row>
    <row r="56" spans="1:28" x14ac:dyDescent="0.35">
      <c r="A56" s="2">
        <v>26</v>
      </c>
      <c r="B56" s="2" t="str" cm="1">
        <f t="array" ref="B56">_xlfn.IFS(HR_table[[#This Row],[Age]]&lt;=20, "Under 20yrs",HR_table[[#This Row],[Age]]&lt;=30,"(21-30)yrs",HR_table[[#This Row],[Age]]&lt;=40,"(31-40)yrs",HR_table[[#This Row],[Age]]&lt;=50,"(41-50)yrs",HR_table[[#This Row],[Age]]&lt;=60,"(51-60)yrs")</f>
        <v>(21-30)yrs</v>
      </c>
      <c r="C56" t="s">
        <v>43</v>
      </c>
      <c r="D56" t="s">
        <v>36</v>
      </c>
      <c r="E56" t="s">
        <v>37</v>
      </c>
      <c r="F56" t="s">
        <v>59</v>
      </c>
      <c r="G56" t="s">
        <v>40</v>
      </c>
      <c r="H56">
        <v>72</v>
      </c>
      <c r="I56" s="2">
        <v>23</v>
      </c>
      <c r="J56" s="2">
        <v>3</v>
      </c>
      <c r="K56" t="s">
        <v>39</v>
      </c>
      <c r="L56" s="2">
        <v>2</v>
      </c>
      <c r="M56" s="2">
        <v>4</v>
      </c>
      <c r="N56" t="s">
        <v>48</v>
      </c>
      <c r="O56" s="2">
        <v>4157</v>
      </c>
      <c r="P56" s="2">
        <v>21436</v>
      </c>
      <c r="Q56" s="2">
        <v>7</v>
      </c>
      <c r="R56" t="s">
        <v>35</v>
      </c>
      <c r="S56" s="2">
        <v>3</v>
      </c>
      <c r="T56" s="2">
        <v>3</v>
      </c>
      <c r="U56">
        <v>80</v>
      </c>
      <c r="V56" s="2">
        <v>5</v>
      </c>
      <c r="W56">
        <v>2</v>
      </c>
      <c r="X56">
        <v>2</v>
      </c>
      <c r="Y56">
        <v>2</v>
      </c>
      <c r="Z56">
        <v>2</v>
      </c>
      <c r="AA56">
        <v>0</v>
      </c>
      <c r="AB56">
        <v>0</v>
      </c>
    </row>
    <row r="57" spans="1:28" x14ac:dyDescent="0.35">
      <c r="A57" s="2">
        <v>33</v>
      </c>
      <c r="B57" s="2" t="str" cm="1">
        <f t="array" ref="B57">_xlfn.IFS(HR_table[[#This Row],[Age]]&lt;=20, "Under 20yrs",HR_table[[#This Row],[Age]]&lt;=30,"(21-30)yrs",HR_table[[#This Row],[Age]]&lt;=40,"(31-40)yrs",HR_table[[#This Row],[Age]]&lt;=50,"(41-50)yrs",HR_table[[#This Row],[Age]]&lt;=60,"(51-60)yrs")</f>
        <v>(31-40)yrs</v>
      </c>
      <c r="C57" t="s">
        <v>43</v>
      </c>
      <c r="D57" t="s">
        <v>44</v>
      </c>
      <c r="E57" t="s">
        <v>45</v>
      </c>
      <c r="F57" t="s">
        <v>38</v>
      </c>
      <c r="G57" t="s">
        <v>58</v>
      </c>
      <c r="H57">
        <v>73</v>
      </c>
      <c r="I57" s="2">
        <v>1</v>
      </c>
      <c r="J57" s="2">
        <v>1</v>
      </c>
      <c r="K57" t="s">
        <v>39</v>
      </c>
      <c r="L57" s="2">
        <v>3</v>
      </c>
      <c r="M57" s="2">
        <v>4</v>
      </c>
      <c r="N57" t="s">
        <v>41</v>
      </c>
      <c r="O57" s="2">
        <v>13458</v>
      </c>
      <c r="P57" s="2">
        <v>15146</v>
      </c>
      <c r="Q57" s="2">
        <v>1</v>
      </c>
      <c r="R57" t="s">
        <v>35</v>
      </c>
      <c r="S57" s="2">
        <v>3</v>
      </c>
      <c r="T57" s="2">
        <v>3</v>
      </c>
      <c r="U57">
        <v>80</v>
      </c>
      <c r="V57" s="2">
        <v>15</v>
      </c>
      <c r="W57">
        <v>1</v>
      </c>
      <c r="X57">
        <v>3</v>
      </c>
      <c r="Y57">
        <v>15</v>
      </c>
      <c r="Z57">
        <v>14</v>
      </c>
      <c r="AA57">
        <v>8</v>
      </c>
      <c r="AB57">
        <v>12</v>
      </c>
    </row>
    <row r="58" spans="1:28" x14ac:dyDescent="0.35">
      <c r="A58" s="2">
        <v>35</v>
      </c>
      <c r="B58" s="2" t="str" cm="1">
        <f t="array" ref="B58">_xlfn.IFS(HR_table[[#This Row],[Age]]&lt;=20, "Under 20yrs",HR_table[[#This Row],[Age]]&lt;=30,"(21-30)yrs",HR_table[[#This Row],[Age]]&lt;=40,"(31-40)yrs",HR_table[[#This Row],[Age]]&lt;=50,"(41-50)yrs",HR_table[[#This Row],[Age]]&lt;=60,"(51-60)yrs")</f>
        <v>(31-40)yrs</v>
      </c>
      <c r="C58" t="s">
        <v>43</v>
      </c>
      <c r="D58" t="s">
        <v>44</v>
      </c>
      <c r="E58" t="s">
        <v>37</v>
      </c>
      <c r="F58" t="s">
        <v>38</v>
      </c>
      <c r="G58" t="s">
        <v>40</v>
      </c>
      <c r="H58">
        <v>74</v>
      </c>
      <c r="I58" s="2">
        <v>18</v>
      </c>
      <c r="J58" s="2">
        <v>2</v>
      </c>
      <c r="K58" t="s">
        <v>46</v>
      </c>
      <c r="L58" s="2">
        <v>3</v>
      </c>
      <c r="M58" s="2">
        <v>1</v>
      </c>
      <c r="N58" t="s">
        <v>48</v>
      </c>
      <c r="O58" s="2">
        <v>9069</v>
      </c>
      <c r="P58" s="2">
        <v>11031</v>
      </c>
      <c r="Q58" s="2">
        <v>1</v>
      </c>
      <c r="R58" t="s">
        <v>43</v>
      </c>
      <c r="S58" s="2">
        <v>4</v>
      </c>
      <c r="T58" s="2">
        <v>4</v>
      </c>
      <c r="U58">
        <v>80</v>
      </c>
      <c r="V58" s="2">
        <v>9</v>
      </c>
      <c r="W58">
        <v>3</v>
      </c>
      <c r="X58">
        <v>2</v>
      </c>
      <c r="Y58">
        <v>9</v>
      </c>
      <c r="Z58">
        <v>8</v>
      </c>
      <c r="AA58">
        <v>1</v>
      </c>
      <c r="AB58">
        <v>8</v>
      </c>
    </row>
    <row r="59" spans="1:28" x14ac:dyDescent="0.35">
      <c r="A59" s="2">
        <v>35</v>
      </c>
      <c r="B59" s="2" t="str" cm="1">
        <f t="array" ref="B59">_xlfn.IFS(HR_table[[#This Row],[Age]]&lt;=20, "Under 20yrs",HR_table[[#This Row],[Age]]&lt;=30,"(21-30)yrs",HR_table[[#This Row],[Age]]&lt;=40,"(31-40)yrs",HR_table[[#This Row],[Age]]&lt;=50,"(41-50)yrs",HR_table[[#This Row],[Age]]&lt;=60,"(51-60)yrs")</f>
        <v>(31-40)yrs</v>
      </c>
      <c r="C59" t="s">
        <v>43</v>
      </c>
      <c r="D59" t="s">
        <v>36</v>
      </c>
      <c r="E59" t="s">
        <v>45</v>
      </c>
      <c r="F59" t="s">
        <v>51</v>
      </c>
      <c r="G59" t="s">
        <v>50</v>
      </c>
      <c r="H59">
        <v>75</v>
      </c>
      <c r="I59" s="2">
        <v>23</v>
      </c>
      <c r="J59" s="2">
        <v>3</v>
      </c>
      <c r="K59" t="s">
        <v>39</v>
      </c>
      <c r="L59" s="2">
        <v>1</v>
      </c>
      <c r="M59" s="2">
        <v>1</v>
      </c>
      <c r="N59" t="s">
        <v>48</v>
      </c>
      <c r="O59" s="2">
        <v>4014</v>
      </c>
      <c r="P59" s="2">
        <v>16002</v>
      </c>
      <c r="Q59" s="2">
        <v>3</v>
      </c>
      <c r="R59" t="s">
        <v>35</v>
      </c>
      <c r="S59" s="2">
        <v>3</v>
      </c>
      <c r="T59" s="2">
        <v>3</v>
      </c>
      <c r="U59">
        <v>80</v>
      </c>
      <c r="V59" s="2">
        <v>4</v>
      </c>
      <c r="W59">
        <v>3</v>
      </c>
      <c r="X59">
        <v>3</v>
      </c>
      <c r="Y59">
        <v>2</v>
      </c>
      <c r="Z59">
        <v>2</v>
      </c>
      <c r="AA59">
        <v>2</v>
      </c>
      <c r="AB59">
        <v>2</v>
      </c>
    </row>
    <row r="60" spans="1:28" x14ac:dyDescent="0.35">
      <c r="A60" s="2">
        <v>31</v>
      </c>
      <c r="B60" s="2" t="str" cm="1">
        <f t="array" ref="B60">_xlfn.IFS(HR_table[[#This Row],[Age]]&lt;=20, "Under 20yrs",HR_table[[#This Row],[Age]]&lt;=30,"(21-30)yrs",HR_table[[#This Row],[Age]]&lt;=40,"(31-40)yrs",HR_table[[#This Row],[Age]]&lt;=50,"(41-50)yrs",HR_table[[#This Row],[Age]]&lt;=60,"(51-60)yrs")</f>
        <v>(31-40)yrs</v>
      </c>
      <c r="C60" t="s">
        <v>43</v>
      </c>
      <c r="D60" t="s">
        <v>36</v>
      </c>
      <c r="E60" t="s">
        <v>45</v>
      </c>
      <c r="F60" t="s">
        <v>38</v>
      </c>
      <c r="G60" t="s">
        <v>50</v>
      </c>
      <c r="H60">
        <v>76</v>
      </c>
      <c r="I60" s="2">
        <v>7</v>
      </c>
      <c r="J60" s="2">
        <v>4</v>
      </c>
      <c r="K60" t="s">
        <v>46</v>
      </c>
      <c r="L60" s="2">
        <v>2</v>
      </c>
      <c r="M60" s="2">
        <v>4</v>
      </c>
      <c r="N60" t="s">
        <v>52</v>
      </c>
      <c r="O60" s="2">
        <v>5915</v>
      </c>
      <c r="P60" s="2">
        <v>9528</v>
      </c>
      <c r="Q60" s="2">
        <v>3</v>
      </c>
      <c r="R60" t="s">
        <v>43</v>
      </c>
      <c r="S60" s="2">
        <v>4</v>
      </c>
      <c r="T60" s="2">
        <v>4</v>
      </c>
      <c r="U60">
        <v>80</v>
      </c>
      <c r="V60" s="2">
        <v>10</v>
      </c>
      <c r="W60">
        <v>3</v>
      </c>
      <c r="X60">
        <v>2</v>
      </c>
      <c r="Y60">
        <v>7</v>
      </c>
      <c r="Z60">
        <v>7</v>
      </c>
      <c r="AA60">
        <v>1</v>
      </c>
      <c r="AB60">
        <v>7</v>
      </c>
    </row>
    <row r="61" spans="1:28" x14ac:dyDescent="0.35">
      <c r="A61" s="2">
        <v>37</v>
      </c>
      <c r="B61" s="2" t="str" cm="1">
        <f t="array" ref="B61">_xlfn.IFS(HR_table[[#This Row],[Age]]&lt;=20, "Under 20yrs",HR_table[[#This Row],[Age]]&lt;=30,"(21-30)yrs",HR_table[[#This Row],[Age]]&lt;=40,"(31-40)yrs",HR_table[[#This Row],[Age]]&lt;=50,"(41-50)yrs",HR_table[[#This Row],[Age]]&lt;=60,"(51-60)yrs")</f>
        <v>(31-40)yrs</v>
      </c>
      <c r="C61" t="s">
        <v>43</v>
      </c>
      <c r="D61" t="s">
        <v>36</v>
      </c>
      <c r="E61" t="s">
        <v>45</v>
      </c>
      <c r="F61" t="s">
        <v>38</v>
      </c>
      <c r="G61" t="s">
        <v>53</v>
      </c>
      <c r="H61">
        <v>77</v>
      </c>
      <c r="I61" s="2">
        <v>1</v>
      </c>
      <c r="J61" s="2">
        <v>1</v>
      </c>
      <c r="K61" t="s">
        <v>46</v>
      </c>
      <c r="L61" s="2">
        <v>2</v>
      </c>
      <c r="M61" s="2">
        <v>3</v>
      </c>
      <c r="N61" t="s">
        <v>52</v>
      </c>
      <c r="O61" s="2">
        <v>5993</v>
      </c>
      <c r="P61" s="2">
        <v>2689</v>
      </c>
      <c r="Q61" s="2">
        <v>1</v>
      </c>
      <c r="R61" t="s">
        <v>43</v>
      </c>
      <c r="S61" s="2">
        <v>3</v>
      </c>
      <c r="T61" s="2">
        <v>3</v>
      </c>
      <c r="U61">
        <v>80</v>
      </c>
      <c r="V61" s="2">
        <v>7</v>
      </c>
      <c r="W61">
        <v>2</v>
      </c>
      <c r="X61">
        <v>4</v>
      </c>
      <c r="Y61">
        <v>7</v>
      </c>
      <c r="Z61">
        <v>5</v>
      </c>
      <c r="AA61">
        <v>0</v>
      </c>
      <c r="AB61">
        <v>7</v>
      </c>
    </row>
    <row r="62" spans="1:28" x14ac:dyDescent="0.35">
      <c r="A62" s="2">
        <v>32</v>
      </c>
      <c r="B62" s="2" t="str" cm="1">
        <f t="array" ref="B62">_xlfn.IFS(HR_table[[#This Row],[Age]]&lt;=20, "Under 20yrs",HR_table[[#This Row],[Age]]&lt;=30,"(21-30)yrs",HR_table[[#This Row],[Age]]&lt;=40,"(31-40)yrs",HR_table[[#This Row],[Age]]&lt;=50,"(41-50)yrs",HR_table[[#This Row],[Age]]&lt;=60,"(51-60)yrs")</f>
        <v>(31-40)yrs</v>
      </c>
      <c r="C62" t="s">
        <v>43</v>
      </c>
      <c r="D62" t="s">
        <v>36</v>
      </c>
      <c r="E62" t="s">
        <v>45</v>
      </c>
      <c r="F62" t="s">
        <v>51</v>
      </c>
      <c r="G62" t="s">
        <v>53</v>
      </c>
      <c r="H62">
        <v>78</v>
      </c>
      <c r="I62" s="2">
        <v>1</v>
      </c>
      <c r="J62" s="2">
        <v>1</v>
      </c>
      <c r="K62" t="s">
        <v>46</v>
      </c>
      <c r="L62" s="2">
        <v>2</v>
      </c>
      <c r="M62" s="2">
        <v>4</v>
      </c>
      <c r="N62" t="s">
        <v>48</v>
      </c>
      <c r="O62" s="2">
        <v>6162</v>
      </c>
      <c r="P62" s="2">
        <v>10877</v>
      </c>
      <c r="Q62" s="2">
        <v>1</v>
      </c>
      <c r="R62" t="s">
        <v>35</v>
      </c>
      <c r="S62" s="2">
        <v>4</v>
      </c>
      <c r="T62" s="2">
        <v>2</v>
      </c>
      <c r="U62">
        <v>80</v>
      </c>
      <c r="V62" s="2">
        <v>9</v>
      </c>
      <c r="W62">
        <v>3</v>
      </c>
      <c r="X62">
        <v>3</v>
      </c>
      <c r="Y62">
        <v>9</v>
      </c>
      <c r="Z62">
        <v>8</v>
      </c>
      <c r="AA62">
        <v>7</v>
      </c>
      <c r="AB62">
        <v>8</v>
      </c>
    </row>
    <row r="63" spans="1:28" x14ac:dyDescent="0.35">
      <c r="A63" s="2">
        <v>38</v>
      </c>
      <c r="B63" s="2" t="str" cm="1">
        <f t="array" ref="B63">_xlfn.IFS(HR_table[[#This Row],[Age]]&lt;=20, "Under 20yrs",HR_table[[#This Row],[Age]]&lt;=30,"(21-30)yrs",HR_table[[#This Row],[Age]]&lt;=40,"(31-40)yrs",HR_table[[#This Row],[Age]]&lt;=50,"(41-50)yrs",HR_table[[#This Row],[Age]]&lt;=60,"(51-60)yrs")</f>
        <v>(31-40)yrs</v>
      </c>
      <c r="C63" t="s">
        <v>43</v>
      </c>
      <c r="D63" t="s">
        <v>44</v>
      </c>
      <c r="E63" t="s">
        <v>45</v>
      </c>
      <c r="F63" t="s">
        <v>38</v>
      </c>
      <c r="G63" t="s">
        <v>50</v>
      </c>
      <c r="H63">
        <v>79</v>
      </c>
      <c r="I63" s="2">
        <v>29</v>
      </c>
      <c r="J63" s="2">
        <v>4</v>
      </c>
      <c r="K63" t="s">
        <v>39</v>
      </c>
      <c r="L63" s="2">
        <v>2</v>
      </c>
      <c r="M63" s="2">
        <v>4</v>
      </c>
      <c r="N63" t="s">
        <v>41</v>
      </c>
      <c r="O63" s="2">
        <v>2406</v>
      </c>
      <c r="P63" s="2">
        <v>5456</v>
      </c>
      <c r="Q63" s="2">
        <v>1</v>
      </c>
      <c r="R63" t="s">
        <v>43</v>
      </c>
      <c r="S63" s="2">
        <v>3</v>
      </c>
      <c r="T63" s="2">
        <v>4</v>
      </c>
      <c r="U63">
        <v>80</v>
      </c>
      <c r="V63" s="2">
        <v>10</v>
      </c>
      <c r="W63">
        <v>2</v>
      </c>
      <c r="X63">
        <v>3</v>
      </c>
      <c r="Y63">
        <v>10</v>
      </c>
      <c r="Z63">
        <v>3</v>
      </c>
      <c r="AA63">
        <v>9</v>
      </c>
      <c r="AB63">
        <v>9</v>
      </c>
    </row>
    <row r="64" spans="1:28" x14ac:dyDescent="0.35">
      <c r="A64" s="2">
        <v>50</v>
      </c>
      <c r="B64" s="2" t="str" cm="1">
        <f t="array" ref="B64">_xlfn.IFS(HR_table[[#This Row],[Age]]&lt;=20, "Under 20yrs",HR_table[[#This Row],[Age]]&lt;=30,"(21-30)yrs",HR_table[[#This Row],[Age]]&lt;=40,"(31-40)yrs",HR_table[[#This Row],[Age]]&lt;=50,"(41-50)yrs",HR_table[[#This Row],[Age]]&lt;=60,"(51-60)yrs")</f>
        <v>(41-50)yrs</v>
      </c>
      <c r="C64" t="s">
        <v>43</v>
      </c>
      <c r="D64" t="s">
        <v>36</v>
      </c>
      <c r="E64" t="s">
        <v>45</v>
      </c>
      <c r="F64" t="s">
        <v>51</v>
      </c>
      <c r="G64" t="s">
        <v>58</v>
      </c>
      <c r="H64">
        <v>80</v>
      </c>
      <c r="I64" s="2">
        <v>7</v>
      </c>
      <c r="J64" s="2">
        <v>2</v>
      </c>
      <c r="K64" t="s">
        <v>39</v>
      </c>
      <c r="L64" s="2">
        <v>5</v>
      </c>
      <c r="M64" s="2">
        <v>3</v>
      </c>
      <c r="N64" t="s">
        <v>52</v>
      </c>
      <c r="O64" s="2">
        <v>18740</v>
      </c>
      <c r="P64" s="2">
        <v>16701</v>
      </c>
      <c r="Q64" s="2">
        <v>5</v>
      </c>
      <c r="R64" t="s">
        <v>35</v>
      </c>
      <c r="S64" s="2">
        <v>3</v>
      </c>
      <c r="T64" s="2">
        <v>4</v>
      </c>
      <c r="U64">
        <v>80</v>
      </c>
      <c r="V64" s="2">
        <v>29</v>
      </c>
      <c r="W64">
        <v>2</v>
      </c>
      <c r="X64">
        <v>2</v>
      </c>
      <c r="Y64">
        <v>27</v>
      </c>
      <c r="Z64">
        <v>3</v>
      </c>
      <c r="AA64">
        <v>13</v>
      </c>
      <c r="AB64">
        <v>8</v>
      </c>
    </row>
    <row r="65" spans="1:28" x14ac:dyDescent="0.35">
      <c r="A65" s="2">
        <v>59</v>
      </c>
      <c r="B65" s="2" t="str" cm="1">
        <f t="array" ref="B65">_xlfn.IFS(HR_table[[#This Row],[Age]]&lt;=20, "Under 20yrs",HR_table[[#This Row],[Age]]&lt;=30,"(21-30)yrs",HR_table[[#This Row],[Age]]&lt;=40,"(31-40)yrs",HR_table[[#This Row],[Age]]&lt;=50,"(41-50)yrs",HR_table[[#This Row],[Age]]&lt;=60,"(51-60)yrs")</f>
        <v>(51-60)yrs</v>
      </c>
      <c r="C65" t="s">
        <v>43</v>
      </c>
      <c r="D65" t="s">
        <v>36</v>
      </c>
      <c r="E65" t="s">
        <v>37</v>
      </c>
      <c r="F65" t="s">
        <v>38</v>
      </c>
      <c r="G65" t="s">
        <v>40</v>
      </c>
      <c r="H65">
        <v>81</v>
      </c>
      <c r="I65" s="2">
        <v>25</v>
      </c>
      <c r="J65" s="2">
        <v>1</v>
      </c>
      <c r="K65" t="s">
        <v>39</v>
      </c>
      <c r="L65" s="2">
        <v>3</v>
      </c>
      <c r="M65" s="2">
        <v>1</v>
      </c>
      <c r="N65" t="s">
        <v>41</v>
      </c>
      <c r="O65" s="2">
        <v>7637</v>
      </c>
      <c r="P65" s="2">
        <v>2354</v>
      </c>
      <c r="Q65" s="2">
        <v>7</v>
      </c>
      <c r="R65" t="s">
        <v>43</v>
      </c>
      <c r="S65" s="2">
        <v>3</v>
      </c>
      <c r="T65" s="2">
        <v>4</v>
      </c>
      <c r="U65">
        <v>80</v>
      </c>
      <c r="V65" s="2">
        <v>28</v>
      </c>
      <c r="W65">
        <v>3</v>
      </c>
      <c r="X65">
        <v>2</v>
      </c>
      <c r="Y65">
        <v>21</v>
      </c>
      <c r="Z65">
        <v>16</v>
      </c>
      <c r="AA65">
        <v>7</v>
      </c>
      <c r="AB65">
        <v>9</v>
      </c>
    </row>
    <row r="66" spans="1:28" x14ac:dyDescent="0.35">
      <c r="A66" s="2">
        <v>36</v>
      </c>
      <c r="B66" s="2" t="str" cm="1">
        <f t="array" ref="B66">_xlfn.IFS(HR_table[[#This Row],[Age]]&lt;=20, "Under 20yrs",HR_table[[#This Row],[Age]]&lt;=30,"(21-30)yrs",HR_table[[#This Row],[Age]]&lt;=40,"(31-40)yrs",HR_table[[#This Row],[Age]]&lt;=50,"(41-50)yrs",HR_table[[#This Row],[Age]]&lt;=60,"(51-60)yrs")</f>
        <v>(31-40)yrs</v>
      </c>
      <c r="C66" t="s">
        <v>43</v>
      </c>
      <c r="D66" t="s">
        <v>36</v>
      </c>
      <c r="E66" t="s">
        <v>45</v>
      </c>
      <c r="F66" t="s">
        <v>60</v>
      </c>
      <c r="G66" t="s">
        <v>54</v>
      </c>
      <c r="H66">
        <v>83</v>
      </c>
      <c r="I66" s="2">
        <v>8</v>
      </c>
      <c r="J66" s="2">
        <v>3</v>
      </c>
      <c r="K66" t="s">
        <v>39</v>
      </c>
      <c r="L66" s="2">
        <v>3</v>
      </c>
      <c r="M66" s="2">
        <v>3</v>
      </c>
      <c r="N66" t="s">
        <v>52</v>
      </c>
      <c r="O66" s="2">
        <v>10096</v>
      </c>
      <c r="P66" s="2">
        <v>8202</v>
      </c>
      <c r="Q66" s="2">
        <v>1</v>
      </c>
      <c r="R66" t="s">
        <v>43</v>
      </c>
      <c r="S66" s="2">
        <v>3</v>
      </c>
      <c r="T66" s="2">
        <v>2</v>
      </c>
      <c r="U66">
        <v>80</v>
      </c>
      <c r="V66" s="2">
        <v>17</v>
      </c>
      <c r="W66">
        <v>2</v>
      </c>
      <c r="X66">
        <v>3</v>
      </c>
      <c r="Y66">
        <v>17</v>
      </c>
      <c r="Z66">
        <v>14</v>
      </c>
      <c r="AA66">
        <v>12</v>
      </c>
      <c r="AB66">
        <v>8</v>
      </c>
    </row>
    <row r="67" spans="1:28" x14ac:dyDescent="0.35">
      <c r="A67" s="2">
        <v>55</v>
      </c>
      <c r="B67" s="2" t="str" cm="1">
        <f t="array" ref="B67">_xlfn.IFS(HR_table[[#This Row],[Age]]&lt;=20, "Under 20yrs",HR_table[[#This Row],[Age]]&lt;=30,"(21-30)yrs",HR_table[[#This Row],[Age]]&lt;=40,"(31-40)yrs",HR_table[[#This Row],[Age]]&lt;=50,"(41-50)yrs",HR_table[[#This Row],[Age]]&lt;=60,"(51-60)yrs")</f>
        <v>(51-60)yrs</v>
      </c>
      <c r="C67" t="s">
        <v>43</v>
      </c>
      <c r="D67" t="s">
        <v>36</v>
      </c>
      <c r="E67" t="s">
        <v>45</v>
      </c>
      <c r="F67" t="s">
        <v>51</v>
      </c>
      <c r="G67" t="s">
        <v>56</v>
      </c>
      <c r="H67">
        <v>84</v>
      </c>
      <c r="I67" s="2">
        <v>8</v>
      </c>
      <c r="J67" s="2">
        <v>4</v>
      </c>
      <c r="K67" t="s">
        <v>39</v>
      </c>
      <c r="L67" s="2">
        <v>4</v>
      </c>
      <c r="M67" s="2">
        <v>3</v>
      </c>
      <c r="N67" t="s">
        <v>52</v>
      </c>
      <c r="O67" s="2">
        <v>14756</v>
      </c>
      <c r="P67" s="2">
        <v>19730</v>
      </c>
      <c r="Q67" s="2">
        <v>2</v>
      </c>
      <c r="R67" t="s">
        <v>35</v>
      </c>
      <c r="S67" s="2">
        <v>3</v>
      </c>
      <c r="T67" s="2">
        <v>3</v>
      </c>
      <c r="U67">
        <v>80</v>
      </c>
      <c r="V67" s="2">
        <v>21</v>
      </c>
      <c r="W67">
        <v>2</v>
      </c>
      <c r="X67">
        <v>3</v>
      </c>
      <c r="Y67">
        <v>5</v>
      </c>
      <c r="Z67">
        <v>0</v>
      </c>
      <c r="AA67">
        <v>0</v>
      </c>
      <c r="AB67">
        <v>2</v>
      </c>
    </row>
    <row r="68" spans="1:28" x14ac:dyDescent="0.35">
      <c r="A68" s="2">
        <v>36</v>
      </c>
      <c r="B68" s="2" t="str" cm="1">
        <f t="array" ref="B68">_xlfn.IFS(HR_table[[#This Row],[Age]]&lt;=20, "Under 20yrs",HR_table[[#This Row],[Age]]&lt;=30,"(21-30)yrs",HR_table[[#This Row],[Age]]&lt;=40,"(31-40)yrs",HR_table[[#This Row],[Age]]&lt;=50,"(41-50)yrs",HR_table[[#This Row],[Age]]&lt;=60,"(51-60)yrs")</f>
        <v>(31-40)yrs</v>
      </c>
      <c r="C68" t="s">
        <v>43</v>
      </c>
      <c r="D68" t="s">
        <v>44</v>
      </c>
      <c r="E68" t="s">
        <v>45</v>
      </c>
      <c r="F68" t="s">
        <v>38</v>
      </c>
      <c r="G68" t="s">
        <v>53</v>
      </c>
      <c r="H68">
        <v>85</v>
      </c>
      <c r="I68" s="2">
        <v>11</v>
      </c>
      <c r="J68" s="2">
        <v>2</v>
      </c>
      <c r="K68" t="s">
        <v>46</v>
      </c>
      <c r="L68" s="2">
        <v>2</v>
      </c>
      <c r="M68" s="2">
        <v>2</v>
      </c>
      <c r="N68" t="s">
        <v>41</v>
      </c>
      <c r="O68" s="2">
        <v>6499</v>
      </c>
      <c r="P68" s="2">
        <v>22656</v>
      </c>
      <c r="Q68" s="2">
        <v>1</v>
      </c>
      <c r="R68" t="s">
        <v>43</v>
      </c>
      <c r="S68" s="2">
        <v>3</v>
      </c>
      <c r="T68" s="2">
        <v>3</v>
      </c>
      <c r="U68">
        <v>80</v>
      </c>
      <c r="V68" s="2">
        <v>6</v>
      </c>
      <c r="W68">
        <v>3</v>
      </c>
      <c r="X68">
        <v>3</v>
      </c>
      <c r="Y68">
        <v>6</v>
      </c>
      <c r="Z68">
        <v>5</v>
      </c>
      <c r="AA68">
        <v>0</v>
      </c>
      <c r="AB68">
        <v>3</v>
      </c>
    </row>
    <row r="69" spans="1:28" x14ac:dyDescent="0.35">
      <c r="A69" s="2">
        <v>45</v>
      </c>
      <c r="B69" s="2" t="str" cm="1">
        <f t="array" ref="B69">_xlfn.IFS(HR_table[[#This Row],[Age]]&lt;=20, "Under 20yrs",HR_table[[#This Row],[Age]]&lt;=30,"(21-30)yrs",HR_table[[#This Row],[Age]]&lt;=40,"(31-40)yrs",HR_table[[#This Row],[Age]]&lt;=50,"(41-50)yrs",HR_table[[#This Row],[Age]]&lt;=60,"(51-60)yrs")</f>
        <v>(41-50)yrs</v>
      </c>
      <c r="C69" t="s">
        <v>43</v>
      </c>
      <c r="D69" t="s">
        <v>36</v>
      </c>
      <c r="E69" t="s">
        <v>45</v>
      </c>
      <c r="F69" t="s">
        <v>38</v>
      </c>
      <c r="G69" t="s">
        <v>47</v>
      </c>
      <c r="H69">
        <v>86</v>
      </c>
      <c r="I69" s="2">
        <v>7</v>
      </c>
      <c r="J69" s="2">
        <v>2</v>
      </c>
      <c r="K69" t="s">
        <v>46</v>
      </c>
      <c r="L69" s="2">
        <v>3</v>
      </c>
      <c r="M69" s="2">
        <v>1</v>
      </c>
      <c r="N69" t="s">
        <v>52</v>
      </c>
      <c r="O69" s="2">
        <v>9724</v>
      </c>
      <c r="P69" s="2">
        <v>18787</v>
      </c>
      <c r="Q69" s="2">
        <v>2</v>
      </c>
      <c r="R69" t="s">
        <v>43</v>
      </c>
      <c r="S69" s="2">
        <v>3</v>
      </c>
      <c r="T69" s="2">
        <v>3</v>
      </c>
      <c r="U69">
        <v>80</v>
      </c>
      <c r="V69" s="2">
        <v>25</v>
      </c>
      <c r="W69">
        <v>2</v>
      </c>
      <c r="X69">
        <v>3</v>
      </c>
      <c r="Y69">
        <v>1</v>
      </c>
      <c r="Z69">
        <v>0</v>
      </c>
      <c r="AA69">
        <v>0</v>
      </c>
      <c r="AB69">
        <v>0</v>
      </c>
    </row>
    <row r="70" spans="1:28" x14ac:dyDescent="0.35">
      <c r="A70" s="2">
        <v>35</v>
      </c>
      <c r="B70" s="2" t="str" cm="1">
        <f t="array" ref="B70">_xlfn.IFS(HR_table[[#This Row],[Age]]&lt;=20, "Under 20yrs",HR_table[[#This Row],[Age]]&lt;=30,"(21-30)yrs",HR_table[[#This Row],[Age]]&lt;=40,"(31-40)yrs",HR_table[[#This Row],[Age]]&lt;=50,"(41-50)yrs",HR_table[[#This Row],[Age]]&lt;=60,"(51-60)yrs")</f>
        <v>(31-40)yrs</v>
      </c>
      <c r="C70" t="s">
        <v>43</v>
      </c>
      <c r="D70" t="s">
        <v>44</v>
      </c>
      <c r="E70" t="s">
        <v>45</v>
      </c>
      <c r="F70" t="s">
        <v>51</v>
      </c>
      <c r="G70" t="s">
        <v>47</v>
      </c>
      <c r="H70">
        <v>88</v>
      </c>
      <c r="I70" s="2">
        <v>1</v>
      </c>
      <c r="J70" s="2">
        <v>2</v>
      </c>
      <c r="K70" t="s">
        <v>46</v>
      </c>
      <c r="L70" s="2">
        <v>1</v>
      </c>
      <c r="M70" s="2">
        <v>1</v>
      </c>
      <c r="N70" t="s">
        <v>48</v>
      </c>
      <c r="O70" s="2">
        <v>2194</v>
      </c>
      <c r="P70" s="2">
        <v>5868</v>
      </c>
      <c r="Q70" s="2">
        <v>4</v>
      </c>
      <c r="R70" t="s">
        <v>43</v>
      </c>
      <c r="S70" s="2">
        <v>3</v>
      </c>
      <c r="T70" s="2">
        <v>4</v>
      </c>
      <c r="U70">
        <v>80</v>
      </c>
      <c r="V70" s="2">
        <v>5</v>
      </c>
      <c r="W70">
        <v>2</v>
      </c>
      <c r="X70">
        <v>2</v>
      </c>
      <c r="Y70">
        <v>3</v>
      </c>
      <c r="Z70">
        <v>2</v>
      </c>
      <c r="AA70">
        <v>1</v>
      </c>
      <c r="AB70">
        <v>2</v>
      </c>
    </row>
    <row r="71" spans="1:28" x14ac:dyDescent="0.35">
      <c r="A71" s="2">
        <v>36</v>
      </c>
      <c r="B71" s="2" t="str" cm="1">
        <f t="array" ref="B71">_xlfn.IFS(HR_table[[#This Row],[Age]]&lt;=20, "Under 20yrs",HR_table[[#This Row],[Age]]&lt;=30,"(21-30)yrs",HR_table[[#This Row],[Age]]&lt;=40,"(31-40)yrs",HR_table[[#This Row],[Age]]&lt;=50,"(41-50)yrs",HR_table[[#This Row],[Age]]&lt;=60,"(51-60)yrs")</f>
        <v>(31-40)yrs</v>
      </c>
      <c r="C71" t="s">
        <v>35</v>
      </c>
      <c r="D71" t="s">
        <v>36</v>
      </c>
      <c r="E71" t="s">
        <v>45</v>
      </c>
      <c r="F71" t="s">
        <v>51</v>
      </c>
      <c r="G71" t="s">
        <v>47</v>
      </c>
      <c r="H71">
        <v>90</v>
      </c>
      <c r="I71" s="2">
        <v>9</v>
      </c>
      <c r="J71" s="2">
        <v>4</v>
      </c>
      <c r="K71" t="s">
        <v>46</v>
      </c>
      <c r="L71" s="2">
        <v>1</v>
      </c>
      <c r="M71" s="2">
        <v>3</v>
      </c>
      <c r="N71" t="s">
        <v>48</v>
      </c>
      <c r="O71" s="2">
        <v>3388</v>
      </c>
      <c r="P71" s="2">
        <v>21777</v>
      </c>
      <c r="Q71" s="2">
        <v>0</v>
      </c>
      <c r="R71" t="s">
        <v>35</v>
      </c>
      <c r="S71" s="2">
        <v>3</v>
      </c>
      <c r="T71" s="2">
        <v>1</v>
      </c>
      <c r="U71">
        <v>80</v>
      </c>
      <c r="V71" s="2">
        <v>2</v>
      </c>
      <c r="W71">
        <v>0</v>
      </c>
      <c r="X71">
        <v>2</v>
      </c>
      <c r="Y71">
        <v>1</v>
      </c>
      <c r="Z71">
        <v>0</v>
      </c>
      <c r="AA71">
        <v>0</v>
      </c>
      <c r="AB71">
        <v>0</v>
      </c>
    </row>
    <row r="72" spans="1:28" x14ac:dyDescent="0.35">
      <c r="A72" s="2">
        <v>59</v>
      </c>
      <c r="B72" s="2" t="str" cm="1">
        <f t="array" ref="B72">_xlfn.IFS(HR_table[[#This Row],[Age]]&lt;=20, "Under 20yrs",HR_table[[#This Row],[Age]]&lt;=30,"(21-30)yrs",HR_table[[#This Row],[Age]]&lt;=40,"(31-40)yrs",HR_table[[#This Row],[Age]]&lt;=50,"(41-50)yrs",HR_table[[#This Row],[Age]]&lt;=60,"(51-60)yrs")</f>
        <v>(51-60)yrs</v>
      </c>
      <c r="C72" t="s">
        <v>43</v>
      </c>
      <c r="D72" t="s">
        <v>44</v>
      </c>
      <c r="E72" t="s">
        <v>37</v>
      </c>
      <c r="F72" t="s">
        <v>38</v>
      </c>
      <c r="G72" t="s">
        <v>40</v>
      </c>
      <c r="H72">
        <v>91</v>
      </c>
      <c r="I72" s="2">
        <v>1</v>
      </c>
      <c r="J72" s="2">
        <v>1</v>
      </c>
      <c r="K72" t="s">
        <v>39</v>
      </c>
      <c r="L72" s="2">
        <v>2</v>
      </c>
      <c r="M72" s="2">
        <v>3</v>
      </c>
      <c r="N72" t="s">
        <v>41</v>
      </c>
      <c r="O72" s="2">
        <v>5473</v>
      </c>
      <c r="P72" s="2">
        <v>24668</v>
      </c>
      <c r="Q72" s="2">
        <v>7</v>
      </c>
      <c r="R72" t="s">
        <v>43</v>
      </c>
      <c r="S72" s="2">
        <v>3</v>
      </c>
      <c r="T72" s="2">
        <v>4</v>
      </c>
      <c r="U72">
        <v>80</v>
      </c>
      <c r="V72" s="2">
        <v>20</v>
      </c>
      <c r="W72">
        <v>2</v>
      </c>
      <c r="X72">
        <v>2</v>
      </c>
      <c r="Y72">
        <v>4</v>
      </c>
      <c r="Z72">
        <v>3</v>
      </c>
      <c r="AA72">
        <v>1</v>
      </c>
      <c r="AB72">
        <v>3</v>
      </c>
    </row>
    <row r="73" spans="1:28" x14ac:dyDescent="0.35">
      <c r="A73" s="2">
        <v>29</v>
      </c>
      <c r="B73" s="2" t="str" cm="1">
        <f t="array" ref="B73">_xlfn.IFS(HR_table[[#This Row],[Age]]&lt;=20, "Under 20yrs",HR_table[[#This Row],[Age]]&lt;=30,"(21-30)yrs",HR_table[[#This Row],[Age]]&lt;=40,"(31-40)yrs",HR_table[[#This Row],[Age]]&lt;=50,"(41-50)yrs",HR_table[[#This Row],[Age]]&lt;=60,"(51-60)yrs")</f>
        <v>(21-30)yrs</v>
      </c>
      <c r="C73" t="s">
        <v>43</v>
      </c>
      <c r="D73" t="s">
        <v>36</v>
      </c>
      <c r="E73" t="s">
        <v>45</v>
      </c>
      <c r="F73" t="s">
        <v>38</v>
      </c>
      <c r="G73" t="s">
        <v>47</v>
      </c>
      <c r="H73">
        <v>94</v>
      </c>
      <c r="I73" s="2">
        <v>2</v>
      </c>
      <c r="J73" s="2">
        <v>3</v>
      </c>
      <c r="K73" t="s">
        <v>46</v>
      </c>
      <c r="L73" s="2">
        <v>1</v>
      </c>
      <c r="M73" s="2">
        <v>2</v>
      </c>
      <c r="N73" t="s">
        <v>48</v>
      </c>
      <c r="O73" s="2">
        <v>2703</v>
      </c>
      <c r="P73" s="2">
        <v>4956</v>
      </c>
      <c r="Q73" s="2">
        <v>0</v>
      </c>
      <c r="R73" t="s">
        <v>43</v>
      </c>
      <c r="S73" s="2">
        <v>4</v>
      </c>
      <c r="T73" s="2">
        <v>4</v>
      </c>
      <c r="U73">
        <v>80</v>
      </c>
      <c r="V73" s="2">
        <v>6</v>
      </c>
      <c r="W73">
        <v>3</v>
      </c>
      <c r="X73">
        <v>3</v>
      </c>
      <c r="Y73">
        <v>5</v>
      </c>
      <c r="Z73">
        <v>4</v>
      </c>
      <c r="AA73">
        <v>0</v>
      </c>
      <c r="AB73">
        <v>4</v>
      </c>
    </row>
    <row r="74" spans="1:28" x14ac:dyDescent="0.35">
      <c r="A74" s="2">
        <v>31</v>
      </c>
      <c r="B74" s="2" t="str" cm="1">
        <f t="array" ref="B74">_xlfn.IFS(HR_table[[#This Row],[Age]]&lt;=20, "Under 20yrs",HR_table[[#This Row],[Age]]&lt;=30,"(21-30)yrs",HR_table[[#This Row],[Age]]&lt;=40,"(31-40)yrs",HR_table[[#This Row],[Age]]&lt;=50,"(41-50)yrs",HR_table[[#This Row],[Age]]&lt;=60,"(51-60)yrs")</f>
        <v>(31-40)yrs</v>
      </c>
      <c r="C74" t="s">
        <v>43</v>
      </c>
      <c r="D74" t="s">
        <v>36</v>
      </c>
      <c r="E74" t="s">
        <v>45</v>
      </c>
      <c r="F74" t="s">
        <v>51</v>
      </c>
      <c r="G74" t="s">
        <v>47</v>
      </c>
      <c r="H74">
        <v>95</v>
      </c>
      <c r="I74" s="2">
        <v>1</v>
      </c>
      <c r="J74" s="2">
        <v>3</v>
      </c>
      <c r="K74" t="s">
        <v>46</v>
      </c>
      <c r="L74" s="2">
        <v>1</v>
      </c>
      <c r="M74" s="2">
        <v>2</v>
      </c>
      <c r="N74" t="s">
        <v>41</v>
      </c>
      <c r="O74" s="2">
        <v>2501</v>
      </c>
      <c r="P74" s="2">
        <v>18775</v>
      </c>
      <c r="Q74" s="2">
        <v>1</v>
      </c>
      <c r="R74" t="s">
        <v>43</v>
      </c>
      <c r="S74" s="2">
        <v>3</v>
      </c>
      <c r="T74" s="2">
        <v>2</v>
      </c>
      <c r="U74">
        <v>80</v>
      </c>
      <c r="V74" s="2">
        <v>1</v>
      </c>
      <c r="W74">
        <v>4</v>
      </c>
      <c r="X74">
        <v>3</v>
      </c>
      <c r="Y74">
        <v>1</v>
      </c>
      <c r="Z74">
        <v>1</v>
      </c>
      <c r="AA74">
        <v>1</v>
      </c>
      <c r="AB74">
        <v>0</v>
      </c>
    </row>
    <row r="75" spans="1:28" x14ac:dyDescent="0.35">
      <c r="A75" s="2">
        <v>32</v>
      </c>
      <c r="B75" s="2" t="str" cm="1">
        <f t="array" ref="B75">_xlfn.IFS(HR_table[[#This Row],[Age]]&lt;=20, "Under 20yrs",HR_table[[#This Row],[Age]]&lt;=30,"(21-30)yrs",HR_table[[#This Row],[Age]]&lt;=40,"(31-40)yrs",HR_table[[#This Row],[Age]]&lt;=50,"(41-50)yrs",HR_table[[#This Row],[Age]]&lt;=60,"(51-60)yrs")</f>
        <v>(31-40)yrs</v>
      </c>
      <c r="C75" t="s">
        <v>43</v>
      </c>
      <c r="D75" t="s">
        <v>36</v>
      </c>
      <c r="E75" t="s">
        <v>45</v>
      </c>
      <c r="F75" t="s">
        <v>38</v>
      </c>
      <c r="G75" t="s">
        <v>47</v>
      </c>
      <c r="H75">
        <v>96</v>
      </c>
      <c r="I75" s="2">
        <v>1</v>
      </c>
      <c r="J75" s="2">
        <v>2</v>
      </c>
      <c r="K75" t="s">
        <v>46</v>
      </c>
      <c r="L75" s="2">
        <v>2</v>
      </c>
      <c r="M75" s="2">
        <v>2</v>
      </c>
      <c r="N75" t="s">
        <v>48</v>
      </c>
      <c r="O75" s="2">
        <v>6220</v>
      </c>
      <c r="P75" s="2">
        <v>7346</v>
      </c>
      <c r="Q75" s="2">
        <v>1</v>
      </c>
      <c r="R75" t="s">
        <v>43</v>
      </c>
      <c r="S75" s="2">
        <v>3</v>
      </c>
      <c r="T75" s="2">
        <v>2</v>
      </c>
      <c r="U75">
        <v>80</v>
      </c>
      <c r="V75" s="2">
        <v>10</v>
      </c>
      <c r="W75">
        <v>3</v>
      </c>
      <c r="X75">
        <v>3</v>
      </c>
      <c r="Y75">
        <v>10</v>
      </c>
      <c r="Z75">
        <v>4</v>
      </c>
      <c r="AA75">
        <v>0</v>
      </c>
      <c r="AB75">
        <v>9</v>
      </c>
    </row>
    <row r="76" spans="1:28" x14ac:dyDescent="0.35">
      <c r="A76" s="2">
        <v>36</v>
      </c>
      <c r="B76" s="2" t="str" cm="1">
        <f t="array" ref="B76">_xlfn.IFS(HR_table[[#This Row],[Age]]&lt;=20, "Under 20yrs",HR_table[[#This Row],[Age]]&lt;=30,"(21-30)yrs",HR_table[[#This Row],[Age]]&lt;=40,"(31-40)yrs",HR_table[[#This Row],[Age]]&lt;=50,"(41-50)yrs",HR_table[[#This Row],[Age]]&lt;=60,"(51-60)yrs")</f>
        <v>(31-40)yrs</v>
      </c>
      <c r="C76" t="s">
        <v>43</v>
      </c>
      <c r="D76" t="s">
        <v>36</v>
      </c>
      <c r="E76" t="s">
        <v>45</v>
      </c>
      <c r="F76" t="s">
        <v>38</v>
      </c>
      <c r="G76" t="s">
        <v>50</v>
      </c>
      <c r="H76">
        <v>97</v>
      </c>
      <c r="I76" s="2">
        <v>6</v>
      </c>
      <c r="J76" s="2">
        <v>2</v>
      </c>
      <c r="K76" t="s">
        <v>39</v>
      </c>
      <c r="L76" s="2">
        <v>1</v>
      </c>
      <c r="M76" s="2">
        <v>4</v>
      </c>
      <c r="N76" t="s">
        <v>48</v>
      </c>
      <c r="O76" s="2">
        <v>3038</v>
      </c>
      <c r="P76" s="2">
        <v>22002</v>
      </c>
      <c r="Q76" s="2">
        <v>3</v>
      </c>
      <c r="R76" t="s">
        <v>43</v>
      </c>
      <c r="S76" s="2">
        <v>3</v>
      </c>
      <c r="T76" s="2">
        <v>2</v>
      </c>
      <c r="U76">
        <v>80</v>
      </c>
      <c r="V76" s="2">
        <v>5</v>
      </c>
      <c r="W76">
        <v>3</v>
      </c>
      <c r="X76">
        <v>3</v>
      </c>
      <c r="Y76">
        <v>1</v>
      </c>
      <c r="Z76">
        <v>0</v>
      </c>
      <c r="AA76">
        <v>0</v>
      </c>
      <c r="AB76">
        <v>0</v>
      </c>
    </row>
    <row r="77" spans="1:28" x14ac:dyDescent="0.35">
      <c r="A77" s="2">
        <v>31</v>
      </c>
      <c r="B77" s="2" t="str" cm="1">
        <f t="array" ref="B77">_xlfn.IFS(HR_table[[#This Row],[Age]]&lt;=20, "Under 20yrs",HR_table[[#This Row],[Age]]&lt;=30,"(21-30)yrs",HR_table[[#This Row],[Age]]&lt;=40,"(31-40)yrs",HR_table[[#This Row],[Age]]&lt;=50,"(41-50)yrs",HR_table[[#This Row],[Age]]&lt;=60,"(51-60)yrs")</f>
        <v>(31-40)yrs</v>
      </c>
      <c r="C77" t="s">
        <v>43</v>
      </c>
      <c r="D77" t="s">
        <v>36</v>
      </c>
      <c r="E77" t="s">
        <v>45</v>
      </c>
      <c r="F77" t="s">
        <v>38</v>
      </c>
      <c r="G77" t="s">
        <v>53</v>
      </c>
      <c r="H77">
        <v>98</v>
      </c>
      <c r="I77" s="2">
        <v>8</v>
      </c>
      <c r="J77" s="2">
        <v>3</v>
      </c>
      <c r="K77" t="s">
        <v>39</v>
      </c>
      <c r="L77" s="2">
        <v>2</v>
      </c>
      <c r="M77" s="2">
        <v>4</v>
      </c>
      <c r="N77" t="s">
        <v>41</v>
      </c>
      <c r="O77" s="2">
        <v>4424</v>
      </c>
      <c r="P77" s="2">
        <v>20682</v>
      </c>
      <c r="Q77" s="2">
        <v>1</v>
      </c>
      <c r="R77" t="s">
        <v>43</v>
      </c>
      <c r="S77" s="2">
        <v>4</v>
      </c>
      <c r="T77" s="2">
        <v>4</v>
      </c>
      <c r="U77">
        <v>80</v>
      </c>
      <c r="V77" s="2">
        <v>11</v>
      </c>
      <c r="W77">
        <v>2</v>
      </c>
      <c r="X77">
        <v>3</v>
      </c>
      <c r="Y77">
        <v>11</v>
      </c>
      <c r="Z77">
        <v>7</v>
      </c>
      <c r="AA77">
        <v>1</v>
      </c>
      <c r="AB77">
        <v>8</v>
      </c>
    </row>
    <row r="78" spans="1:28" x14ac:dyDescent="0.35">
      <c r="A78" s="2">
        <v>35</v>
      </c>
      <c r="B78" s="2" t="str" cm="1">
        <f t="array" ref="B78">_xlfn.IFS(HR_table[[#This Row],[Age]]&lt;=20, "Under 20yrs",HR_table[[#This Row],[Age]]&lt;=30,"(21-30)yrs",HR_table[[#This Row],[Age]]&lt;=40,"(31-40)yrs",HR_table[[#This Row],[Age]]&lt;=50,"(41-50)yrs",HR_table[[#This Row],[Age]]&lt;=60,"(51-60)yrs")</f>
        <v>(31-40)yrs</v>
      </c>
      <c r="C78" t="s">
        <v>43</v>
      </c>
      <c r="D78" t="s">
        <v>36</v>
      </c>
      <c r="E78" t="s">
        <v>37</v>
      </c>
      <c r="F78" t="s">
        <v>59</v>
      </c>
      <c r="G78" t="s">
        <v>40</v>
      </c>
      <c r="H78">
        <v>100</v>
      </c>
      <c r="I78" s="2">
        <v>1</v>
      </c>
      <c r="J78" s="2">
        <v>3</v>
      </c>
      <c r="K78" t="s">
        <v>46</v>
      </c>
      <c r="L78" s="2">
        <v>2</v>
      </c>
      <c r="M78" s="2">
        <v>1</v>
      </c>
      <c r="N78" t="s">
        <v>41</v>
      </c>
      <c r="O78" s="2">
        <v>4312</v>
      </c>
      <c r="P78" s="2">
        <v>23016</v>
      </c>
      <c r="Q78" s="2">
        <v>0</v>
      </c>
      <c r="R78" t="s">
        <v>43</v>
      </c>
      <c r="S78" s="2">
        <v>3</v>
      </c>
      <c r="T78" s="2">
        <v>2</v>
      </c>
      <c r="U78">
        <v>80</v>
      </c>
      <c r="V78" s="2">
        <v>16</v>
      </c>
      <c r="W78">
        <v>2</v>
      </c>
      <c r="X78">
        <v>3</v>
      </c>
      <c r="Y78">
        <v>15</v>
      </c>
      <c r="Z78">
        <v>13</v>
      </c>
      <c r="AA78">
        <v>2</v>
      </c>
      <c r="AB78">
        <v>8</v>
      </c>
    </row>
    <row r="79" spans="1:28" x14ac:dyDescent="0.35">
      <c r="A79" s="2">
        <v>45</v>
      </c>
      <c r="B79" s="2" t="str" cm="1">
        <f t="array" ref="B79">_xlfn.IFS(HR_table[[#This Row],[Age]]&lt;=20, "Under 20yrs",HR_table[[#This Row],[Age]]&lt;=30,"(21-30)yrs",HR_table[[#This Row],[Age]]&lt;=40,"(31-40)yrs",HR_table[[#This Row],[Age]]&lt;=50,"(41-50)yrs",HR_table[[#This Row],[Age]]&lt;=60,"(51-60)yrs")</f>
        <v>(41-50)yrs</v>
      </c>
      <c r="C79" t="s">
        <v>43</v>
      </c>
      <c r="D79" t="s">
        <v>36</v>
      </c>
      <c r="E79" t="s">
        <v>45</v>
      </c>
      <c r="F79" t="s">
        <v>49</v>
      </c>
      <c r="G79" t="s">
        <v>58</v>
      </c>
      <c r="H79">
        <v>101</v>
      </c>
      <c r="I79" s="2">
        <v>6</v>
      </c>
      <c r="J79" s="2">
        <v>4</v>
      </c>
      <c r="K79" t="s">
        <v>46</v>
      </c>
      <c r="L79" s="2">
        <v>3</v>
      </c>
      <c r="M79" s="2">
        <v>1</v>
      </c>
      <c r="N79" t="s">
        <v>48</v>
      </c>
      <c r="O79" s="2">
        <v>13245</v>
      </c>
      <c r="P79" s="2">
        <v>15067</v>
      </c>
      <c r="Q79" s="2">
        <v>4</v>
      </c>
      <c r="R79" t="s">
        <v>35</v>
      </c>
      <c r="S79" s="2">
        <v>3</v>
      </c>
      <c r="T79" s="2">
        <v>2</v>
      </c>
      <c r="U79">
        <v>80</v>
      </c>
      <c r="V79" s="2">
        <v>17</v>
      </c>
      <c r="W79">
        <v>3</v>
      </c>
      <c r="X79">
        <v>4</v>
      </c>
      <c r="Y79">
        <v>0</v>
      </c>
      <c r="Z79">
        <v>0</v>
      </c>
      <c r="AA79">
        <v>0</v>
      </c>
      <c r="AB79">
        <v>0</v>
      </c>
    </row>
    <row r="80" spans="1:28" x14ac:dyDescent="0.35">
      <c r="A80" s="2">
        <v>37</v>
      </c>
      <c r="B80" s="2" t="str" cm="1">
        <f t="array" ref="B80">_xlfn.IFS(HR_table[[#This Row],[Age]]&lt;=20, "Under 20yrs",HR_table[[#This Row],[Age]]&lt;=30,"(21-30)yrs",HR_table[[#This Row],[Age]]&lt;=40,"(31-40)yrs",HR_table[[#This Row],[Age]]&lt;=50,"(41-50)yrs",HR_table[[#This Row],[Age]]&lt;=60,"(51-60)yrs")</f>
        <v>(31-40)yrs</v>
      </c>
      <c r="C80" t="s">
        <v>43</v>
      </c>
      <c r="D80" t="s">
        <v>36</v>
      </c>
      <c r="E80" t="s">
        <v>45</v>
      </c>
      <c r="F80" t="s">
        <v>51</v>
      </c>
      <c r="G80" t="s">
        <v>58</v>
      </c>
      <c r="H80">
        <v>102</v>
      </c>
      <c r="I80" s="2">
        <v>7</v>
      </c>
      <c r="J80" s="2">
        <v>1</v>
      </c>
      <c r="K80" t="s">
        <v>46</v>
      </c>
      <c r="L80" s="2">
        <v>3</v>
      </c>
      <c r="M80" s="2">
        <v>3</v>
      </c>
      <c r="N80" t="s">
        <v>41</v>
      </c>
      <c r="O80" s="2">
        <v>13664</v>
      </c>
      <c r="P80" s="2">
        <v>25258</v>
      </c>
      <c r="Q80" s="2">
        <v>4</v>
      </c>
      <c r="R80" t="s">
        <v>43</v>
      </c>
      <c r="S80" s="2">
        <v>3</v>
      </c>
      <c r="T80" s="2">
        <v>1</v>
      </c>
      <c r="U80">
        <v>80</v>
      </c>
      <c r="V80" s="2">
        <v>16</v>
      </c>
      <c r="W80">
        <v>3</v>
      </c>
      <c r="X80">
        <v>4</v>
      </c>
      <c r="Y80">
        <v>5</v>
      </c>
      <c r="Z80">
        <v>2</v>
      </c>
      <c r="AA80">
        <v>0</v>
      </c>
      <c r="AB80">
        <v>2</v>
      </c>
    </row>
    <row r="81" spans="1:28" x14ac:dyDescent="0.35">
      <c r="A81" s="2">
        <v>46</v>
      </c>
      <c r="B81" s="2" t="str" cm="1">
        <f t="array" ref="B81">_xlfn.IFS(HR_table[[#This Row],[Age]]&lt;=20, "Under 20yrs",HR_table[[#This Row],[Age]]&lt;=30,"(21-30)yrs",HR_table[[#This Row],[Age]]&lt;=40,"(31-40)yrs",HR_table[[#This Row],[Age]]&lt;=50,"(41-50)yrs",HR_table[[#This Row],[Age]]&lt;=60,"(51-60)yrs")</f>
        <v>(41-50)yrs</v>
      </c>
      <c r="C81" t="s">
        <v>43</v>
      </c>
      <c r="D81" t="s">
        <v>36</v>
      </c>
      <c r="E81" t="s">
        <v>61</v>
      </c>
      <c r="F81" t="s">
        <v>51</v>
      </c>
      <c r="G81" t="s">
        <v>61</v>
      </c>
      <c r="H81">
        <v>103</v>
      </c>
      <c r="I81" s="2">
        <v>5</v>
      </c>
      <c r="J81" s="2">
        <v>2</v>
      </c>
      <c r="K81" t="s">
        <v>46</v>
      </c>
      <c r="L81" s="2">
        <v>2</v>
      </c>
      <c r="M81" s="2">
        <v>2</v>
      </c>
      <c r="N81" t="s">
        <v>52</v>
      </c>
      <c r="O81" s="2">
        <v>5021</v>
      </c>
      <c r="P81" s="2">
        <v>10425</v>
      </c>
      <c r="Q81" s="2">
        <v>8</v>
      </c>
      <c r="R81" t="s">
        <v>35</v>
      </c>
      <c r="S81" s="2">
        <v>4</v>
      </c>
      <c r="T81" s="2">
        <v>4</v>
      </c>
      <c r="U81">
        <v>80</v>
      </c>
      <c r="V81" s="2">
        <v>16</v>
      </c>
      <c r="W81">
        <v>2</v>
      </c>
      <c r="X81">
        <v>3</v>
      </c>
      <c r="Y81">
        <v>4</v>
      </c>
      <c r="Z81">
        <v>2</v>
      </c>
      <c r="AA81">
        <v>0</v>
      </c>
      <c r="AB81">
        <v>2</v>
      </c>
    </row>
    <row r="82" spans="1:28" x14ac:dyDescent="0.35">
      <c r="A82" s="2">
        <v>30</v>
      </c>
      <c r="B82" s="2" t="str" cm="1">
        <f t="array" ref="B82">_xlfn.IFS(HR_table[[#This Row],[Age]]&lt;=20, "Under 20yrs",HR_table[[#This Row],[Age]]&lt;=30,"(21-30)yrs",HR_table[[#This Row],[Age]]&lt;=40,"(31-40)yrs",HR_table[[#This Row],[Age]]&lt;=50,"(41-50)yrs",HR_table[[#This Row],[Age]]&lt;=60,"(51-60)yrs")</f>
        <v>(21-30)yrs</v>
      </c>
      <c r="C82" t="s">
        <v>43</v>
      </c>
      <c r="D82" t="s">
        <v>36</v>
      </c>
      <c r="E82" t="s">
        <v>45</v>
      </c>
      <c r="F82" t="s">
        <v>38</v>
      </c>
      <c r="G82" t="s">
        <v>50</v>
      </c>
      <c r="H82">
        <v>104</v>
      </c>
      <c r="I82" s="2">
        <v>1</v>
      </c>
      <c r="J82" s="2">
        <v>4</v>
      </c>
      <c r="K82" t="s">
        <v>46</v>
      </c>
      <c r="L82" s="2">
        <v>2</v>
      </c>
      <c r="M82" s="2">
        <v>4</v>
      </c>
      <c r="N82" t="s">
        <v>48</v>
      </c>
      <c r="O82" s="2">
        <v>5126</v>
      </c>
      <c r="P82" s="2">
        <v>15998</v>
      </c>
      <c r="Q82" s="2">
        <v>1</v>
      </c>
      <c r="R82" t="s">
        <v>35</v>
      </c>
      <c r="S82" s="2">
        <v>3</v>
      </c>
      <c r="T82" s="2">
        <v>3</v>
      </c>
      <c r="U82">
        <v>80</v>
      </c>
      <c r="V82" s="2">
        <v>10</v>
      </c>
      <c r="W82">
        <v>1</v>
      </c>
      <c r="X82">
        <v>2</v>
      </c>
      <c r="Y82">
        <v>10</v>
      </c>
      <c r="Z82">
        <v>8</v>
      </c>
      <c r="AA82">
        <v>3</v>
      </c>
      <c r="AB82">
        <v>0</v>
      </c>
    </row>
    <row r="83" spans="1:28" x14ac:dyDescent="0.35">
      <c r="A83" s="2">
        <v>35</v>
      </c>
      <c r="B83" s="2" t="str" cm="1">
        <f t="array" ref="B83">_xlfn.IFS(HR_table[[#This Row],[Age]]&lt;=20, "Under 20yrs",HR_table[[#This Row],[Age]]&lt;=30,"(21-30)yrs",HR_table[[#This Row],[Age]]&lt;=40,"(31-40)yrs",HR_table[[#This Row],[Age]]&lt;=50,"(41-50)yrs",HR_table[[#This Row],[Age]]&lt;=60,"(51-60)yrs")</f>
        <v>(31-40)yrs</v>
      </c>
      <c r="C83" t="s">
        <v>43</v>
      </c>
      <c r="D83" t="s">
        <v>36</v>
      </c>
      <c r="E83" t="s">
        <v>45</v>
      </c>
      <c r="F83" t="s">
        <v>51</v>
      </c>
      <c r="G83" t="s">
        <v>47</v>
      </c>
      <c r="H83">
        <v>105</v>
      </c>
      <c r="I83" s="2">
        <v>1</v>
      </c>
      <c r="J83" s="2">
        <v>2</v>
      </c>
      <c r="K83" t="s">
        <v>46</v>
      </c>
      <c r="L83" s="2">
        <v>1</v>
      </c>
      <c r="M83" s="2">
        <v>3</v>
      </c>
      <c r="N83" t="s">
        <v>41</v>
      </c>
      <c r="O83" s="2">
        <v>2859</v>
      </c>
      <c r="P83" s="2">
        <v>26278</v>
      </c>
      <c r="Q83" s="2">
        <v>1</v>
      </c>
      <c r="R83" t="s">
        <v>43</v>
      </c>
      <c r="S83" s="2">
        <v>3</v>
      </c>
      <c r="T83" s="2">
        <v>1</v>
      </c>
      <c r="U83">
        <v>80</v>
      </c>
      <c r="V83" s="2">
        <v>6</v>
      </c>
      <c r="W83">
        <v>3</v>
      </c>
      <c r="X83">
        <v>3</v>
      </c>
      <c r="Y83">
        <v>6</v>
      </c>
      <c r="Z83">
        <v>4</v>
      </c>
      <c r="AA83">
        <v>0</v>
      </c>
      <c r="AB83">
        <v>4</v>
      </c>
    </row>
    <row r="84" spans="1:28" x14ac:dyDescent="0.35">
      <c r="A84" s="2">
        <v>55</v>
      </c>
      <c r="B84" s="2" t="str" cm="1">
        <f t="array" ref="B84">_xlfn.IFS(HR_table[[#This Row],[Age]]&lt;=20, "Under 20yrs",HR_table[[#This Row],[Age]]&lt;=30,"(21-30)yrs",HR_table[[#This Row],[Age]]&lt;=40,"(31-40)yrs",HR_table[[#This Row],[Age]]&lt;=50,"(41-50)yrs",HR_table[[#This Row],[Age]]&lt;=60,"(51-60)yrs")</f>
        <v>(51-60)yrs</v>
      </c>
      <c r="C84" t="s">
        <v>43</v>
      </c>
      <c r="D84" t="s">
        <v>36</v>
      </c>
      <c r="E84" t="s">
        <v>37</v>
      </c>
      <c r="F84" t="s">
        <v>38</v>
      </c>
      <c r="G84" t="s">
        <v>40</v>
      </c>
      <c r="H84">
        <v>106</v>
      </c>
      <c r="I84" s="2">
        <v>1</v>
      </c>
      <c r="J84" s="2">
        <v>1</v>
      </c>
      <c r="K84" t="s">
        <v>46</v>
      </c>
      <c r="L84" s="2">
        <v>3</v>
      </c>
      <c r="M84" s="2">
        <v>4</v>
      </c>
      <c r="N84" t="s">
        <v>48</v>
      </c>
      <c r="O84" s="2">
        <v>10239</v>
      </c>
      <c r="P84" s="2">
        <v>18092</v>
      </c>
      <c r="Q84" s="2">
        <v>3</v>
      </c>
      <c r="R84" t="s">
        <v>43</v>
      </c>
      <c r="S84" s="2">
        <v>3</v>
      </c>
      <c r="T84" s="2">
        <v>4</v>
      </c>
      <c r="U84">
        <v>80</v>
      </c>
      <c r="V84" s="2">
        <v>24</v>
      </c>
      <c r="W84">
        <v>4</v>
      </c>
      <c r="X84">
        <v>3</v>
      </c>
      <c r="Y84">
        <v>1</v>
      </c>
      <c r="Z84">
        <v>0</v>
      </c>
      <c r="AA84">
        <v>1</v>
      </c>
      <c r="AB84">
        <v>0</v>
      </c>
    </row>
    <row r="85" spans="1:28" x14ac:dyDescent="0.35">
      <c r="A85" s="2">
        <v>38</v>
      </c>
      <c r="B85" s="2" t="str" cm="1">
        <f t="array" ref="B85">_xlfn.IFS(HR_table[[#This Row],[Age]]&lt;=20, "Under 20yrs",HR_table[[#This Row],[Age]]&lt;=30,"(21-30)yrs",HR_table[[#This Row],[Age]]&lt;=40,"(31-40)yrs",HR_table[[#This Row],[Age]]&lt;=50,"(41-50)yrs",HR_table[[#This Row],[Age]]&lt;=60,"(51-60)yrs")</f>
        <v>(31-40)yrs</v>
      </c>
      <c r="C85" t="s">
        <v>43</v>
      </c>
      <c r="D85" t="s">
        <v>55</v>
      </c>
      <c r="E85" t="s">
        <v>45</v>
      </c>
      <c r="F85" t="s">
        <v>51</v>
      </c>
      <c r="G85" t="s">
        <v>47</v>
      </c>
      <c r="H85">
        <v>107</v>
      </c>
      <c r="I85" s="2">
        <v>6</v>
      </c>
      <c r="J85" s="2">
        <v>2</v>
      </c>
      <c r="K85" t="s">
        <v>39</v>
      </c>
      <c r="L85" s="2">
        <v>2</v>
      </c>
      <c r="M85" s="2">
        <v>4</v>
      </c>
      <c r="N85" t="s">
        <v>52</v>
      </c>
      <c r="O85" s="2">
        <v>5329</v>
      </c>
      <c r="P85" s="2">
        <v>15717</v>
      </c>
      <c r="Q85" s="2">
        <v>7</v>
      </c>
      <c r="R85" t="s">
        <v>35</v>
      </c>
      <c r="S85" s="2">
        <v>3</v>
      </c>
      <c r="T85" s="2">
        <v>4</v>
      </c>
      <c r="U85">
        <v>80</v>
      </c>
      <c r="V85" s="2">
        <v>17</v>
      </c>
      <c r="W85">
        <v>3</v>
      </c>
      <c r="X85">
        <v>3</v>
      </c>
      <c r="Y85">
        <v>13</v>
      </c>
      <c r="Z85">
        <v>11</v>
      </c>
      <c r="AA85">
        <v>1</v>
      </c>
      <c r="AB85">
        <v>9</v>
      </c>
    </row>
    <row r="86" spans="1:28" x14ac:dyDescent="0.35">
      <c r="A86" s="2">
        <v>34</v>
      </c>
      <c r="B86" s="2" t="str" cm="1">
        <f t="array" ref="B86">_xlfn.IFS(HR_table[[#This Row],[Age]]&lt;=20, "Under 20yrs",HR_table[[#This Row],[Age]]&lt;=30,"(21-30)yrs",HR_table[[#This Row],[Age]]&lt;=40,"(31-40)yrs",HR_table[[#This Row],[Age]]&lt;=50,"(41-50)yrs",HR_table[[#This Row],[Age]]&lt;=60,"(51-60)yrs")</f>
        <v>(31-40)yrs</v>
      </c>
      <c r="C86" t="s">
        <v>43</v>
      </c>
      <c r="D86" t="s">
        <v>36</v>
      </c>
      <c r="E86" t="s">
        <v>45</v>
      </c>
      <c r="F86" t="s">
        <v>51</v>
      </c>
      <c r="G86" t="s">
        <v>53</v>
      </c>
      <c r="H86">
        <v>110</v>
      </c>
      <c r="I86" s="2">
        <v>1</v>
      </c>
      <c r="J86" s="2">
        <v>1</v>
      </c>
      <c r="K86" t="s">
        <v>46</v>
      </c>
      <c r="L86" s="2">
        <v>2</v>
      </c>
      <c r="M86" s="2">
        <v>2</v>
      </c>
      <c r="N86" t="s">
        <v>48</v>
      </c>
      <c r="O86" s="2">
        <v>4325</v>
      </c>
      <c r="P86" s="2">
        <v>17736</v>
      </c>
      <c r="Q86" s="2">
        <v>1</v>
      </c>
      <c r="R86" t="s">
        <v>43</v>
      </c>
      <c r="S86" s="2">
        <v>3</v>
      </c>
      <c r="T86" s="2">
        <v>3</v>
      </c>
      <c r="U86">
        <v>80</v>
      </c>
      <c r="V86" s="2">
        <v>5</v>
      </c>
      <c r="W86">
        <v>2</v>
      </c>
      <c r="X86">
        <v>3</v>
      </c>
      <c r="Y86">
        <v>5</v>
      </c>
      <c r="Z86">
        <v>2</v>
      </c>
      <c r="AA86">
        <v>1</v>
      </c>
      <c r="AB86">
        <v>3</v>
      </c>
    </row>
    <row r="87" spans="1:28" x14ac:dyDescent="0.35">
      <c r="A87" s="2">
        <v>56</v>
      </c>
      <c r="B87" s="2" t="str" cm="1">
        <f t="array" ref="B87">_xlfn.IFS(HR_table[[#This Row],[Age]]&lt;=20, "Under 20yrs",HR_table[[#This Row],[Age]]&lt;=30,"(21-30)yrs",HR_table[[#This Row],[Age]]&lt;=40,"(31-40)yrs",HR_table[[#This Row],[Age]]&lt;=50,"(41-50)yrs",HR_table[[#This Row],[Age]]&lt;=60,"(51-60)yrs")</f>
        <v>(51-60)yrs</v>
      </c>
      <c r="C87" t="s">
        <v>43</v>
      </c>
      <c r="D87" t="s">
        <v>36</v>
      </c>
      <c r="E87" t="s">
        <v>45</v>
      </c>
      <c r="F87" t="s">
        <v>38</v>
      </c>
      <c r="G87" t="s">
        <v>53</v>
      </c>
      <c r="H87">
        <v>112</v>
      </c>
      <c r="I87" s="2">
        <v>7</v>
      </c>
      <c r="J87" s="2">
        <v>4</v>
      </c>
      <c r="K87" t="s">
        <v>46</v>
      </c>
      <c r="L87" s="2">
        <v>3</v>
      </c>
      <c r="M87" s="2">
        <v>4</v>
      </c>
      <c r="N87" t="s">
        <v>41</v>
      </c>
      <c r="O87" s="2">
        <v>7260</v>
      </c>
      <c r="P87" s="2">
        <v>21698</v>
      </c>
      <c r="Q87" s="2">
        <v>4</v>
      </c>
      <c r="R87" t="s">
        <v>43</v>
      </c>
      <c r="S87" s="2">
        <v>3</v>
      </c>
      <c r="T87" s="2">
        <v>1</v>
      </c>
      <c r="U87">
        <v>80</v>
      </c>
      <c r="V87" s="2">
        <v>37</v>
      </c>
      <c r="W87">
        <v>3</v>
      </c>
      <c r="X87">
        <v>2</v>
      </c>
      <c r="Y87">
        <v>6</v>
      </c>
      <c r="Z87">
        <v>4</v>
      </c>
      <c r="AA87">
        <v>0</v>
      </c>
      <c r="AB87">
        <v>2</v>
      </c>
    </row>
    <row r="88" spans="1:28" x14ac:dyDescent="0.35">
      <c r="A88" s="2">
        <v>23</v>
      </c>
      <c r="B88" s="2" t="str" cm="1">
        <f t="array" ref="B88">_xlfn.IFS(HR_table[[#This Row],[Age]]&lt;=20, "Under 20yrs",HR_table[[#This Row],[Age]]&lt;=30,"(21-30)yrs",HR_table[[#This Row],[Age]]&lt;=40,"(31-40)yrs",HR_table[[#This Row],[Age]]&lt;=50,"(41-50)yrs",HR_table[[#This Row],[Age]]&lt;=60,"(51-60)yrs")</f>
        <v>(21-30)yrs</v>
      </c>
      <c r="C88" t="s">
        <v>43</v>
      </c>
      <c r="D88" t="s">
        <v>36</v>
      </c>
      <c r="E88" t="s">
        <v>37</v>
      </c>
      <c r="F88" t="s">
        <v>60</v>
      </c>
      <c r="G88" t="s">
        <v>57</v>
      </c>
      <c r="H88">
        <v>113</v>
      </c>
      <c r="I88" s="2">
        <v>2</v>
      </c>
      <c r="J88" s="2">
        <v>3</v>
      </c>
      <c r="K88" t="s">
        <v>46</v>
      </c>
      <c r="L88" s="2">
        <v>1</v>
      </c>
      <c r="M88" s="2">
        <v>1</v>
      </c>
      <c r="N88" t="s">
        <v>52</v>
      </c>
      <c r="O88" s="2">
        <v>2322</v>
      </c>
      <c r="P88" s="2">
        <v>9518</v>
      </c>
      <c r="Q88" s="2">
        <v>3</v>
      </c>
      <c r="R88" t="s">
        <v>43</v>
      </c>
      <c r="S88" s="2">
        <v>3</v>
      </c>
      <c r="T88" s="2">
        <v>3</v>
      </c>
      <c r="U88">
        <v>80</v>
      </c>
      <c r="V88" s="2">
        <v>3</v>
      </c>
      <c r="W88">
        <v>3</v>
      </c>
      <c r="X88">
        <v>3</v>
      </c>
      <c r="Y88">
        <v>0</v>
      </c>
      <c r="Z88">
        <v>0</v>
      </c>
      <c r="AA88">
        <v>0</v>
      </c>
      <c r="AB88">
        <v>0</v>
      </c>
    </row>
    <row r="89" spans="1:28" x14ac:dyDescent="0.35">
      <c r="A89" s="2">
        <v>51</v>
      </c>
      <c r="B89" s="2" t="str" cm="1">
        <f t="array" ref="B89">_xlfn.IFS(HR_table[[#This Row],[Age]]&lt;=20, "Under 20yrs",HR_table[[#This Row],[Age]]&lt;=30,"(21-30)yrs",HR_table[[#This Row],[Age]]&lt;=40,"(31-40)yrs",HR_table[[#This Row],[Age]]&lt;=50,"(41-50)yrs",HR_table[[#This Row],[Age]]&lt;=60,"(51-60)yrs")</f>
        <v>(51-60)yrs</v>
      </c>
      <c r="C89" t="s">
        <v>43</v>
      </c>
      <c r="D89" t="s">
        <v>36</v>
      </c>
      <c r="E89" t="s">
        <v>45</v>
      </c>
      <c r="F89" t="s">
        <v>38</v>
      </c>
      <c r="G89" t="s">
        <v>50</v>
      </c>
      <c r="H89">
        <v>116</v>
      </c>
      <c r="I89" s="2">
        <v>9</v>
      </c>
      <c r="J89" s="2">
        <v>4</v>
      </c>
      <c r="K89" t="s">
        <v>46</v>
      </c>
      <c r="L89" s="2">
        <v>1</v>
      </c>
      <c r="M89" s="2">
        <v>4</v>
      </c>
      <c r="N89" t="s">
        <v>48</v>
      </c>
      <c r="O89" s="2">
        <v>2075</v>
      </c>
      <c r="P89" s="2">
        <v>18725</v>
      </c>
      <c r="Q89" s="2">
        <v>3</v>
      </c>
      <c r="R89" t="s">
        <v>43</v>
      </c>
      <c r="S89" s="2">
        <v>4</v>
      </c>
      <c r="T89" s="2">
        <v>2</v>
      </c>
      <c r="U89">
        <v>80</v>
      </c>
      <c r="V89" s="2">
        <v>10</v>
      </c>
      <c r="W89">
        <v>4</v>
      </c>
      <c r="X89">
        <v>3</v>
      </c>
      <c r="Y89">
        <v>4</v>
      </c>
      <c r="Z89">
        <v>2</v>
      </c>
      <c r="AA89">
        <v>0</v>
      </c>
      <c r="AB89">
        <v>3</v>
      </c>
    </row>
    <row r="90" spans="1:28" x14ac:dyDescent="0.35">
      <c r="A90" s="2">
        <v>30</v>
      </c>
      <c r="B90" s="2" t="str" cm="1">
        <f t="array" ref="B90">_xlfn.IFS(HR_table[[#This Row],[Age]]&lt;=20, "Under 20yrs",HR_table[[#This Row],[Age]]&lt;=30,"(21-30)yrs",HR_table[[#This Row],[Age]]&lt;=40,"(31-40)yrs",HR_table[[#This Row],[Age]]&lt;=50,"(41-50)yrs",HR_table[[#This Row],[Age]]&lt;=60,"(51-60)yrs")</f>
        <v>(21-30)yrs</v>
      </c>
      <c r="C90" t="s">
        <v>43</v>
      </c>
      <c r="D90" t="s">
        <v>36</v>
      </c>
      <c r="E90" t="s">
        <v>45</v>
      </c>
      <c r="F90" t="s">
        <v>38</v>
      </c>
      <c r="G90" t="s">
        <v>54</v>
      </c>
      <c r="H90">
        <v>117</v>
      </c>
      <c r="I90" s="2">
        <v>2</v>
      </c>
      <c r="J90" s="2">
        <v>3</v>
      </c>
      <c r="K90" t="s">
        <v>46</v>
      </c>
      <c r="L90" s="2">
        <v>2</v>
      </c>
      <c r="M90" s="2">
        <v>4</v>
      </c>
      <c r="N90" t="s">
        <v>48</v>
      </c>
      <c r="O90" s="2">
        <v>4152</v>
      </c>
      <c r="P90" s="2">
        <v>15830</v>
      </c>
      <c r="Q90" s="2">
        <v>1</v>
      </c>
      <c r="R90" t="s">
        <v>43</v>
      </c>
      <c r="S90" s="2">
        <v>3</v>
      </c>
      <c r="T90" s="2">
        <v>1</v>
      </c>
      <c r="U90">
        <v>80</v>
      </c>
      <c r="V90" s="2">
        <v>11</v>
      </c>
      <c r="W90">
        <v>3</v>
      </c>
      <c r="X90">
        <v>3</v>
      </c>
      <c r="Y90">
        <v>11</v>
      </c>
      <c r="Z90">
        <v>10</v>
      </c>
      <c r="AA90">
        <v>10</v>
      </c>
      <c r="AB90">
        <v>8</v>
      </c>
    </row>
    <row r="91" spans="1:28" x14ac:dyDescent="0.35">
      <c r="A91" s="2">
        <v>46</v>
      </c>
      <c r="B91" s="2" t="str" cm="1">
        <f t="array" ref="B91">_xlfn.IFS(HR_table[[#This Row],[Age]]&lt;=20, "Under 20yrs",HR_table[[#This Row],[Age]]&lt;=30,"(21-30)yrs",HR_table[[#This Row],[Age]]&lt;=40,"(31-40)yrs",HR_table[[#This Row],[Age]]&lt;=50,"(41-50)yrs",HR_table[[#This Row],[Age]]&lt;=60,"(51-60)yrs")</f>
        <v>(41-50)yrs</v>
      </c>
      <c r="C91" t="s">
        <v>35</v>
      </c>
      <c r="D91" t="s">
        <v>36</v>
      </c>
      <c r="E91" t="s">
        <v>37</v>
      </c>
      <c r="F91" t="s">
        <v>51</v>
      </c>
      <c r="G91" t="s">
        <v>40</v>
      </c>
      <c r="H91">
        <v>118</v>
      </c>
      <c r="I91" s="2">
        <v>9</v>
      </c>
      <c r="J91" s="2">
        <v>3</v>
      </c>
      <c r="K91" t="s">
        <v>46</v>
      </c>
      <c r="L91" s="2">
        <v>3</v>
      </c>
      <c r="M91" s="2">
        <v>4</v>
      </c>
      <c r="N91" t="s">
        <v>41</v>
      </c>
      <c r="O91" s="2">
        <v>9619</v>
      </c>
      <c r="P91" s="2">
        <v>13596</v>
      </c>
      <c r="Q91" s="2">
        <v>1</v>
      </c>
      <c r="R91" t="s">
        <v>43</v>
      </c>
      <c r="S91" s="2">
        <v>3</v>
      </c>
      <c r="T91" s="2">
        <v>4</v>
      </c>
      <c r="U91">
        <v>80</v>
      </c>
      <c r="V91" s="2">
        <v>9</v>
      </c>
      <c r="W91">
        <v>3</v>
      </c>
      <c r="X91">
        <v>3</v>
      </c>
      <c r="Y91">
        <v>9</v>
      </c>
      <c r="Z91">
        <v>8</v>
      </c>
      <c r="AA91">
        <v>4</v>
      </c>
      <c r="AB91">
        <v>7</v>
      </c>
    </row>
    <row r="92" spans="1:28" x14ac:dyDescent="0.35">
      <c r="A92" s="2">
        <v>40</v>
      </c>
      <c r="B92" s="2" t="str" cm="1">
        <f t="array" ref="B92">_xlfn.IFS(HR_table[[#This Row],[Age]]&lt;=20, "Under 20yrs",HR_table[[#This Row],[Age]]&lt;=30,"(21-30)yrs",HR_table[[#This Row],[Age]]&lt;=40,"(31-40)yrs",HR_table[[#This Row],[Age]]&lt;=50,"(41-50)yrs",HR_table[[#This Row],[Age]]&lt;=60,"(51-60)yrs")</f>
        <v>(31-40)yrs</v>
      </c>
      <c r="C92" t="s">
        <v>43</v>
      </c>
      <c r="D92" t="s">
        <v>44</v>
      </c>
      <c r="E92" t="s">
        <v>45</v>
      </c>
      <c r="F92" t="s">
        <v>38</v>
      </c>
      <c r="G92" t="s">
        <v>54</v>
      </c>
      <c r="H92">
        <v>119</v>
      </c>
      <c r="I92" s="2">
        <v>1</v>
      </c>
      <c r="J92" s="2">
        <v>3</v>
      </c>
      <c r="K92" t="s">
        <v>46</v>
      </c>
      <c r="L92" s="2">
        <v>4</v>
      </c>
      <c r="M92" s="2">
        <v>2</v>
      </c>
      <c r="N92" t="s">
        <v>48</v>
      </c>
      <c r="O92" s="2">
        <v>13503</v>
      </c>
      <c r="P92" s="2">
        <v>14115</v>
      </c>
      <c r="Q92" s="2">
        <v>1</v>
      </c>
      <c r="R92" t="s">
        <v>43</v>
      </c>
      <c r="S92" s="2">
        <v>4</v>
      </c>
      <c r="T92" s="2">
        <v>4</v>
      </c>
      <c r="U92">
        <v>80</v>
      </c>
      <c r="V92" s="2">
        <v>22</v>
      </c>
      <c r="W92">
        <v>3</v>
      </c>
      <c r="X92">
        <v>2</v>
      </c>
      <c r="Y92">
        <v>22</v>
      </c>
      <c r="Z92">
        <v>3</v>
      </c>
      <c r="AA92">
        <v>11</v>
      </c>
      <c r="AB92">
        <v>11</v>
      </c>
    </row>
    <row r="93" spans="1:28" x14ac:dyDescent="0.35">
      <c r="A93" s="2">
        <v>51</v>
      </c>
      <c r="B93" s="2" t="str" cm="1">
        <f t="array" ref="B93">_xlfn.IFS(HR_table[[#This Row],[Age]]&lt;=20, "Under 20yrs",HR_table[[#This Row],[Age]]&lt;=30,"(21-30)yrs",HR_table[[#This Row],[Age]]&lt;=40,"(31-40)yrs",HR_table[[#This Row],[Age]]&lt;=50,"(41-50)yrs",HR_table[[#This Row],[Age]]&lt;=60,"(51-60)yrs")</f>
        <v>(51-60)yrs</v>
      </c>
      <c r="C93" t="s">
        <v>43</v>
      </c>
      <c r="D93" t="s">
        <v>36</v>
      </c>
      <c r="E93" t="s">
        <v>37</v>
      </c>
      <c r="F93" t="s">
        <v>59</v>
      </c>
      <c r="G93" t="s">
        <v>40</v>
      </c>
      <c r="H93">
        <v>120</v>
      </c>
      <c r="I93" s="2">
        <v>21</v>
      </c>
      <c r="J93" s="2">
        <v>3</v>
      </c>
      <c r="K93" t="s">
        <v>46</v>
      </c>
      <c r="L93" s="2">
        <v>2</v>
      </c>
      <c r="M93" s="2">
        <v>4</v>
      </c>
      <c r="N93" t="s">
        <v>41</v>
      </c>
      <c r="O93" s="2">
        <v>5441</v>
      </c>
      <c r="P93" s="2">
        <v>8423</v>
      </c>
      <c r="Q93" s="2">
        <v>0</v>
      </c>
      <c r="R93" t="s">
        <v>35</v>
      </c>
      <c r="S93" s="2">
        <v>4</v>
      </c>
      <c r="T93" s="2">
        <v>4</v>
      </c>
      <c r="U93">
        <v>80</v>
      </c>
      <c r="V93" s="2">
        <v>11</v>
      </c>
      <c r="W93">
        <v>2</v>
      </c>
      <c r="X93">
        <v>1</v>
      </c>
      <c r="Y93">
        <v>10</v>
      </c>
      <c r="Z93">
        <v>7</v>
      </c>
      <c r="AA93">
        <v>1</v>
      </c>
      <c r="AB93">
        <v>0</v>
      </c>
    </row>
    <row r="94" spans="1:28" x14ac:dyDescent="0.35">
      <c r="A94" s="2">
        <v>30</v>
      </c>
      <c r="B94" s="2" t="str" cm="1">
        <f t="array" ref="B94">_xlfn.IFS(HR_table[[#This Row],[Age]]&lt;=20, "Under 20yrs",HR_table[[#This Row],[Age]]&lt;=30,"(21-30)yrs",HR_table[[#This Row],[Age]]&lt;=40,"(31-40)yrs",HR_table[[#This Row],[Age]]&lt;=50,"(41-50)yrs",HR_table[[#This Row],[Age]]&lt;=60,"(51-60)yrs")</f>
        <v>(21-30)yrs</v>
      </c>
      <c r="C94" t="s">
        <v>43</v>
      </c>
      <c r="D94" t="s">
        <v>36</v>
      </c>
      <c r="E94" t="s">
        <v>37</v>
      </c>
      <c r="F94" t="s">
        <v>51</v>
      </c>
      <c r="G94" t="s">
        <v>40</v>
      </c>
      <c r="H94">
        <v>121</v>
      </c>
      <c r="I94" s="2">
        <v>4</v>
      </c>
      <c r="J94" s="2">
        <v>3</v>
      </c>
      <c r="K94" t="s">
        <v>39</v>
      </c>
      <c r="L94" s="2">
        <v>2</v>
      </c>
      <c r="M94" s="2">
        <v>2</v>
      </c>
      <c r="N94" t="s">
        <v>52</v>
      </c>
      <c r="O94" s="2">
        <v>5209</v>
      </c>
      <c r="P94" s="2">
        <v>19760</v>
      </c>
      <c r="Q94" s="2">
        <v>1</v>
      </c>
      <c r="R94" t="s">
        <v>35</v>
      </c>
      <c r="S94" s="2">
        <v>3</v>
      </c>
      <c r="T94" s="2">
        <v>2</v>
      </c>
      <c r="U94">
        <v>80</v>
      </c>
      <c r="V94" s="2">
        <v>11</v>
      </c>
      <c r="W94">
        <v>4</v>
      </c>
      <c r="X94">
        <v>2</v>
      </c>
      <c r="Y94">
        <v>11</v>
      </c>
      <c r="Z94">
        <v>8</v>
      </c>
      <c r="AA94">
        <v>2</v>
      </c>
      <c r="AB94">
        <v>7</v>
      </c>
    </row>
    <row r="95" spans="1:28" x14ac:dyDescent="0.35">
      <c r="A95" s="2">
        <v>46</v>
      </c>
      <c r="B95" s="2" t="str" cm="1">
        <f t="array" ref="B95">_xlfn.IFS(HR_table[[#This Row],[Age]]&lt;=20, "Under 20yrs",HR_table[[#This Row],[Age]]&lt;=30,"(21-30)yrs",HR_table[[#This Row],[Age]]&lt;=40,"(31-40)yrs",HR_table[[#This Row],[Age]]&lt;=50,"(41-50)yrs",HR_table[[#This Row],[Age]]&lt;=60,"(51-60)yrs")</f>
        <v>(41-50)yrs</v>
      </c>
      <c r="C95" t="s">
        <v>43</v>
      </c>
      <c r="D95" t="s">
        <v>44</v>
      </c>
      <c r="E95" t="s">
        <v>45</v>
      </c>
      <c r="F95" t="s">
        <v>51</v>
      </c>
      <c r="G95" t="s">
        <v>54</v>
      </c>
      <c r="H95">
        <v>124</v>
      </c>
      <c r="I95" s="2">
        <v>1</v>
      </c>
      <c r="J95" s="2">
        <v>3</v>
      </c>
      <c r="K95" t="s">
        <v>46</v>
      </c>
      <c r="L95" s="2">
        <v>3</v>
      </c>
      <c r="M95" s="2">
        <v>1</v>
      </c>
      <c r="N95" t="s">
        <v>48</v>
      </c>
      <c r="O95" s="2">
        <v>10673</v>
      </c>
      <c r="P95" s="2">
        <v>3142</v>
      </c>
      <c r="Q95" s="2">
        <v>2</v>
      </c>
      <c r="R95" t="s">
        <v>35</v>
      </c>
      <c r="S95" s="2">
        <v>3</v>
      </c>
      <c r="T95" s="2">
        <v>3</v>
      </c>
      <c r="U95">
        <v>80</v>
      </c>
      <c r="V95" s="2">
        <v>21</v>
      </c>
      <c r="W95">
        <v>5</v>
      </c>
      <c r="X95">
        <v>2</v>
      </c>
      <c r="Y95">
        <v>10</v>
      </c>
      <c r="Z95">
        <v>9</v>
      </c>
      <c r="AA95">
        <v>9</v>
      </c>
      <c r="AB95">
        <v>5</v>
      </c>
    </row>
    <row r="96" spans="1:28" x14ac:dyDescent="0.35">
      <c r="A96" s="2">
        <v>32</v>
      </c>
      <c r="B96" s="2" t="str" cm="1">
        <f t="array" ref="B96">_xlfn.IFS(HR_table[[#This Row],[Age]]&lt;=20, "Under 20yrs",HR_table[[#This Row],[Age]]&lt;=30,"(21-30)yrs",HR_table[[#This Row],[Age]]&lt;=40,"(31-40)yrs",HR_table[[#This Row],[Age]]&lt;=50,"(41-50)yrs",HR_table[[#This Row],[Age]]&lt;=60,"(51-60)yrs")</f>
        <v>(31-40)yrs</v>
      </c>
      <c r="C96" t="s">
        <v>43</v>
      </c>
      <c r="D96" t="s">
        <v>36</v>
      </c>
      <c r="E96" t="s">
        <v>37</v>
      </c>
      <c r="F96" t="s">
        <v>51</v>
      </c>
      <c r="G96" t="s">
        <v>40</v>
      </c>
      <c r="H96">
        <v>125</v>
      </c>
      <c r="I96" s="2">
        <v>6</v>
      </c>
      <c r="J96" s="2">
        <v>2</v>
      </c>
      <c r="K96" t="s">
        <v>46</v>
      </c>
      <c r="L96" s="2">
        <v>2</v>
      </c>
      <c r="M96" s="2">
        <v>3</v>
      </c>
      <c r="N96" t="s">
        <v>41</v>
      </c>
      <c r="O96" s="2">
        <v>5010</v>
      </c>
      <c r="P96" s="2">
        <v>24301</v>
      </c>
      <c r="Q96" s="2">
        <v>1</v>
      </c>
      <c r="R96" t="s">
        <v>43</v>
      </c>
      <c r="S96" s="2">
        <v>3</v>
      </c>
      <c r="T96" s="2">
        <v>1</v>
      </c>
      <c r="U96">
        <v>80</v>
      </c>
      <c r="V96" s="2">
        <v>12</v>
      </c>
      <c r="W96">
        <v>0</v>
      </c>
      <c r="X96">
        <v>3</v>
      </c>
      <c r="Y96">
        <v>11</v>
      </c>
      <c r="Z96">
        <v>8</v>
      </c>
      <c r="AA96">
        <v>5</v>
      </c>
      <c r="AB96">
        <v>7</v>
      </c>
    </row>
    <row r="97" spans="1:28" x14ac:dyDescent="0.35">
      <c r="A97" s="2">
        <v>54</v>
      </c>
      <c r="B97" s="2" t="str" cm="1">
        <f t="array" ref="B97">_xlfn.IFS(HR_table[[#This Row],[Age]]&lt;=20, "Under 20yrs",HR_table[[#This Row],[Age]]&lt;=30,"(21-30)yrs",HR_table[[#This Row],[Age]]&lt;=40,"(31-40)yrs",HR_table[[#This Row],[Age]]&lt;=50,"(41-50)yrs",HR_table[[#This Row],[Age]]&lt;=60,"(51-60)yrs")</f>
        <v>(51-60)yrs</v>
      </c>
      <c r="C97" t="s">
        <v>43</v>
      </c>
      <c r="D97" t="s">
        <v>36</v>
      </c>
      <c r="E97" t="s">
        <v>45</v>
      </c>
      <c r="F97" t="s">
        <v>60</v>
      </c>
      <c r="G97" t="s">
        <v>58</v>
      </c>
      <c r="H97">
        <v>126</v>
      </c>
      <c r="I97" s="2">
        <v>2</v>
      </c>
      <c r="J97" s="2">
        <v>1</v>
      </c>
      <c r="K97" t="s">
        <v>39</v>
      </c>
      <c r="L97" s="2">
        <v>3</v>
      </c>
      <c r="M97" s="2">
        <v>3</v>
      </c>
      <c r="N97" t="s">
        <v>48</v>
      </c>
      <c r="O97" s="2">
        <v>13549</v>
      </c>
      <c r="P97" s="2">
        <v>24001</v>
      </c>
      <c r="Q97" s="2">
        <v>9</v>
      </c>
      <c r="R97" t="s">
        <v>43</v>
      </c>
      <c r="S97" s="2">
        <v>3</v>
      </c>
      <c r="T97" s="2">
        <v>1</v>
      </c>
      <c r="U97">
        <v>80</v>
      </c>
      <c r="V97" s="2">
        <v>16</v>
      </c>
      <c r="W97">
        <v>5</v>
      </c>
      <c r="X97">
        <v>1</v>
      </c>
      <c r="Y97">
        <v>4</v>
      </c>
      <c r="Z97">
        <v>3</v>
      </c>
      <c r="AA97">
        <v>0</v>
      </c>
      <c r="AB97">
        <v>3</v>
      </c>
    </row>
    <row r="98" spans="1:28" x14ac:dyDescent="0.35">
      <c r="A98" s="2">
        <v>24</v>
      </c>
      <c r="B98" s="2" t="str" cm="1">
        <f t="array" ref="B98">_xlfn.IFS(HR_table[[#This Row],[Age]]&lt;=20, "Under 20yrs",HR_table[[#This Row],[Age]]&lt;=30,"(21-30)yrs",HR_table[[#This Row],[Age]]&lt;=40,"(31-40)yrs",HR_table[[#This Row],[Age]]&lt;=50,"(41-50)yrs",HR_table[[#This Row],[Age]]&lt;=60,"(51-60)yrs")</f>
        <v>(21-30)yrs</v>
      </c>
      <c r="C98" t="s">
        <v>43</v>
      </c>
      <c r="D98" t="s">
        <v>36</v>
      </c>
      <c r="E98" t="s">
        <v>37</v>
      </c>
      <c r="F98" t="s">
        <v>49</v>
      </c>
      <c r="G98" t="s">
        <v>40</v>
      </c>
      <c r="H98">
        <v>128</v>
      </c>
      <c r="I98" s="2">
        <v>3</v>
      </c>
      <c r="J98" s="2">
        <v>1</v>
      </c>
      <c r="K98" t="s">
        <v>39</v>
      </c>
      <c r="L98" s="2">
        <v>2</v>
      </c>
      <c r="M98" s="2">
        <v>3</v>
      </c>
      <c r="N98" t="s">
        <v>48</v>
      </c>
      <c r="O98" s="2">
        <v>4999</v>
      </c>
      <c r="P98" s="2">
        <v>17519</v>
      </c>
      <c r="Q98" s="2">
        <v>0</v>
      </c>
      <c r="R98" t="s">
        <v>43</v>
      </c>
      <c r="S98" s="2">
        <v>4</v>
      </c>
      <c r="T98" s="2">
        <v>1</v>
      </c>
      <c r="U98">
        <v>80</v>
      </c>
      <c r="V98" s="2">
        <v>4</v>
      </c>
      <c r="W98">
        <v>2</v>
      </c>
      <c r="X98">
        <v>2</v>
      </c>
      <c r="Y98">
        <v>3</v>
      </c>
      <c r="Z98">
        <v>2</v>
      </c>
      <c r="AA98">
        <v>0</v>
      </c>
      <c r="AB98">
        <v>2</v>
      </c>
    </row>
    <row r="99" spans="1:28" x14ac:dyDescent="0.35">
      <c r="A99" s="2">
        <v>28</v>
      </c>
      <c r="B99" s="2" t="str" cm="1">
        <f t="array" ref="B99">_xlfn.IFS(HR_table[[#This Row],[Age]]&lt;=20, "Under 20yrs",HR_table[[#This Row],[Age]]&lt;=30,"(21-30)yrs",HR_table[[#This Row],[Age]]&lt;=40,"(31-40)yrs",HR_table[[#This Row],[Age]]&lt;=50,"(41-50)yrs",HR_table[[#This Row],[Age]]&lt;=60,"(51-60)yrs")</f>
        <v>(21-30)yrs</v>
      </c>
      <c r="C99" t="s">
        <v>43</v>
      </c>
      <c r="D99" t="s">
        <v>55</v>
      </c>
      <c r="E99" t="s">
        <v>37</v>
      </c>
      <c r="F99" t="s">
        <v>51</v>
      </c>
      <c r="G99" t="s">
        <v>40</v>
      </c>
      <c r="H99">
        <v>129</v>
      </c>
      <c r="I99" s="2">
        <v>4</v>
      </c>
      <c r="J99" s="2">
        <v>2</v>
      </c>
      <c r="K99" t="s">
        <v>46</v>
      </c>
      <c r="L99" s="2">
        <v>2</v>
      </c>
      <c r="M99" s="2">
        <v>3</v>
      </c>
      <c r="N99" t="s">
        <v>48</v>
      </c>
      <c r="O99" s="2">
        <v>4221</v>
      </c>
      <c r="P99" s="2">
        <v>8863</v>
      </c>
      <c r="Q99" s="2">
        <v>1</v>
      </c>
      <c r="R99" t="s">
        <v>43</v>
      </c>
      <c r="S99" s="2">
        <v>3</v>
      </c>
      <c r="T99" s="2">
        <v>2</v>
      </c>
      <c r="U99">
        <v>80</v>
      </c>
      <c r="V99" s="2">
        <v>5</v>
      </c>
      <c r="W99">
        <v>3</v>
      </c>
      <c r="X99">
        <v>4</v>
      </c>
      <c r="Y99">
        <v>5</v>
      </c>
      <c r="Z99">
        <v>4</v>
      </c>
      <c r="AA99">
        <v>0</v>
      </c>
      <c r="AB99">
        <v>4</v>
      </c>
    </row>
    <row r="100" spans="1:28" x14ac:dyDescent="0.35">
      <c r="A100" s="2">
        <v>58</v>
      </c>
      <c r="B100" s="2" t="str" cm="1">
        <f t="array" ref="B100">_xlfn.IFS(HR_table[[#This Row],[Age]]&lt;=20, "Under 20yrs",HR_table[[#This Row],[Age]]&lt;=30,"(21-30)yrs",HR_table[[#This Row],[Age]]&lt;=40,"(31-40)yrs",HR_table[[#This Row],[Age]]&lt;=50,"(41-50)yrs",HR_table[[#This Row],[Age]]&lt;=60,"(51-60)yrs")</f>
        <v>(51-60)yrs</v>
      </c>
      <c r="C100" t="s">
        <v>43</v>
      </c>
      <c r="D100" t="s">
        <v>36</v>
      </c>
      <c r="E100" t="s">
        <v>37</v>
      </c>
      <c r="F100" t="s">
        <v>51</v>
      </c>
      <c r="G100" t="s">
        <v>40</v>
      </c>
      <c r="H100">
        <v>131</v>
      </c>
      <c r="I100" s="2">
        <v>10</v>
      </c>
      <c r="J100" s="2">
        <v>4</v>
      </c>
      <c r="K100" t="s">
        <v>46</v>
      </c>
      <c r="L100" s="2">
        <v>4</v>
      </c>
      <c r="M100" s="2">
        <v>3</v>
      </c>
      <c r="N100" t="s">
        <v>41</v>
      </c>
      <c r="O100" s="2">
        <v>13872</v>
      </c>
      <c r="P100" s="2">
        <v>24409</v>
      </c>
      <c r="Q100" s="2">
        <v>0</v>
      </c>
      <c r="R100" t="s">
        <v>43</v>
      </c>
      <c r="S100" s="2">
        <v>3</v>
      </c>
      <c r="T100" s="2">
        <v>3</v>
      </c>
      <c r="U100">
        <v>80</v>
      </c>
      <c r="V100" s="2">
        <v>38</v>
      </c>
      <c r="W100">
        <v>1</v>
      </c>
      <c r="X100">
        <v>2</v>
      </c>
      <c r="Y100">
        <v>37</v>
      </c>
      <c r="Z100">
        <v>10</v>
      </c>
      <c r="AA100">
        <v>1</v>
      </c>
      <c r="AB100">
        <v>8</v>
      </c>
    </row>
    <row r="101" spans="1:28" x14ac:dyDescent="0.35">
      <c r="A101" s="2">
        <v>44</v>
      </c>
      <c r="B101" s="2" t="str" cm="1">
        <f t="array" ref="B101">_xlfn.IFS(HR_table[[#This Row],[Age]]&lt;=20, "Under 20yrs",HR_table[[#This Row],[Age]]&lt;=30,"(21-30)yrs",HR_table[[#This Row],[Age]]&lt;=40,"(31-40)yrs",HR_table[[#This Row],[Age]]&lt;=50,"(41-50)yrs",HR_table[[#This Row],[Age]]&lt;=60,"(51-60)yrs")</f>
        <v>(41-50)yrs</v>
      </c>
      <c r="C101" t="s">
        <v>43</v>
      </c>
      <c r="D101" t="s">
        <v>55</v>
      </c>
      <c r="E101" t="s">
        <v>45</v>
      </c>
      <c r="F101" t="s">
        <v>51</v>
      </c>
      <c r="G101" t="s">
        <v>50</v>
      </c>
      <c r="H101">
        <v>132</v>
      </c>
      <c r="I101" s="2">
        <v>23</v>
      </c>
      <c r="J101" s="2">
        <v>2</v>
      </c>
      <c r="K101" t="s">
        <v>46</v>
      </c>
      <c r="L101" s="2">
        <v>2</v>
      </c>
      <c r="M101" s="2">
        <v>2</v>
      </c>
      <c r="N101" t="s">
        <v>48</v>
      </c>
      <c r="O101" s="2">
        <v>2042</v>
      </c>
      <c r="P101" s="2">
        <v>25043</v>
      </c>
      <c r="Q101" s="2">
        <v>4</v>
      </c>
      <c r="R101" t="s">
        <v>43</v>
      </c>
      <c r="S101" s="2">
        <v>3</v>
      </c>
      <c r="T101" s="2">
        <v>3</v>
      </c>
      <c r="U101">
        <v>80</v>
      </c>
      <c r="V101" s="2">
        <v>17</v>
      </c>
      <c r="W101">
        <v>3</v>
      </c>
      <c r="X101">
        <v>4</v>
      </c>
      <c r="Y101">
        <v>3</v>
      </c>
      <c r="Z101">
        <v>2</v>
      </c>
      <c r="AA101">
        <v>1</v>
      </c>
      <c r="AB101">
        <v>2</v>
      </c>
    </row>
    <row r="102" spans="1:28" x14ac:dyDescent="0.35">
      <c r="A102" s="2">
        <v>37</v>
      </c>
      <c r="B102" s="2" t="str" cm="1">
        <f t="array" ref="B102">_xlfn.IFS(HR_table[[#This Row],[Age]]&lt;=20, "Under 20yrs",HR_table[[#This Row],[Age]]&lt;=30,"(21-30)yrs",HR_table[[#This Row],[Age]]&lt;=40,"(31-40)yrs",HR_table[[#This Row],[Age]]&lt;=50,"(41-50)yrs",HR_table[[#This Row],[Age]]&lt;=60,"(51-60)yrs")</f>
        <v>(31-40)yrs</v>
      </c>
      <c r="C102" t="s">
        <v>35</v>
      </c>
      <c r="D102" t="s">
        <v>36</v>
      </c>
      <c r="E102" t="s">
        <v>61</v>
      </c>
      <c r="F102" t="s">
        <v>61</v>
      </c>
      <c r="G102" t="s">
        <v>61</v>
      </c>
      <c r="H102">
        <v>133</v>
      </c>
      <c r="I102" s="2">
        <v>6</v>
      </c>
      <c r="J102" s="2">
        <v>3</v>
      </c>
      <c r="K102" t="s">
        <v>46</v>
      </c>
      <c r="L102" s="2">
        <v>1</v>
      </c>
      <c r="M102" s="2">
        <v>1</v>
      </c>
      <c r="N102" t="s">
        <v>52</v>
      </c>
      <c r="O102" s="2">
        <v>2073</v>
      </c>
      <c r="P102" s="2">
        <v>23648</v>
      </c>
      <c r="Q102" s="2">
        <v>4</v>
      </c>
      <c r="R102" t="s">
        <v>35</v>
      </c>
      <c r="S102" s="2">
        <v>4</v>
      </c>
      <c r="T102" s="2">
        <v>4</v>
      </c>
      <c r="U102">
        <v>80</v>
      </c>
      <c r="V102" s="2">
        <v>7</v>
      </c>
      <c r="W102">
        <v>3</v>
      </c>
      <c r="X102">
        <v>3</v>
      </c>
      <c r="Y102">
        <v>3</v>
      </c>
      <c r="Z102">
        <v>2</v>
      </c>
      <c r="AA102">
        <v>0</v>
      </c>
      <c r="AB102">
        <v>2</v>
      </c>
    </row>
    <row r="103" spans="1:28" x14ac:dyDescent="0.35">
      <c r="A103" s="2">
        <v>32</v>
      </c>
      <c r="B103" s="2" t="str" cm="1">
        <f t="array" ref="B103">_xlfn.IFS(HR_table[[#This Row],[Age]]&lt;=20, "Under 20yrs",HR_table[[#This Row],[Age]]&lt;=30,"(21-30)yrs",HR_table[[#This Row],[Age]]&lt;=40,"(31-40)yrs",HR_table[[#This Row],[Age]]&lt;=50,"(41-50)yrs",HR_table[[#This Row],[Age]]&lt;=60,"(51-60)yrs")</f>
        <v>(31-40)yrs</v>
      </c>
      <c r="C103" t="s">
        <v>43</v>
      </c>
      <c r="D103" t="s">
        <v>36</v>
      </c>
      <c r="E103" t="s">
        <v>45</v>
      </c>
      <c r="F103" t="s">
        <v>38</v>
      </c>
      <c r="G103" t="s">
        <v>47</v>
      </c>
      <c r="H103">
        <v>134</v>
      </c>
      <c r="I103" s="2">
        <v>1</v>
      </c>
      <c r="J103" s="2">
        <v>4</v>
      </c>
      <c r="K103" t="s">
        <v>46</v>
      </c>
      <c r="L103" s="2">
        <v>1</v>
      </c>
      <c r="M103" s="2">
        <v>1</v>
      </c>
      <c r="N103" t="s">
        <v>41</v>
      </c>
      <c r="O103" s="2">
        <v>2956</v>
      </c>
      <c r="P103" s="2">
        <v>15178</v>
      </c>
      <c r="Q103" s="2">
        <v>1</v>
      </c>
      <c r="R103" t="s">
        <v>43</v>
      </c>
      <c r="S103" s="2">
        <v>3</v>
      </c>
      <c r="T103" s="2">
        <v>4</v>
      </c>
      <c r="U103">
        <v>80</v>
      </c>
      <c r="V103" s="2">
        <v>1</v>
      </c>
      <c r="W103">
        <v>2</v>
      </c>
      <c r="X103">
        <v>3</v>
      </c>
      <c r="Y103">
        <v>1</v>
      </c>
      <c r="Z103">
        <v>0</v>
      </c>
      <c r="AA103">
        <v>0</v>
      </c>
      <c r="AB103">
        <v>0</v>
      </c>
    </row>
    <row r="104" spans="1:28" x14ac:dyDescent="0.35">
      <c r="A104" s="2">
        <v>20</v>
      </c>
      <c r="B104" s="2" t="str" cm="1">
        <f t="array" ref="B104">_xlfn.IFS(HR_table[[#This Row],[Age]]&lt;=20, "Under 20yrs",HR_table[[#This Row],[Age]]&lt;=30,"(21-30)yrs",HR_table[[#This Row],[Age]]&lt;=40,"(31-40)yrs",HR_table[[#This Row],[Age]]&lt;=50,"(41-50)yrs",HR_table[[#This Row],[Age]]&lt;=60,"(51-60)yrs")</f>
        <v>Under 20yrs</v>
      </c>
      <c r="C104" t="s">
        <v>35</v>
      </c>
      <c r="D104" t="s">
        <v>44</v>
      </c>
      <c r="E104" t="s">
        <v>45</v>
      </c>
      <c r="F104" t="s">
        <v>38</v>
      </c>
      <c r="G104" t="s">
        <v>50</v>
      </c>
      <c r="H104">
        <v>137</v>
      </c>
      <c r="I104" s="2">
        <v>6</v>
      </c>
      <c r="J104" s="2">
        <v>4</v>
      </c>
      <c r="K104" t="s">
        <v>39</v>
      </c>
      <c r="L104" s="2">
        <v>1</v>
      </c>
      <c r="M104" s="2">
        <v>4</v>
      </c>
      <c r="N104" t="s">
        <v>41</v>
      </c>
      <c r="O104" s="2">
        <v>2926</v>
      </c>
      <c r="P104" s="2">
        <v>19783</v>
      </c>
      <c r="Q104" s="2">
        <v>1</v>
      </c>
      <c r="R104" t="s">
        <v>35</v>
      </c>
      <c r="S104" s="2">
        <v>3</v>
      </c>
      <c r="T104" s="2">
        <v>2</v>
      </c>
      <c r="U104">
        <v>80</v>
      </c>
      <c r="V104" s="2">
        <v>1</v>
      </c>
      <c r="W104">
        <v>5</v>
      </c>
      <c r="X104">
        <v>3</v>
      </c>
      <c r="Y104">
        <v>1</v>
      </c>
      <c r="Z104">
        <v>0</v>
      </c>
      <c r="AA104">
        <v>1</v>
      </c>
      <c r="AB104">
        <v>0</v>
      </c>
    </row>
    <row r="105" spans="1:28" x14ac:dyDescent="0.35">
      <c r="A105" s="2">
        <v>34</v>
      </c>
      <c r="B105" s="2" t="str" cm="1">
        <f t="array" ref="B105">_xlfn.IFS(HR_table[[#This Row],[Age]]&lt;=20, "Under 20yrs",HR_table[[#This Row],[Age]]&lt;=30,"(21-30)yrs",HR_table[[#This Row],[Age]]&lt;=40,"(31-40)yrs",HR_table[[#This Row],[Age]]&lt;=50,"(41-50)yrs",HR_table[[#This Row],[Age]]&lt;=60,"(51-60)yrs")</f>
        <v>(31-40)yrs</v>
      </c>
      <c r="C105" t="s">
        <v>43</v>
      </c>
      <c r="D105" t="s">
        <v>36</v>
      </c>
      <c r="E105" t="s">
        <v>45</v>
      </c>
      <c r="F105" t="s">
        <v>49</v>
      </c>
      <c r="G105" t="s">
        <v>47</v>
      </c>
      <c r="H105">
        <v>138</v>
      </c>
      <c r="I105" s="2">
        <v>6</v>
      </c>
      <c r="J105" s="2">
        <v>1</v>
      </c>
      <c r="K105" t="s">
        <v>39</v>
      </c>
      <c r="L105" s="2">
        <v>2</v>
      </c>
      <c r="M105" s="2">
        <v>3</v>
      </c>
      <c r="N105" t="s">
        <v>41</v>
      </c>
      <c r="O105" s="2">
        <v>4809</v>
      </c>
      <c r="P105" s="2">
        <v>12482</v>
      </c>
      <c r="Q105" s="2">
        <v>1</v>
      </c>
      <c r="R105" t="s">
        <v>43</v>
      </c>
      <c r="S105" s="2">
        <v>3</v>
      </c>
      <c r="T105" s="2">
        <v>3</v>
      </c>
      <c r="U105">
        <v>80</v>
      </c>
      <c r="V105" s="2">
        <v>16</v>
      </c>
      <c r="W105">
        <v>3</v>
      </c>
      <c r="X105">
        <v>3</v>
      </c>
      <c r="Y105">
        <v>16</v>
      </c>
      <c r="Z105">
        <v>13</v>
      </c>
      <c r="AA105">
        <v>2</v>
      </c>
      <c r="AB105">
        <v>10</v>
      </c>
    </row>
    <row r="106" spans="1:28" x14ac:dyDescent="0.35">
      <c r="A106" s="2">
        <v>37</v>
      </c>
      <c r="B106" s="2" t="str" cm="1">
        <f t="array" ref="B106">_xlfn.IFS(HR_table[[#This Row],[Age]]&lt;=20, "Under 20yrs",HR_table[[#This Row],[Age]]&lt;=30,"(21-30)yrs",HR_table[[#This Row],[Age]]&lt;=40,"(31-40)yrs",HR_table[[#This Row],[Age]]&lt;=50,"(41-50)yrs",HR_table[[#This Row],[Age]]&lt;=60,"(51-60)yrs")</f>
        <v>(31-40)yrs</v>
      </c>
      <c r="C106" t="s">
        <v>43</v>
      </c>
      <c r="D106" t="s">
        <v>55</v>
      </c>
      <c r="E106" t="s">
        <v>45</v>
      </c>
      <c r="F106" t="s">
        <v>38</v>
      </c>
      <c r="G106" t="s">
        <v>54</v>
      </c>
      <c r="H106">
        <v>139</v>
      </c>
      <c r="I106" s="2">
        <v>2</v>
      </c>
      <c r="J106" s="2">
        <v>3</v>
      </c>
      <c r="K106" t="s">
        <v>46</v>
      </c>
      <c r="L106" s="2">
        <v>2</v>
      </c>
      <c r="M106" s="2">
        <v>4</v>
      </c>
      <c r="N106" t="s">
        <v>52</v>
      </c>
      <c r="O106" s="2">
        <v>5163</v>
      </c>
      <c r="P106" s="2">
        <v>15850</v>
      </c>
      <c r="Q106" s="2">
        <v>5</v>
      </c>
      <c r="R106" t="s">
        <v>43</v>
      </c>
      <c r="S106" s="2">
        <v>3</v>
      </c>
      <c r="T106" s="2">
        <v>4</v>
      </c>
      <c r="U106">
        <v>80</v>
      </c>
      <c r="V106" s="2">
        <v>17</v>
      </c>
      <c r="W106">
        <v>2</v>
      </c>
      <c r="X106">
        <v>4</v>
      </c>
      <c r="Y106">
        <v>1</v>
      </c>
      <c r="Z106">
        <v>0</v>
      </c>
      <c r="AA106">
        <v>0</v>
      </c>
      <c r="AB106">
        <v>0</v>
      </c>
    </row>
    <row r="107" spans="1:28" x14ac:dyDescent="0.35">
      <c r="A107" s="2">
        <v>59</v>
      </c>
      <c r="B107" s="2" t="str" cm="1">
        <f t="array" ref="B107">_xlfn.IFS(HR_table[[#This Row],[Age]]&lt;=20, "Under 20yrs",HR_table[[#This Row],[Age]]&lt;=30,"(21-30)yrs",HR_table[[#This Row],[Age]]&lt;=40,"(31-40)yrs",HR_table[[#This Row],[Age]]&lt;=50,"(41-50)yrs",HR_table[[#This Row],[Age]]&lt;=60,"(51-60)yrs")</f>
        <v>(51-60)yrs</v>
      </c>
      <c r="C107" t="s">
        <v>43</v>
      </c>
      <c r="D107" t="s">
        <v>55</v>
      </c>
      <c r="E107" t="s">
        <v>61</v>
      </c>
      <c r="F107" t="s">
        <v>61</v>
      </c>
      <c r="G107" t="s">
        <v>56</v>
      </c>
      <c r="H107">
        <v>140</v>
      </c>
      <c r="I107" s="2">
        <v>2</v>
      </c>
      <c r="J107" s="2">
        <v>3</v>
      </c>
      <c r="K107" t="s">
        <v>39</v>
      </c>
      <c r="L107" s="2">
        <v>5</v>
      </c>
      <c r="M107" s="2">
        <v>4</v>
      </c>
      <c r="N107" t="s">
        <v>48</v>
      </c>
      <c r="O107" s="2">
        <v>18844</v>
      </c>
      <c r="P107" s="2">
        <v>21922</v>
      </c>
      <c r="Q107" s="2">
        <v>9</v>
      </c>
      <c r="R107" t="s">
        <v>43</v>
      </c>
      <c r="S107" s="2">
        <v>4</v>
      </c>
      <c r="T107" s="2">
        <v>4</v>
      </c>
      <c r="U107">
        <v>80</v>
      </c>
      <c r="V107" s="2">
        <v>30</v>
      </c>
      <c r="W107">
        <v>3</v>
      </c>
      <c r="X107">
        <v>3</v>
      </c>
      <c r="Y107">
        <v>3</v>
      </c>
      <c r="Z107">
        <v>2</v>
      </c>
      <c r="AA107">
        <v>2</v>
      </c>
      <c r="AB107">
        <v>2</v>
      </c>
    </row>
    <row r="108" spans="1:28" x14ac:dyDescent="0.35">
      <c r="A108" s="2">
        <v>50</v>
      </c>
      <c r="B108" s="2" t="str" cm="1">
        <f t="array" ref="B108">_xlfn.IFS(HR_table[[#This Row],[Age]]&lt;=20, "Under 20yrs",HR_table[[#This Row],[Age]]&lt;=30,"(21-30)yrs",HR_table[[#This Row],[Age]]&lt;=40,"(31-40)yrs",HR_table[[#This Row],[Age]]&lt;=50,"(41-50)yrs",HR_table[[#This Row],[Age]]&lt;=60,"(51-60)yrs")</f>
        <v>(41-50)yrs</v>
      </c>
      <c r="C108" t="s">
        <v>43</v>
      </c>
      <c r="D108" t="s">
        <v>44</v>
      </c>
      <c r="E108" t="s">
        <v>45</v>
      </c>
      <c r="F108" t="s">
        <v>38</v>
      </c>
      <c r="G108" t="s">
        <v>58</v>
      </c>
      <c r="H108">
        <v>141</v>
      </c>
      <c r="I108" s="2">
        <v>1</v>
      </c>
      <c r="J108" s="2">
        <v>1</v>
      </c>
      <c r="K108" t="s">
        <v>39</v>
      </c>
      <c r="L108" s="2">
        <v>5</v>
      </c>
      <c r="M108" s="2">
        <v>2</v>
      </c>
      <c r="N108" t="s">
        <v>48</v>
      </c>
      <c r="O108" s="2">
        <v>18172</v>
      </c>
      <c r="P108" s="2">
        <v>9755</v>
      </c>
      <c r="Q108" s="2">
        <v>3</v>
      </c>
      <c r="R108" t="s">
        <v>35</v>
      </c>
      <c r="S108" s="2">
        <v>3</v>
      </c>
      <c r="T108" s="2">
        <v>1</v>
      </c>
      <c r="U108">
        <v>80</v>
      </c>
      <c r="V108" s="2">
        <v>28</v>
      </c>
      <c r="W108">
        <v>1</v>
      </c>
      <c r="X108">
        <v>2</v>
      </c>
      <c r="Y108">
        <v>8</v>
      </c>
      <c r="Z108">
        <v>3</v>
      </c>
      <c r="AA108">
        <v>0</v>
      </c>
      <c r="AB108">
        <v>7</v>
      </c>
    </row>
    <row r="109" spans="1:28" x14ac:dyDescent="0.35">
      <c r="A109" s="2">
        <v>25</v>
      </c>
      <c r="B109" s="2" t="str" cm="1">
        <f t="array" ref="B109">_xlfn.IFS(HR_table[[#This Row],[Age]]&lt;=20, "Under 20yrs",HR_table[[#This Row],[Age]]&lt;=30,"(21-30)yrs",HR_table[[#This Row],[Age]]&lt;=40,"(31-40)yrs",HR_table[[#This Row],[Age]]&lt;=50,"(41-50)yrs",HR_table[[#This Row],[Age]]&lt;=60,"(51-60)yrs")</f>
        <v>(21-30)yrs</v>
      </c>
      <c r="C109" t="s">
        <v>35</v>
      </c>
      <c r="D109" t="s">
        <v>36</v>
      </c>
      <c r="E109" t="s">
        <v>37</v>
      </c>
      <c r="F109" t="s">
        <v>59</v>
      </c>
      <c r="G109" t="s">
        <v>40</v>
      </c>
      <c r="H109">
        <v>142</v>
      </c>
      <c r="I109" s="2">
        <v>5</v>
      </c>
      <c r="J109" s="2">
        <v>3</v>
      </c>
      <c r="K109" t="s">
        <v>46</v>
      </c>
      <c r="L109" s="2">
        <v>2</v>
      </c>
      <c r="M109" s="2">
        <v>3</v>
      </c>
      <c r="N109" t="s">
        <v>41</v>
      </c>
      <c r="O109" s="2">
        <v>5744</v>
      </c>
      <c r="P109" s="2">
        <v>26959</v>
      </c>
      <c r="Q109" s="2">
        <v>1</v>
      </c>
      <c r="R109" t="s">
        <v>35</v>
      </c>
      <c r="S109" s="2">
        <v>3</v>
      </c>
      <c r="T109" s="2">
        <v>4</v>
      </c>
      <c r="U109">
        <v>80</v>
      </c>
      <c r="V109" s="2">
        <v>6</v>
      </c>
      <c r="W109">
        <v>1</v>
      </c>
      <c r="X109">
        <v>3</v>
      </c>
      <c r="Y109">
        <v>6</v>
      </c>
      <c r="Z109">
        <v>4</v>
      </c>
      <c r="AA109">
        <v>0</v>
      </c>
      <c r="AB109">
        <v>3</v>
      </c>
    </row>
    <row r="110" spans="1:28" x14ac:dyDescent="0.35">
      <c r="A110" s="2">
        <v>25</v>
      </c>
      <c r="B110" s="2" t="str" cm="1">
        <f t="array" ref="B110">_xlfn.IFS(HR_table[[#This Row],[Age]]&lt;=20, "Under 20yrs",HR_table[[#This Row],[Age]]&lt;=30,"(21-30)yrs",HR_table[[#This Row],[Age]]&lt;=40,"(31-40)yrs",HR_table[[#This Row],[Age]]&lt;=50,"(41-50)yrs",HR_table[[#This Row],[Age]]&lt;=60,"(51-60)yrs")</f>
        <v>(21-30)yrs</v>
      </c>
      <c r="C110" t="s">
        <v>43</v>
      </c>
      <c r="D110" t="s">
        <v>36</v>
      </c>
      <c r="E110" t="s">
        <v>45</v>
      </c>
      <c r="F110" t="s">
        <v>51</v>
      </c>
      <c r="G110" t="s">
        <v>47</v>
      </c>
      <c r="H110">
        <v>143</v>
      </c>
      <c r="I110" s="2">
        <v>7</v>
      </c>
      <c r="J110" s="2">
        <v>4</v>
      </c>
      <c r="K110" t="s">
        <v>46</v>
      </c>
      <c r="L110" s="2">
        <v>1</v>
      </c>
      <c r="M110" s="2">
        <v>4</v>
      </c>
      <c r="N110" t="s">
        <v>48</v>
      </c>
      <c r="O110" s="2">
        <v>2889</v>
      </c>
      <c r="P110" s="2">
        <v>26897</v>
      </c>
      <c r="Q110" s="2">
        <v>1</v>
      </c>
      <c r="R110" t="s">
        <v>43</v>
      </c>
      <c r="S110" s="2">
        <v>3</v>
      </c>
      <c r="T110" s="2">
        <v>3</v>
      </c>
      <c r="U110">
        <v>80</v>
      </c>
      <c r="V110" s="2">
        <v>2</v>
      </c>
      <c r="W110">
        <v>2</v>
      </c>
      <c r="X110">
        <v>3</v>
      </c>
      <c r="Y110">
        <v>2</v>
      </c>
      <c r="Z110">
        <v>2</v>
      </c>
      <c r="AA110">
        <v>2</v>
      </c>
      <c r="AB110">
        <v>1</v>
      </c>
    </row>
    <row r="111" spans="1:28" x14ac:dyDescent="0.35">
      <c r="A111" s="2">
        <v>22</v>
      </c>
      <c r="B111" s="2" t="str" cm="1">
        <f t="array" ref="B111">_xlfn.IFS(HR_table[[#This Row],[Age]]&lt;=20, "Under 20yrs",HR_table[[#This Row],[Age]]&lt;=30,"(21-30)yrs",HR_table[[#This Row],[Age]]&lt;=40,"(31-40)yrs",HR_table[[#This Row],[Age]]&lt;=50,"(41-50)yrs",HR_table[[#This Row],[Age]]&lt;=60,"(51-60)yrs")</f>
        <v>(21-30)yrs</v>
      </c>
      <c r="C111" t="s">
        <v>43</v>
      </c>
      <c r="D111" t="s">
        <v>36</v>
      </c>
      <c r="E111" t="s">
        <v>45</v>
      </c>
      <c r="F111" t="s">
        <v>51</v>
      </c>
      <c r="G111" t="s">
        <v>50</v>
      </c>
      <c r="H111">
        <v>144</v>
      </c>
      <c r="I111" s="2">
        <v>15</v>
      </c>
      <c r="J111" s="2">
        <v>2</v>
      </c>
      <c r="K111" t="s">
        <v>39</v>
      </c>
      <c r="L111" s="2">
        <v>1</v>
      </c>
      <c r="M111" s="2">
        <v>4</v>
      </c>
      <c r="N111" t="s">
        <v>41</v>
      </c>
      <c r="O111" s="2">
        <v>2871</v>
      </c>
      <c r="P111" s="2">
        <v>23785</v>
      </c>
      <c r="Q111" s="2">
        <v>1</v>
      </c>
      <c r="R111" t="s">
        <v>43</v>
      </c>
      <c r="S111" s="2">
        <v>3</v>
      </c>
      <c r="T111" s="2">
        <v>3</v>
      </c>
      <c r="U111">
        <v>80</v>
      </c>
      <c r="V111" s="2">
        <v>1</v>
      </c>
      <c r="W111">
        <v>5</v>
      </c>
      <c r="X111">
        <v>3</v>
      </c>
      <c r="Y111">
        <v>0</v>
      </c>
      <c r="Z111">
        <v>0</v>
      </c>
      <c r="AA111">
        <v>0</v>
      </c>
      <c r="AB111">
        <v>0</v>
      </c>
    </row>
    <row r="112" spans="1:28" x14ac:dyDescent="0.35">
      <c r="A112" s="2">
        <v>51</v>
      </c>
      <c r="B112" s="2" t="str" cm="1">
        <f t="array" ref="B112">_xlfn.IFS(HR_table[[#This Row],[Age]]&lt;=20, "Under 20yrs",HR_table[[#This Row],[Age]]&lt;=30,"(21-30)yrs",HR_table[[#This Row],[Age]]&lt;=40,"(31-40)yrs",HR_table[[#This Row],[Age]]&lt;=50,"(41-50)yrs",HR_table[[#This Row],[Age]]&lt;=60,"(51-60)yrs")</f>
        <v>(51-60)yrs</v>
      </c>
      <c r="C112" t="s">
        <v>43</v>
      </c>
      <c r="D112" t="s">
        <v>44</v>
      </c>
      <c r="E112" t="s">
        <v>45</v>
      </c>
      <c r="F112" t="s">
        <v>51</v>
      </c>
      <c r="G112" t="s">
        <v>54</v>
      </c>
      <c r="H112">
        <v>145</v>
      </c>
      <c r="I112" s="2">
        <v>1</v>
      </c>
      <c r="J112" s="2">
        <v>1</v>
      </c>
      <c r="K112" t="s">
        <v>39</v>
      </c>
      <c r="L112" s="2">
        <v>3</v>
      </c>
      <c r="M112" s="2">
        <v>1</v>
      </c>
      <c r="N112" t="s">
        <v>41</v>
      </c>
      <c r="O112" s="2">
        <v>7484</v>
      </c>
      <c r="P112" s="2">
        <v>25796</v>
      </c>
      <c r="Q112" s="2">
        <v>3</v>
      </c>
      <c r="R112" t="s">
        <v>43</v>
      </c>
      <c r="S112" s="2">
        <v>4</v>
      </c>
      <c r="T112" s="2">
        <v>3</v>
      </c>
      <c r="U112">
        <v>80</v>
      </c>
      <c r="V112" s="2">
        <v>23</v>
      </c>
      <c r="W112">
        <v>1</v>
      </c>
      <c r="X112">
        <v>2</v>
      </c>
      <c r="Y112">
        <v>13</v>
      </c>
      <c r="Z112">
        <v>12</v>
      </c>
      <c r="AA112">
        <v>12</v>
      </c>
      <c r="AB112">
        <v>8</v>
      </c>
    </row>
    <row r="113" spans="1:28" x14ac:dyDescent="0.35">
      <c r="A113" s="2">
        <v>34</v>
      </c>
      <c r="B113" s="2" t="str" cm="1">
        <f t="array" ref="B113">_xlfn.IFS(HR_table[[#This Row],[Age]]&lt;=20, "Under 20yrs",HR_table[[#This Row],[Age]]&lt;=30,"(21-30)yrs",HR_table[[#This Row],[Age]]&lt;=40,"(31-40)yrs",HR_table[[#This Row],[Age]]&lt;=50,"(41-50)yrs",HR_table[[#This Row],[Age]]&lt;=60,"(51-60)yrs")</f>
        <v>(31-40)yrs</v>
      </c>
      <c r="C113" t="s">
        <v>35</v>
      </c>
      <c r="D113" t="s">
        <v>44</v>
      </c>
      <c r="E113" t="s">
        <v>45</v>
      </c>
      <c r="F113" t="s">
        <v>38</v>
      </c>
      <c r="G113" t="s">
        <v>50</v>
      </c>
      <c r="H113">
        <v>147</v>
      </c>
      <c r="I113" s="2">
        <v>7</v>
      </c>
      <c r="J113" s="2">
        <v>1</v>
      </c>
      <c r="K113" t="s">
        <v>46</v>
      </c>
      <c r="L113" s="2">
        <v>2</v>
      </c>
      <c r="M113" s="2">
        <v>3</v>
      </c>
      <c r="N113" t="s">
        <v>41</v>
      </c>
      <c r="O113" s="2">
        <v>6074</v>
      </c>
      <c r="P113" s="2">
        <v>22887</v>
      </c>
      <c r="Q113" s="2">
        <v>1</v>
      </c>
      <c r="R113" t="s">
        <v>35</v>
      </c>
      <c r="S113" s="2">
        <v>4</v>
      </c>
      <c r="T113" s="2">
        <v>4</v>
      </c>
      <c r="U113">
        <v>80</v>
      </c>
      <c r="V113" s="2">
        <v>9</v>
      </c>
      <c r="W113">
        <v>3</v>
      </c>
      <c r="X113">
        <v>3</v>
      </c>
      <c r="Y113">
        <v>9</v>
      </c>
      <c r="Z113">
        <v>7</v>
      </c>
      <c r="AA113">
        <v>0</v>
      </c>
      <c r="AB113">
        <v>6</v>
      </c>
    </row>
    <row r="114" spans="1:28" x14ac:dyDescent="0.35">
      <c r="A114" s="2">
        <v>54</v>
      </c>
      <c r="B114" s="2" t="str" cm="1">
        <f t="array" ref="B114">_xlfn.IFS(HR_table[[#This Row],[Age]]&lt;=20, "Under 20yrs",HR_table[[#This Row],[Age]]&lt;=30,"(21-30)yrs",HR_table[[#This Row],[Age]]&lt;=40,"(31-40)yrs",HR_table[[#This Row],[Age]]&lt;=50,"(41-50)yrs",HR_table[[#This Row],[Age]]&lt;=60,"(51-60)yrs")</f>
        <v>(51-60)yrs</v>
      </c>
      <c r="C114" t="s">
        <v>43</v>
      </c>
      <c r="D114" t="s">
        <v>55</v>
      </c>
      <c r="E114" t="s">
        <v>61</v>
      </c>
      <c r="F114" t="s">
        <v>61</v>
      </c>
      <c r="G114" t="s">
        <v>56</v>
      </c>
      <c r="H114">
        <v>148</v>
      </c>
      <c r="I114" s="2">
        <v>26</v>
      </c>
      <c r="J114" s="2">
        <v>4</v>
      </c>
      <c r="K114" t="s">
        <v>39</v>
      </c>
      <c r="L114" s="2">
        <v>4</v>
      </c>
      <c r="M114" s="2">
        <v>4</v>
      </c>
      <c r="N114" t="s">
        <v>41</v>
      </c>
      <c r="O114" s="2">
        <v>17328</v>
      </c>
      <c r="P114" s="2">
        <v>13871</v>
      </c>
      <c r="Q114" s="2">
        <v>2</v>
      </c>
      <c r="R114" t="s">
        <v>35</v>
      </c>
      <c r="S114" s="2">
        <v>3</v>
      </c>
      <c r="T114" s="2">
        <v>3</v>
      </c>
      <c r="U114">
        <v>80</v>
      </c>
      <c r="V114" s="2">
        <v>23</v>
      </c>
      <c r="W114">
        <v>3</v>
      </c>
      <c r="X114">
        <v>3</v>
      </c>
      <c r="Y114">
        <v>5</v>
      </c>
      <c r="Z114">
        <v>3</v>
      </c>
      <c r="AA114">
        <v>4</v>
      </c>
      <c r="AB114">
        <v>4</v>
      </c>
    </row>
    <row r="115" spans="1:28" x14ac:dyDescent="0.35">
      <c r="A115" s="2">
        <v>24</v>
      </c>
      <c r="B115" s="2" t="str" cm="1">
        <f t="array" ref="B115">_xlfn.IFS(HR_table[[#This Row],[Age]]&lt;=20, "Under 20yrs",HR_table[[#This Row],[Age]]&lt;=30,"(21-30)yrs",HR_table[[#This Row],[Age]]&lt;=40,"(31-40)yrs",HR_table[[#This Row],[Age]]&lt;=50,"(41-50)yrs",HR_table[[#This Row],[Age]]&lt;=60,"(51-60)yrs")</f>
        <v>(21-30)yrs</v>
      </c>
      <c r="C115" t="s">
        <v>43</v>
      </c>
      <c r="D115" t="s">
        <v>36</v>
      </c>
      <c r="E115" t="s">
        <v>45</v>
      </c>
      <c r="F115" t="s">
        <v>38</v>
      </c>
      <c r="G115" t="s">
        <v>50</v>
      </c>
      <c r="H115">
        <v>150</v>
      </c>
      <c r="I115" s="2">
        <v>18</v>
      </c>
      <c r="J115" s="2">
        <v>2</v>
      </c>
      <c r="K115" t="s">
        <v>46</v>
      </c>
      <c r="L115" s="2">
        <v>1</v>
      </c>
      <c r="M115" s="2">
        <v>3</v>
      </c>
      <c r="N115" t="s">
        <v>48</v>
      </c>
      <c r="O115" s="2">
        <v>2774</v>
      </c>
      <c r="P115" s="2">
        <v>13257</v>
      </c>
      <c r="Q115" s="2">
        <v>0</v>
      </c>
      <c r="R115" t="s">
        <v>43</v>
      </c>
      <c r="S115" s="2">
        <v>3</v>
      </c>
      <c r="T115" s="2">
        <v>3</v>
      </c>
      <c r="U115">
        <v>80</v>
      </c>
      <c r="V115" s="2">
        <v>6</v>
      </c>
      <c r="W115">
        <v>2</v>
      </c>
      <c r="X115">
        <v>3</v>
      </c>
      <c r="Y115">
        <v>5</v>
      </c>
      <c r="Z115">
        <v>3</v>
      </c>
      <c r="AA115">
        <v>1</v>
      </c>
      <c r="AB115">
        <v>2</v>
      </c>
    </row>
    <row r="116" spans="1:28" x14ac:dyDescent="0.35">
      <c r="A116" s="2">
        <v>34</v>
      </c>
      <c r="B116" s="2" t="str" cm="1">
        <f t="array" ref="B116">_xlfn.IFS(HR_table[[#This Row],[Age]]&lt;=20, "Under 20yrs",HR_table[[#This Row],[Age]]&lt;=30,"(21-30)yrs",HR_table[[#This Row],[Age]]&lt;=40,"(31-40)yrs",HR_table[[#This Row],[Age]]&lt;=50,"(41-50)yrs",HR_table[[#This Row],[Age]]&lt;=60,"(51-60)yrs")</f>
        <v>(31-40)yrs</v>
      </c>
      <c r="C116" t="s">
        <v>43</v>
      </c>
      <c r="D116" t="s">
        <v>36</v>
      </c>
      <c r="E116" t="s">
        <v>45</v>
      </c>
      <c r="F116" t="s">
        <v>38</v>
      </c>
      <c r="G116" t="s">
        <v>47</v>
      </c>
      <c r="H116">
        <v>151</v>
      </c>
      <c r="I116" s="2">
        <v>6</v>
      </c>
      <c r="J116" s="2">
        <v>3</v>
      </c>
      <c r="K116" t="s">
        <v>39</v>
      </c>
      <c r="L116" s="2">
        <v>2</v>
      </c>
      <c r="M116" s="2">
        <v>2</v>
      </c>
      <c r="N116" t="s">
        <v>52</v>
      </c>
      <c r="O116" s="2">
        <v>4505</v>
      </c>
      <c r="P116" s="2">
        <v>15000</v>
      </c>
      <c r="Q116" s="2">
        <v>6</v>
      </c>
      <c r="R116" t="s">
        <v>43</v>
      </c>
      <c r="S116" s="2">
        <v>3</v>
      </c>
      <c r="T116" s="2">
        <v>3</v>
      </c>
      <c r="U116">
        <v>80</v>
      </c>
      <c r="V116" s="2">
        <v>12</v>
      </c>
      <c r="W116">
        <v>3</v>
      </c>
      <c r="X116">
        <v>3</v>
      </c>
      <c r="Y116">
        <v>1</v>
      </c>
      <c r="Z116">
        <v>0</v>
      </c>
      <c r="AA116">
        <v>0</v>
      </c>
      <c r="AB116">
        <v>0</v>
      </c>
    </row>
    <row r="117" spans="1:28" x14ac:dyDescent="0.35">
      <c r="A117" s="2">
        <v>37</v>
      </c>
      <c r="B117" s="2" t="str" cm="1">
        <f t="array" ref="B117">_xlfn.IFS(HR_table[[#This Row],[Age]]&lt;=20, "Under 20yrs",HR_table[[#This Row],[Age]]&lt;=30,"(21-30)yrs",HR_table[[#This Row],[Age]]&lt;=40,"(31-40)yrs",HR_table[[#This Row],[Age]]&lt;=50,"(41-50)yrs",HR_table[[#This Row],[Age]]&lt;=60,"(51-60)yrs")</f>
        <v>(31-40)yrs</v>
      </c>
      <c r="C117" t="s">
        <v>43</v>
      </c>
      <c r="D117" t="s">
        <v>36</v>
      </c>
      <c r="E117" t="s">
        <v>37</v>
      </c>
      <c r="F117" t="s">
        <v>38</v>
      </c>
      <c r="G117" t="s">
        <v>40</v>
      </c>
      <c r="H117">
        <v>152</v>
      </c>
      <c r="I117" s="2">
        <v>3</v>
      </c>
      <c r="J117" s="2">
        <v>3</v>
      </c>
      <c r="K117" t="s">
        <v>46</v>
      </c>
      <c r="L117" s="2">
        <v>3</v>
      </c>
      <c r="M117" s="2">
        <v>4</v>
      </c>
      <c r="N117" t="s">
        <v>41</v>
      </c>
      <c r="O117" s="2">
        <v>7428</v>
      </c>
      <c r="P117" s="2">
        <v>14506</v>
      </c>
      <c r="Q117" s="2">
        <v>2</v>
      </c>
      <c r="R117" t="s">
        <v>43</v>
      </c>
      <c r="S117" s="2">
        <v>3</v>
      </c>
      <c r="T117" s="2">
        <v>1</v>
      </c>
      <c r="U117">
        <v>80</v>
      </c>
      <c r="V117" s="2">
        <v>12</v>
      </c>
      <c r="W117">
        <v>3</v>
      </c>
      <c r="X117">
        <v>3</v>
      </c>
      <c r="Y117">
        <v>5</v>
      </c>
      <c r="Z117">
        <v>3</v>
      </c>
      <c r="AA117">
        <v>1</v>
      </c>
      <c r="AB117">
        <v>3</v>
      </c>
    </row>
    <row r="118" spans="1:28" x14ac:dyDescent="0.35">
      <c r="A118" s="2">
        <v>34</v>
      </c>
      <c r="B118" s="2" t="str" cm="1">
        <f t="array" ref="B118">_xlfn.IFS(HR_table[[#This Row],[Age]]&lt;=20, "Under 20yrs",HR_table[[#This Row],[Age]]&lt;=30,"(21-30)yrs",HR_table[[#This Row],[Age]]&lt;=40,"(31-40)yrs",HR_table[[#This Row],[Age]]&lt;=50,"(41-50)yrs",HR_table[[#This Row],[Age]]&lt;=60,"(51-60)yrs")</f>
        <v>(31-40)yrs</v>
      </c>
      <c r="C118" t="s">
        <v>43</v>
      </c>
      <c r="D118" t="s">
        <v>36</v>
      </c>
      <c r="E118" t="s">
        <v>45</v>
      </c>
      <c r="F118" t="s">
        <v>51</v>
      </c>
      <c r="G118" t="s">
        <v>56</v>
      </c>
      <c r="H118">
        <v>153</v>
      </c>
      <c r="I118" s="2">
        <v>5</v>
      </c>
      <c r="J118" s="2">
        <v>3</v>
      </c>
      <c r="K118" t="s">
        <v>39</v>
      </c>
      <c r="L118" s="2">
        <v>3</v>
      </c>
      <c r="M118" s="2">
        <v>1</v>
      </c>
      <c r="N118" t="s">
        <v>41</v>
      </c>
      <c r="O118" s="2">
        <v>11631</v>
      </c>
      <c r="P118" s="2">
        <v>5615</v>
      </c>
      <c r="Q118" s="2">
        <v>2</v>
      </c>
      <c r="R118" t="s">
        <v>43</v>
      </c>
      <c r="S118" s="2">
        <v>3</v>
      </c>
      <c r="T118" s="2">
        <v>4</v>
      </c>
      <c r="U118">
        <v>80</v>
      </c>
      <c r="V118" s="2">
        <v>14</v>
      </c>
      <c r="W118">
        <v>6</v>
      </c>
      <c r="X118">
        <v>3</v>
      </c>
      <c r="Y118">
        <v>11</v>
      </c>
      <c r="Z118">
        <v>10</v>
      </c>
      <c r="AA118">
        <v>5</v>
      </c>
      <c r="AB118">
        <v>8</v>
      </c>
    </row>
    <row r="119" spans="1:28" x14ac:dyDescent="0.35">
      <c r="A119" s="2">
        <v>36</v>
      </c>
      <c r="B119" s="2" t="str" cm="1">
        <f t="array" ref="B119">_xlfn.IFS(HR_table[[#This Row],[Age]]&lt;=20, "Under 20yrs",HR_table[[#This Row],[Age]]&lt;=30,"(21-30)yrs",HR_table[[#This Row],[Age]]&lt;=40,"(31-40)yrs",HR_table[[#This Row],[Age]]&lt;=50,"(41-50)yrs",HR_table[[#This Row],[Age]]&lt;=60,"(51-60)yrs")</f>
        <v>(31-40)yrs</v>
      </c>
      <c r="C119" t="s">
        <v>43</v>
      </c>
      <c r="D119" t="s">
        <v>44</v>
      </c>
      <c r="E119" t="s">
        <v>37</v>
      </c>
      <c r="F119" t="s">
        <v>60</v>
      </c>
      <c r="G119" t="s">
        <v>40</v>
      </c>
      <c r="H119">
        <v>154</v>
      </c>
      <c r="I119" s="2">
        <v>11</v>
      </c>
      <c r="J119" s="2">
        <v>2</v>
      </c>
      <c r="K119" t="s">
        <v>39</v>
      </c>
      <c r="L119" s="2">
        <v>3</v>
      </c>
      <c r="M119" s="2">
        <v>4</v>
      </c>
      <c r="N119" t="s">
        <v>48</v>
      </c>
      <c r="O119" s="2">
        <v>9738</v>
      </c>
      <c r="P119" s="2">
        <v>22952</v>
      </c>
      <c r="Q119" s="2">
        <v>0</v>
      </c>
      <c r="R119" t="s">
        <v>43</v>
      </c>
      <c r="S119" s="2">
        <v>3</v>
      </c>
      <c r="T119" s="2">
        <v>3</v>
      </c>
      <c r="U119">
        <v>80</v>
      </c>
      <c r="V119" s="2">
        <v>10</v>
      </c>
      <c r="W119">
        <v>6</v>
      </c>
      <c r="X119">
        <v>3</v>
      </c>
      <c r="Y119">
        <v>9</v>
      </c>
      <c r="Z119">
        <v>7</v>
      </c>
      <c r="AA119">
        <v>2</v>
      </c>
      <c r="AB119">
        <v>8</v>
      </c>
    </row>
    <row r="120" spans="1:28" x14ac:dyDescent="0.35">
      <c r="A120" s="2">
        <v>36</v>
      </c>
      <c r="B120" s="2" t="str" cm="1">
        <f t="array" ref="B120">_xlfn.IFS(HR_table[[#This Row],[Age]]&lt;=20, "Under 20yrs",HR_table[[#This Row],[Age]]&lt;=30,"(21-30)yrs",HR_table[[#This Row],[Age]]&lt;=40,"(31-40)yrs",HR_table[[#This Row],[Age]]&lt;=50,"(41-50)yrs",HR_table[[#This Row],[Age]]&lt;=60,"(51-60)yrs")</f>
        <v>(31-40)yrs</v>
      </c>
      <c r="C120" t="s">
        <v>43</v>
      </c>
      <c r="D120" t="s">
        <v>36</v>
      </c>
      <c r="E120" t="s">
        <v>45</v>
      </c>
      <c r="F120" t="s">
        <v>38</v>
      </c>
      <c r="G120" t="s">
        <v>50</v>
      </c>
      <c r="H120">
        <v>155</v>
      </c>
      <c r="I120" s="2">
        <v>3</v>
      </c>
      <c r="J120" s="2">
        <v>1</v>
      </c>
      <c r="K120" t="s">
        <v>39</v>
      </c>
      <c r="L120" s="2">
        <v>1</v>
      </c>
      <c r="M120" s="2">
        <v>4</v>
      </c>
      <c r="N120" t="s">
        <v>52</v>
      </c>
      <c r="O120" s="2">
        <v>2835</v>
      </c>
      <c r="P120" s="2">
        <v>2561</v>
      </c>
      <c r="Q120" s="2">
        <v>5</v>
      </c>
      <c r="R120" t="s">
        <v>43</v>
      </c>
      <c r="S120" s="2">
        <v>4</v>
      </c>
      <c r="T120" s="2">
        <v>1</v>
      </c>
      <c r="U120">
        <v>80</v>
      </c>
      <c r="V120" s="2">
        <v>7</v>
      </c>
      <c r="W120">
        <v>2</v>
      </c>
      <c r="X120">
        <v>3</v>
      </c>
      <c r="Y120">
        <v>1</v>
      </c>
      <c r="Z120">
        <v>0</v>
      </c>
      <c r="AA120">
        <v>0</v>
      </c>
      <c r="AB120">
        <v>0</v>
      </c>
    </row>
    <row r="121" spans="1:28" x14ac:dyDescent="0.35">
      <c r="A121" s="2">
        <v>43</v>
      </c>
      <c r="B121" s="2" t="str" cm="1">
        <f t="array" ref="B121">_xlfn.IFS(HR_table[[#This Row],[Age]]&lt;=20, "Under 20yrs",HR_table[[#This Row],[Age]]&lt;=30,"(21-30)yrs",HR_table[[#This Row],[Age]]&lt;=40,"(31-40)yrs",HR_table[[#This Row],[Age]]&lt;=50,"(41-50)yrs",HR_table[[#This Row],[Age]]&lt;=60,"(51-60)yrs")</f>
        <v>(41-50)yrs</v>
      </c>
      <c r="C121" t="s">
        <v>43</v>
      </c>
      <c r="D121" t="s">
        <v>44</v>
      </c>
      <c r="E121" t="s">
        <v>37</v>
      </c>
      <c r="F121" t="s">
        <v>38</v>
      </c>
      <c r="G121" t="s">
        <v>56</v>
      </c>
      <c r="H121">
        <v>158</v>
      </c>
      <c r="I121" s="2">
        <v>26</v>
      </c>
      <c r="J121" s="2">
        <v>3</v>
      </c>
      <c r="K121" t="s">
        <v>46</v>
      </c>
      <c r="L121" s="2">
        <v>4</v>
      </c>
      <c r="M121" s="2">
        <v>4</v>
      </c>
      <c r="N121" t="s">
        <v>48</v>
      </c>
      <c r="O121" s="2">
        <v>16959</v>
      </c>
      <c r="P121" s="2">
        <v>19494</v>
      </c>
      <c r="Q121" s="2">
        <v>1</v>
      </c>
      <c r="R121" t="s">
        <v>35</v>
      </c>
      <c r="S121" s="2">
        <v>3</v>
      </c>
      <c r="T121" s="2">
        <v>4</v>
      </c>
      <c r="U121">
        <v>80</v>
      </c>
      <c r="V121" s="2">
        <v>25</v>
      </c>
      <c r="W121">
        <v>3</v>
      </c>
      <c r="X121">
        <v>4</v>
      </c>
      <c r="Y121">
        <v>25</v>
      </c>
      <c r="Z121">
        <v>12</v>
      </c>
      <c r="AA121">
        <v>4</v>
      </c>
      <c r="AB121">
        <v>12</v>
      </c>
    </row>
    <row r="122" spans="1:28" x14ac:dyDescent="0.35">
      <c r="A122" s="2">
        <v>30</v>
      </c>
      <c r="B122" s="2" t="str" cm="1">
        <f t="array" ref="B122">_xlfn.IFS(HR_table[[#This Row],[Age]]&lt;=20, "Under 20yrs",HR_table[[#This Row],[Age]]&lt;=30,"(21-30)yrs",HR_table[[#This Row],[Age]]&lt;=40,"(31-40)yrs",HR_table[[#This Row],[Age]]&lt;=50,"(41-50)yrs",HR_table[[#This Row],[Age]]&lt;=60,"(51-60)yrs")</f>
        <v>(21-30)yrs</v>
      </c>
      <c r="C122" t="s">
        <v>43</v>
      </c>
      <c r="D122" t="s">
        <v>44</v>
      </c>
      <c r="E122" t="s">
        <v>45</v>
      </c>
      <c r="F122" t="s">
        <v>38</v>
      </c>
      <c r="G122" t="s">
        <v>47</v>
      </c>
      <c r="H122">
        <v>159</v>
      </c>
      <c r="I122" s="2">
        <v>23</v>
      </c>
      <c r="J122" s="2">
        <v>1</v>
      </c>
      <c r="K122" t="s">
        <v>46</v>
      </c>
      <c r="L122" s="2">
        <v>1</v>
      </c>
      <c r="M122" s="2">
        <v>3</v>
      </c>
      <c r="N122" t="s">
        <v>52</v>
      </c>
      <c r="O122" s="2">
        <v>2613</v>
      </c>
      <c r="P122" s="2">
        <v>22310</v>
      </c>
      <c r="Q122" s="2">
        <v>1</v>
      </c>
      <c r="R122" t="s">
        <v>43</v>
      </c>
      <c r="S122" s="2">
        <v>4</v>
      </c>
      <c r="T122" s="2">
        <v>3</v>
      </c>
      <c r="U122">
        <v>80</v>
      </c>
      <c r="V122" s="2">
        <v>10</v>
      </c>
      <c r="W122">
        <v>2</v>
      </c>
      <c r="X122">
        <v>2</v>
      </c>
      <c r="Y122">
        <v>10</v>
      </c>
      <c r="Z122">
        <v>7</v>
      </c>
      <c r="AA122">
        <v>0</v>
      </c>
      <c r="AB122">
        <v>9</v>
      </c>
    </row>
    <row r="123" spans="1:28" x14ac:dyDescent="0.35">
      <c r="A123" s="2">
        <v>33</v>
      </c>
      <c r="B123" s="2" t="str" cm="1">
        <f t="array" ref="B123">_xlfn.IFS(HR_table[[#This Row],[Age]]&lt;=20, "Under 20yrs",HR_table[[#This Row],[Age]]&lt;=30,"(21-30)yrs",HR_table[[#This Row],[Age]]&lt;=40,"(31-40)yrs",HR_table[[#This Row],[Age]]&lt;=50,"(41-50)yrs",HR_table[[#This Row],[Age]]&lt;=60,"(51-60)yrs")</f>
        <v>(31-40)yrs</v>
      </c>
      <c r="C123" t="s">
        <v>43</v>
      </c>
      <c r="D123" t="s">
        <v>55</v>
      </c>
      <c r="E123" t="s">
        <v>37</v>
      </c>
      <c r="F123" t="s">
        <v>59</v>
      </c>
      <c r="G123" t="s">
        <v>40</v>
      </c>
      <c r="H123">
        <v>160</v>
      </c>
      <c r="I123" s="2">
        <v>22</v>
      </c>
      <c r="J123" s="2">
        <v>3</v>
      </c>
      <c r="K123" t="s">
        <v>46</v>
      </c>
      <c r="L123" s="2">
        <v>2</v>
      </c>
      <c r="M123" s="2">
        <v>2</v>
      </c>
      <c r="N123" t="s">
        <v>48</v>
      </c>
      <c r="O123" s="2">
        <v>6146</v>
      </c>
      <c r="P123" s="2">
        <v>15480</v>
      </c>
      <c r="Q123" s="2">
        <v>0</v>
      </c>
      <c r="R123" t="s">
        <v>43</v>
      </c>
      <c r="S123" s="2">
        <v>3</v>
      </c>
      <c r="T123" s="2">
        <v>1</v>
      </c>
      <c r="U123">
        <v>80</v>
      </c>
      <c r="V123" s="2">
        <v>8</v>
      </c>
      <c r="W123">
        <v>2</v>
      </c>
      <c r="X123">
        <v>4</v>
      </c>
      <c r="Y123">
        <v>7</v>
      </c>
      <c r="Z123">
        <v>7</v>
      </c>
      <c r="AA123">
        <v>0</v>
      </c>
      <c r="AB123">
        <v>7</v>
      </c>
    </row>
    <row r="124" spans="1:28" x14ac:dyDescent="0.35">
      <c r="A124" s="2">
        <v>56</v>
      </c>
      <c r="B124" s="2" t="str" cm="1">
        <f t="array" ref="B124">_xlfn.IFS(HR_table[[#This Row],[Age]]&lt;=20, "Under 20yrs",HR_table[[#This Row],[Age]]&lt;=30,"(21-30)yrs",HR_table[[#This Row],[Age]]&lt;=40,"(31-40)yrs",HR_table[[#This Row],[Age]]&lt;=50,"(41-50)yrs",HR_table[[#This Row],[Age]]&lt;=60,"(51-60)yrs")</f>
        <v>(51-60)yrs</v>
      </c>
      <c r="C124" t="s">
        <v>35</v>
      </c>
      <c r="D124" t="s">
        <v>36</v>
      </c>
      <c r="E124" t="s">
        <v>45</v>
      </c>
      <c r="F124" t="s">
        <v>38</v>
      </c>
      <c r="G124" t="s">
        <v>47</v>
      </c>
      <c r="H124">
        <v>161</v>
      </c>
      <c r="I124" s="2">
        <v>14</v>
      </c>
      <c r="J124" s="2">
        <v>2</v>
      </c>
      <c r="K124" t="s">
        <v>39</v>
      </c>
      <c r="L124" s="2">
        <v>1</v>
      </c>
      <c r="M124" s="2">
        <v>2</v>
      </c>
      <c r="N124" t="s">
        <v>48</v>
      </c>
      <c r="O124" s="2">
        <v>4963</v>
      </c>
      <c r="P124" s="2">
        <v>4510</v>
      </c>
      <c r="Q124" s="2">
        <v>9</v>
      </c>
      <c r="R124" t="s">
        <v>35</v>
      </c>
      <c r="S124" s="2">
        <v>3</v>
      </c>
      <c r="T124" s="2">
        <v>1</v>
      </c>
      <c r="U124">
        <v>80</v>
      </c>
      <c r="V124" s="2">
        <v>7</v>
      </c>
      <c r="W124">
        <v>2</v>
      </c>
      <c r="X124">
        <v>3</v>
      </c>
      <c r="Y124">
        <v>5</v>
      </c>
      <c r="Z124">
        <v>4</v>
      </c>
      <c r="AA124">
        <v>4</v>
      </c>
      <c r="AB124">
        <v>3</v>
      </c>
    </row>
    <row r="125" spans="1:28" x14ac:dyDescent="0.35">
      <c r="A125" s="2">
        <v>51</v>
      </c>
      <c r="B125" s="2" t="str" cm="1">
        <f t="array" ref="B125">_xlfn.IFS(HR_table[[#This Row],[Age]]&lt;=20, "Under 20yrs",HR_table[[#This Row],[Age]]&lt;=30,"(21-30)yrs",HR_table[[#This Row],[Age]]&lt;=40,"(31-40)yrs",HR_table[[#This Row],[Age]]&lt;=50,"(41-50)yrs",HR_table[[#This Row],[Age]]&lt;=60,"(51-60)yrs")</f>
        <v>(51-60)yrs</v>
      </c>
      <c r="C125" t="s">
        <v>43</v>
      </c>
      <c r="D125" t="s">
        <v>36</v>
      </c>
      <c r="E125" t="s">
        <v>45</v>
      </c>
      <c r="F125" t="s">
        <v>38</v>
      </c>
      <c r="G125" t="s">
        <v>58</v>
      </c>
      <c r="H125">
        <v>162</v>
      </c>
      <c r="I125" s="2">
        <v>6</v>
      </c>
      <c r="J125" s="2">
        <v>1</v>
      </c>
      <c r="K125" t="s">
        <v>46</v>
      </c>
      <c r="L125" s="2">
        <v>5</v>
      </c>
      <c r="M125" s="2">
        <v>3</v>
      </c>
      <c r="N125" t="s">
        <v>41</v>
      </c>
      <c r="O125" s="2">
        <v>19537</v>
      </c>
      <c r="P125" s="2">
        <v>6462</v>
      </c>
      <c r="Q125" s="2">
        <v>7</v>
      </c>
      <c r="R125" t="s">
        <v>43</v>
      </c>
      <c r="S125" s="2">
        <v>3</v>
      </c>
      <c r="T125" s="2">
        <v>3</v>
      </c>
      <c r="U125">
        <v>80</v>
      </c>
      <c r="V125" s="2">
        <v>23</v>
      </c>
      <c r="W125">
        <v>5</v>
      </c>
      <c r="X125">
        <v>3</v>
      </c>
      <c r="Y125">
        <v>20</v>
      </c>
      <c r="Z125">
        <v>18</v>
      </c>
      <c r="AA125">
        <v>15</v>
      </c>
      <c r="AB125">
        <v>15</v>
      </c>
    </row>
    <row r="126" spans="1:28" x14ac:dyDescent="0.35">
      <c r="A126" s="2">
        <v>31</v>
      </c>
      <c r="B126" s="2" t="str" cm="1">
        <f t="array" ref="B126">_xlfn.IFS(HR_table[[#This Row],[Age]]&lt;=20, "Under 20yrs",HR_table[[#This Row],[Age]]&lt;=30,"(21-30)yrs",HR_table[[#This Row],[Age]]&lt;=40,"(31-40)yrs",HR_table[[#This Row],[Age]]&lt;=50,"(41-50)yrs",HR_table[[#This Row],[Age]]&lt;=60,"(51-60)yrs")</f>
        <v>(31-40)yrs</v>
      </c>
      <c r="C126" t="s">
        <v>35</v>
      </c>
      <c r="D126" t="s">
        <v>36</v>
      </c>
      <c r="E126" t="s">
        <v>37</v>
      </c>
      <c r="F126" t="s">
        <v>38</v>
      </c>
      <c r="G126" t="s">
        <v>40</v>
      </c>
      <c r="H126">
        <v>163</v>
      </c>
      <c r="I126" s="2">
        <v>6</v>
      </c>
      <c r="J126" s="2">
        <v>2</v>
      </c>
      <c r="K126" t="s">
        <v>46</v>
      </c>
      <c r="L126" s="2">
        <v>2</v>
      </c>
      <c r="M126" s="2">
        <v>3</v>
      </c>
      <c r="N126" t="s">
        <v>48</v>
      </c>
      <c r="O126" s="2">
        <v>6172</v>
      </c>
      <c r="P126" s="2">
        <v>20739</v>
      </c>
      <c r="Q126" s="2">
        <v>4</v>
      </c>
      <c r="R126" t="s">
        <v>35</v>
      </c>
      <c r="S126" s="2">
        <v>3</v>
      </c>
      <c r="T126" s="2">
        <v>2</v>
      </c>
      <c r="U126">
        <v>80</v>
      </c>
      <c r="V126" s="2">
        <v>12</v>
      </c>
      <c r="W126">
        <v>3</v>
      </c>
      <c r="X126">
        <v>2</v>
      </c>
      <c r="Y126">
        <v>7</v>
      </c>
      <c r="Z126">
        <v>7</v>
      </c>
      <c r="AA126">
        <v>7</v>
      </c>
      <c r="AB126">
        <v>7</v>
      </c>
    </row>
    <row r="127" spans="1:28" x14ac:dyDescent="0.35">
      <c r="A127" s="2">
        <v>26</v>
      </c>
      <c r="B127" s="2" t="str" cm="1">
        <f t="array" ref="B127">_xlfn.IFS(HR_table[[#This Row],[Age]]&lt;=20, "Under 20yrs",HR_table[[#This Row],[Age]]&lt;=30,"(21-30)yrs",HR_table[[#This Row],[Age]]&lt;=40,"(31-40)yrs",HR_table[[#This Row],[Age]]&lt;=50,"(41-50)yrs",HR_table[[#This Row],[Age]]&lt;=60,"(51-60)yrs")</f>
        <v>(21-30)yrs</v>
      </c>
      <c r="C127" t="s">
        <v>43</v>
      </c>
      <c r="D127" t="s">
        <v>36</v>
      </c>
      <c r="E127" t="s">
        <v>45</v>
      </c>
      <c r="F127" t="s">
        <v>49</v>
      </c>
      <c r="G127" t="s">
        <v>47</v>
      </c>
      <c r="H127">
        <v>164</v>
      </c>
      <c r="I127" s="2">
        <v>6</v>
      </c>
      <c r="J127" s="2">
        <v>3</v>
      </c>
      <c r="K127" t="s">
        <v>39</v>
      </c>
      <c r="L127" s="2">
        <v>1</v>
      </c>
      <c r="M127" s="2">
        <v>2</v>
      </c>
      <c r="N127" t="s">
        <v>48</v>
      </c>
      <c r="O127" s="2">
        <v>2368</v>
      </c>
      <c r="P127" s="2">
        <v>23300</v>
      </c>
      <c r="Q127" s="2">
        <v>1</v>
      </c>
      <c r="R127" t="s">
        <v>43</v>
      </c>
      <c r="S127" s="2">
        <v>3</v>
      </c>
      <c r="T127" s="2">
        <v>3</v>
      </c>
      <c r="U127">
        <v>80</v>
      </c>
      <c r="V127" s="2">
        <v>5</v>
      </c>
      <c r="W127">
        <v>3</v>
      </c>
      <c r="X127">
        <v>2</v>
      </c>
      <c r="Y127">
        <v>5</v>
      </c>
      <c r="Z127">
        <v>4</v>
      </c>
      <c r="AA127">
        <v>4</v>
      </c>
      <c r="AB127">
        <v>3</v>
      </c>
    </row>
    <row r="128" spans="1:28" x14ac:dyDescent="0.35">
      <c r="A128" s="2">
        <v>58</v>
      </c>
      <c r="B128" s="2" t="str" cm="1">
        <f t="array" ref="B128">_xlfn.IFS(HR_table[[#This Row],[Age]]&lt;=20, "Under 20yrs",HR_table[[#This Row],[Age]]&lt;=30,"(21-30)yrs",HR_table[[#This Row],[Age]]&lt;=40,"(31-40)yrs",HR_table[[#This Row],[Age]]&lt;=50,"(41-50)yrs",HR_table[[#This Row],[Age]]&lt;=60,"(51-60)yrs")</f>
        <v>(51-60)yrs</v>
      </c>
      <c r="C128" t="s">
        <v>35</v>
      </c>
      <c r="D128" t="s">
        <v>36</v>
      </c>
      <c r="E128" t="s">
        <v>45</v>
      </c>
      <c r="F128" t="s">
        <v>51</v>
      </c>
      <c r="G128" t="s">
        <v>54</v>
      </c>
      <c r="H128">
        <v>165</v>
      </c>
      <c r="I128" s="2">
        <v>23</v>
      </c>
      <c r="J128" s="2">
        <v>4</v>
      </c>
      <c r="K128" t="s">
        <v>39</v>
      </c>
      <c r="L128" s="2">
        <v>3</v>
      </c>
      <c r="M128" s="2">
        <v>4</v>
      </c>
      <c r="N128" t="s">
        <v>48</v>
      </c>
      <c r="O128" s="2">
        <v>10312</v>
      </c>
      <c r="P128" s="2">
        <v>3465</v>
      </c>
      <c r="Q128" s="2">
        <v>1</v>
      </c>
      <c r="R128" t="s">
        <v>43</v>
      </c>
      <c r="S128" s="2">
        <v>3</v>
      </c>
      <c r="T128" s="2">
        <v>4</v>
      </c>
      <c r="U128">
        <v>80</v>
      </c>
      <c r="V128" s="2">
        <v>40</v>
      </c>
      <c r="W128">
        <v>3</v>
      </c>
      <c r="X128">
        <v>2</v>
      </c>
      <c r="Y128">
        <v>40</v>
      </c>
      <c r="Z128">
        <v>10</v>
      </c>
      <c r="AA128">
        <v>15</v>
      </c>
      <c r="AB128">
        <v>6</v>
      </c>
    </row>
    <row r="129" spans="1:28" x14ac:dyDescent="0.35">
      <c r="A129" s="2">
        <v>19</v>
      </c>
      <c r="B129" s="2" t="str" cm="1">
        <f t="array" ref="B129">_xlfn.IFS(HR_table[[#This Row],[Age]]&lt;=20, "Under 20yrs",HR_table[[#This Row],[Age]]&lt;=30,"(21-30)yrs",HR_table[[#This Row],[Age]]&lt;=40,"(31-40)yrs",HR_table[[#This Row],[Age]]&lt;=50,"(41-50)yrs",HR_table[[#This Row],[Age]]&lt;=60,"(51-60)yrs")</f>
        <v>Under 20yrs</v>
      </c>
      <c r="C129" t="s">
        <v>35</v>
      </c>
      <c r="D129" t="s">
        <v>36</v>
      </c>
      <c r="E129" t="s">
        <v>37</v>
      </c>
      <c r="F129" t="s">
        <v>59</v>
      </c>
      <c r="G129" t="s">
        <v>57</v>
      </c>
      <c r="H129">
        <v>167</v>
      </c>
      <c r="I129" s="2">
        <v>22</v>
      </c>
      <c r="J129" s="2">
        <v>4</v>
      </c>
      <c r="K129" t="s">
        <v>46</v>
      </c>
      <c r="L129" s="2">
        <v>1</v>
      </c>
      <c r="M129" s="2">
        <v>3</v>
      </c>
      <c r="N129" t="s">
        <v>41</v>
      </c>
      <c r="O129" s="2">
        <v>1675</v>
      </c>
      <c r="P129" s="2">
        <v>26820</v>
      </c>
      <c r="Q129" s="2">
        <v>1</v>
      </c>
      <c r="R129" t="s">
        <v>35</v>
      </c>
      <c r="S129" s="2">
        <v>3</v>
      </c>
      <c r="T129" s="2">
        <v>4</v>
      </c>
      <c r="U129">
        <v>80</v>
      </c>
      <c r="V129" s="2">
        <v>0</v>
      </c>
      <c r="W129">
        <v>2</v>
      </c>
      <c r="X129">
        <v>2</v>
      </c>
      <c r="Y129">
        <v>0</v>
      </c>
      <c r="Z129">
        <v>0</v>
      </c>
      <c r="AA129">
        <v>0</v>
      </c>
      <c r="AB129">
        <v>0</v>
      </c>
    </row>
    <row r="130" spans="1:28" x14ac:dyDescent="0.35">
      <c r="A130" s="2">
        <v>22</v>
      </c>
      <c r="B130" s="2" t="str" cm="1">
        <f t="array" ref="B130">_xlfn.IFS(HR_table[[#This Row],[Age]]&lt;=20, "Under 20yrs",HR_table[[#This Row],[Age]]&lt;=30,"(21-30)yrs",HR_table[[#This Row],[Age]]&lt;=40,"(31-40)yrs",HR_table[[#This Row],[Age]]&lt;=50,"(41-50)yrs",HR_table[[#This Row],[Age]]&lt;=60,"(51-60)yrs")</f>
        <v>(21-30)yrs</v>
      </c>
      <c r="C130" t="s">
        <v>43</v>
      </c>
      <c r="D130" t="s">
        <v>36</v>
      </c>
      <c r="E130" t="s">
        <v>45</v>
      </c>
      <c r="F130" t="s">
        <v>60</v>
      </c>
      <c r="G130" t="s">
        <v>50</v>
      </c>
      <c r="H130">
        <v>169</v>
      </c>
      <c r="I130" s="2">
        <v>2</v>
      </c>
      <c r="J130" s="2">
        <v>3</v>
      </c>
      <c r="K130" t="s">
        <v>46</v>
      </c>
      <c r="L130" s="2">
        <v>1</v>
      </c>
      <c r="M130" s="2">
        <v>4</v>
      </c>
      <c r="N130" t="s">
        <v>48</v>
      </c>
      <c r="O130" s="2">
        <v>2523</v>
      </c>
      <c r="P130" s="2">
        <v>19299</v>
      </c>
      <c r="Q130" s="2">
        <v>0</v>
      </c>
      <c r="R130" t="s">
        <v>43</v>
      </c>
      <c r="S130" s="2">
        <v>3</v>
      </c>
      <c r="T130" s="2">
        <v>3</v>
      </c>
      <c r="U130">
        <v>80</v>
      </c>
      <c r="V130" s="2">
        <v>3</v>
      </c>
      <c r="W130">
        <v>2</v>
      </c>
      <c r="X130">
        <v>3</v>
      </c>
      <c r="Y130">
        <v>2</v>
      </c>
      <c r="Z130">
        <v>1</v>
      </c>
      <c r="AA130">
        <v>2</v>
      </c>
      <c r="AB130">
        <v>1</v>
      </c>
    </row>
    <row r="131" spans="1:28" x14ac:dyDescent="0.35">
      <c r="A131" s="2">
        <v>49</v>
      </c>
      <c r="B131" s="2" t="str" cm="1">
        <f t="array" ref="B131">_xlfn.IFS(HR_table[[#This Row],[Age]]&lt;=20, "Under 20yrs",HR_table[[#This Row],[Age]]&lt;=30,"(21-30)yrs",HR_table[[#This Row],[Age]]&lt;=40,"(31-40)yrs",HR_table[[#This Row],[Age]]&lt;=50,"(41-50)yrs",HR_table[[#This Row],[Age]]&lt;=60,"(51-60)yrs")</f>
        <v>(41-50)yrs</v>
      </c>
      <c r="C131" t="s">
        <v>43</v>
      </c>
      <c r="D131" t="s">
        <v>36</v>
      </c>
      <c r="E131" t="s">
        <v>45</v>
      </c>
      <c r="F131" t="s">
        <v>51</v>
      </c>
      <c r="G131" t="s">
        <v>53</v>
      </c>
      <c r="H131">
        <v>170</v>
      </c>
      <c r="I131" s="2">
        <v>20</v>
      </c>
      <c r="J131" s="2">
        <v>3</v>
      </c>
      <c r="K131" t="s">
        <v>39</v>
      </c>
      <c r="L131" s="2">
        <v>2</v>
      </c>
      <c r="M131" s="2">
        <v>1</v>
      </c>
      <c r="N131" t="s">
        <v>48</v>
      </c>
      <c r="O131" s="2">
        <v>6567</v>
      </c>
      <c r="P131" s="2">
        <v>5549</v>
      </c>
      <c r="Q131" s="2">
        <v>1</v>
      </c>
      <c r="R131" t="s">
        <v>43</v>
      </c>
      <c r="S131" s="2">
        <v>3</v>
      </c>
      <c r="T131" s="2">
        <v>3</v>
      </c>
      <c r="U131">
        <v>80</v>
      </c>
      <c r="V131" s="2">
        <v>16</v>
      </c>
      <c r="W131">
        <v>2</v>
      </c>
      <c r="X131">
        <v>2</v>
      </c>
      <c r="Y131">
        <v>15</v>
      </c>
      <c r="Z131">
        <v>11</v>
      </c>
      <c r="AA131">
        <v>5</v>
      </c>
      <c r="AB131">
        <v>11</v>
      </c>
    </row>
    <row r="132" spans="1:28" x14ac:dyDescent="0.35">
      <c r="A132" s="2">
        <v>43</v>
      </c>
      <c r="B132" s="2" t="str" cm="1">
        <f t="array" ref="B132">_xlfn.IFS(HR_table[[#This Row],[Age]]&lt;=20, "Under 20yrs",HR_table[[#This Row],[Age]]&lt;=30,"(21-30)yrs",HR_table[[#This Row],[Age]]&lt;=40,"(31-40)yrs",HR_table[[#This Row],[Age]]&lt;=50,"(41-50)yrs",HR_table[[#This Row],[Age]]&lt;=60,"(51-60)yrs")</f>
        <v>(41-50)yrs</v>
      </c>
      <c r="C132" t="s">
        <v>43</v>
      </c>
      <c r="D132" t="s">
        <v>44</v>
      </c>
      <c r="E132" t="s">
        <v>45</v>
      </c>
      <c r="F132" t="s">
        <v>51</v>
      </c>
      <c r="G132" t="s">
        <v>47</v>
      </c>
      <c r="H132">
        <v>171</v>
      </c>
      <c r="I132" s="2">
        <v>28</v>
      </c>
      <c r="J132" s="2">
        <v>2</v>
      </c>
      <c r="K132" t="s">
        <v>39</v>
      </c>
      <c r="L132" s="2">
        <v>1</v>
      </c>
      <c r="M132" s="2">
        <v>3</v>
      </c>
      <c r="N132" t="s">
        <v>41</v>
      </c>
      <c r="O132" s="2">
        <v>4739</v>
      </c>
      <c r="P132" s="2">
        <v>16090</v>
      </c>
      <c r="Q132" s="2">
        <v>4</v>
      </c>
      <c r="R132" t="s">
        <v>43</v>
      </c>
      <c r="S132" s="2">
        <v>3</v>
      </c>
      <c r="T132" s="2">
        <v>4</v>
      </c>
      <c r="U132">
        <v>80</v>
      </c>
      <c r="V132" s="2">
        <v>18</v>
      </c>
      <c r="W132">
        <v>2</v>
      </c>
      <c r="X132">
        <v>3</v>
      </c>
      <c r="Y132">
        <v>3</v>
      </c>
      <c r="Z132">
        <v>2</v>
      </c>
      <c r="AA132">
        <v>1</v>
      </c>
      <c r="AB132">
        <v>2</v>
      </c>
    </row>
    <row r="133" spans="1:28" x14ac:dyDescent="0.35">
      <c r="A133" s="2">
        <v>50</v>
      </c>
      <c r="B133" s="2" t="str" cm="1">
        <f t="array" ref="B133">_xlfn.IFS(HR_table[[#This Row],[Age]]&lt;=20, "Under 20yrs",HR_table[[#This Row],[Age]]&lt;=30,"(21-30)yrs",HR_table[[#This Row],[Age]]&lt;=40,"(31-40)yrs",HR_table[[#This Row],[Age]]&lt;=50,"(41-50)yrs",HR_table[[#This Row],[Age]]&lt;=60,"(51-60)yrs")</f>
        <v>(41-50)yrs</v>
      </c>
      <c r="C133" t="s">
        <v>43</v>
      </c>
      <c r="D133" t="s">
        <v>44</v>
      </c>
      <c r="E133" t="s">
        <v>37</v>
      </c>
      <c r="F133" t="s">
        <v>59</v>
      </c>
      <c r="G133" t="s">
        <v>40</v>
      </c>
      <c r="H133">
        <v>174</v>
      </c>
      <c r="I133" s="2">
        <v>12</v>
      </c>
      <c r="J133" s="2">
        <v>3</v>
      </c>
      <c r="K133" t="s">
        <v>39</v>
      </c>
      <c r="L133" s="2">
        <v>3</v>
      </c>
      <c r="M133" s="2">
        <v>4</v>
      </c>
      <c r="N133" t="s">
        <v>41</v>
      </c>
      <c r="O133" s="2">
        <v>9208</v>
      </c>
      <c r="P133" s="2">
        <v>6645</v>
      </c>
      <c r="Q133" s="2">
        <v>4</v>
      </c>
      <c r="R133" t="s">
        <v>43</v>
      </c>
      <c r="S133" s="2">
        <v>3</v>
      </c>
      <c r="T133" s="2">
        <v>4</v>
      </c>
      <c r="U133">
        <v>80</v>
      </c>
      <c r="V133" s="2">
        <v>16</v>
      </c>
      <c r="W133">
        <v>3</v>
      </c>
      <c r="X133">
        <v>3</v>
      </c>
      <c r="Y133">
        <v>2</v>
      </c>
      <c r="Z133">
        <v>2</v>
      </c>
      <c r="AA133">
        <v>2</v>
      </c>
      <c r="AB133">
        <v>1</v>
      </c>
    </row>
    <row r="134" spans="1:28" x14ac:dyDescent="0.35">
      <c r="A134" s="2">
        <v>31</v>
      </c>
      <c r="B134" s="2" t="str" cm="1">
        <f t="array" ref="B134">_xlfn.IFS(HR_table[[#This Row],[Age]]&lt;=20, "Under 20yrs",HR_table[[#This Row],[Age]]&lt;=30,"(21-30)yrs",HR_table[[#This Row],[Age]]&lt;=40,"(31-40)yrs",HR_table[[#This Row],[Age]]&lt;=50,"(41-50)yrs",HR_table[[#This Row],[Age]]&lt;=60,"(51-60)yrs")</f>
        <v>(31-40)yrs</v>
      </c>
      <c r="C134" t="s">
        <v>35</v>
      </c>
      <c r="D134" t="s">
        <v>36</v>
      </c>
      <c r="E134" t="s">
        <v>37</v>
      </c>
      <c r="F134" t="s">
        <v>38</v>
      </c>
      <c r="G134" t="s">
        <v>40</v>
      </c>
      <c r="H134">
        <v>175</v>
      </c>
      <c r="I134" s="2">
        <v>20</v>
      </c>
      <c r="J134" s="2">
        <v>2</v>
      </c>
      <c r="K134" t="s">
        <v>39</v>
      </c>
      <c r="L134" s="2">
        <v>2</v>
      </c>
      <c r="M134" s="2">
        <v>3</v>
      </c>
      <c r="N134" t="s">
        <v>48</v>
      </c>
      <c r="O134" s="2">
        <v>4559</v>
      </c>
      <c r="P134" s="2">
        <v>24788</v>
      </c>
      <c r="Q134" s="2">
        <v>3</v>
      </c>
      <c r="R134" t="s">
        <v>35</v>
      </c>
      <c r="S134" s="2">
        <v>3</v>
      </c>
      <c r="T134" s="2">
        <v>3</v>
      </c>
      <c r="U134">
        <v>80</v>
      </c>
      <c r="V134" s="2">
        <v>4</v>
      </c>
      <c r="W134">
        <v>2</v>
      </c>
      <c r="X134">
        <v>3</v>
      </c>
      <c r="Y134">
        <v>2</v>
      </c>
      <c r="Z134">
        <v>2</v>
      </c>
      <c r="AA134">
        <v>2</v>
      </c>
      <c r="AB134">
        <v>2</v>
      </c>
    </row>
    <row r="135" spans="1:28" x14ac:dyDescent="0.35">
      <c r="A135" s="2">
        <v>41</v>
      </c>
      <c r="B135" s="2" t="str" cm="1">
        <f t="array" ref="B135">_xlfn.IFS(HR_table[[#This Row],[Age]]&lt;=20, "Under 20yrs",HR_table[[#This Row],[Age]]&lt;=30,"(21-30)yrs",HR_table[[#This Row],[Age]]&lt;=40,"(31-40)yrs",HR_table[[#This Row],[Age]]&lt;=50,"(41-50)yrs",HR_table[[#This Row],[Age]]&lt;=60,"(51-60)yrs")</f>
        <v>(41-50)yrs</v>
      </c>
      <c r="C135" t="s">
        <v>43</v>
      </c>
      <c r="D135" t="s">
        <v>36</v>
      </c>
      <c r="E135" t="s">
        <v>37</v>
      </c>
      <c r="F135" t="s">
        <v>38</v>
      </c>
      <c r="G135" t="s">
        <v>40</v>
      </c>
      <c r="H135">
        <v>176</v>
      </c>
      <c r="I135" s="2">
        <v>9</v>
      </c>
      <c r="J135" s="2">
        <v>3</v>
      </c>
      <c r="K135" t="s">
        <v>46</v>
      </c>
      <c r="L135" s="2">
        <v>3</v>
      </c>
      <c r="M135" s="2">
        <v>3</v>
      </c>
      <c r="N135" t="s">
        <v>52</v>
      </c>
      <c r="O135" s="2">
        <v>8189</v>
      </c>
      <c r="P135" s="2">
        <v>21196</v>
      </c>
      <c r="Q135" s="2">
        <v>3</v>
      </c>
      <c r="R135" t="s">
        <v>35</v>
      </c>
      <c r="S135" s="2">
        <v>3</v>
      </c>
      <c r="T135" s="2">
        <v>3</v>
      </c>
      <c r="U135">
        <v>80</v>
      </c>
      <c r="V135" s="2">
        <v>12</v>
      </c>
      <c r="W135">
        <v>2</v>
      </c>
      <c r="X135">
        <v>3</v>
      </c>
      <c r="Y135">
        <v>9</v>
      </c>
      <c r="Z135">
        <v>7</v>
      </c>
      <c r="AA135">
        <v>0</v>
      </c>
      <c r="AB135">
        <v>7</v>
      </c>
    </row>
    <row r="136" spans="1:28" x14ac:dyDescent="0.35">
      <c r="A136" s="2">
        <v>26</v>
      </c>
      <c r="B136" s="2" t="str" cm="1">
        <f t="array" ref="B136">_xlfn.IFS(HR_table[[#This Row],[Age]]&lt;=20, "Under 20yrs",HR_table[[#This Row],[Age]]&lt;=30,"(21-30)yrs",HR_table[[#This Row],[Age]]&lt;=40,"(31-40)yrs",HR_table[[#This Row],[Age]]&lt;=50,"(41-50)yrs",HR_table[[#This Row],[Age]]&lt;=60,"(51-60)yrs")</f>
        <v>(21-30)yrs</v>
      </c>
      <c r="C136" t="s">
        <v>43</v>
      </c>
      <c r="D136" t="s">
        <v>36</v>
      </c>
      <c r="E136" t="s">
        <v>61</v>
      </c>
      <c r="F136" t="s">
        <v>38</v>
      </c>
      <c r="G136" t="s">
        <v>61</v>
      </c>
      <c r="H136">
        <v>177</v>
      </c>
      <c r="I136" s="2">
        <v>25</v>
      </c>
      <c r="J136" s="2">
        <v>3</v>
      </c>
      <c r="K136" t="s">
        <v>39</v>
      </c>
      <c r="L136" s="2">
        <v>1</v>
      </c>
      <c r="M136" s="2">
        <v>3</v>
      </c>
      <c r="N136" t="s">
        <v>48</v>
      </c>
      <c r="O136" s="2">
        <v>2942</v>
      </c>
      <c r="P136" s="2">
        <v>8916</v>
      </c>
      <c r="Q136" s="2">
        <v>1</v>
      </c>
      <c r="R136" t="s">
        <v>43</v>
      </c>
      <c r="S136" s="2">
        <v>4</v>
      </c>
      <c r="T136" s="2">
        <v>4</v>
      </c>
      <c r="U136">
        <v>80</v>
      </c>
      <c r="V136" s="2">
        <v>8</v>
      </c>
      <c r="W136">
        <v>3</v>
      </c>
      <c r="X136">
        <v>3</v>
      </c>
      <c r="Y136">
        <v>8</v>
      </c>
      <c r="Z136">
        <v>7</v>
      </c>
      <c r="AA136">
        <v>5</v>
      </c>
      <c r="AB136">
        <v>7</v>
      </c>
    </row>
    <row r="137" spans="1:28" x14ac:dyDescent="0.35">
      <c r="A137" s="2">
        <v>36</v>
      </c>
      <c r="B137" s="2" t="str" cm="1">
        <f t="array" ref="B137">_xlfn.IFS(HR_table[[#This Row],[Age]]&lt;=20, "Under 20yrs",HR_table[[#This Row],[Age]]&lt;=30,"(21-30)yrs",HR_table[[#This Row],[Age]]&lt;=40,"(31-40)yrs",HR_table[[#This Row],[Age]]&lt;=50,"(41-50)yrs",HR_table[[#This Row],[Age]]&lt;=60,"(51-60)yrs")</f>
        <v>(31-40)yrs</v>
      </c>
      <c r="C137" t="s">
        <v>43</v>
      </c>
      <c r="D137" t="s">
        <v>36</v>
      </c>
      <c r="E137" t="s">
        <v>45</v>
      </c>
      <c r="F137" t="s">
        <v>51</v>
      </c>
      <c r="G137" t="s">
        <v>53</v>
      </c>
      <c r="H137">
        <v>178</v>
      </c>
      <c r="I137" s="2">
        <v>6</v>
      </c>
      <c r="J137" s="2">
        <v>2</v>
      </c>
      <c r="K137" t="s">
        <v>46</v>
      </c>
      <c r="L137" s="2">
        <v>2</v>
      </c>
      <c r="M137" s="2">
        <v>2</v>
      </c>
      <c r="N137" t="s">
        <v>52</v>
      </c>
      <c r="O137" s="2">
        <v>4941</v>
      </c>
      <c r="P137" s="2">
        <v>2819</v>
      </c>
      <c r="Q137" s="2">
        <v>6</v>
      </c>
      <c r="R137" t="s">
        <v>43</v>
      </c>
      <c r="S137" s="2">
        <v>4</v>
      </c>
      <c r="T137" s="2">
        <v>4</v>
      </c>
      <c r="U137">
        <v>80</v>
      </c>
      <c r="V137" s="2">
        <v>7</v>
      </c>
      <c r="W137">
        <v>0</v>
      </c>
      <c r="X137">
        <v>3</v>
      </c>
      <c r="Y137">
        <v>3</v>
      </c>
      <c r="Z137">
        <v>2</v>
      </c>
      <c r="AA137">
        <v>0</v>
      </c>
      <c r="AB137">
        <v>1</v>
      </c>
    </row>
    <row r="138" spans="1:28" x14ac:dyDescent="0.35">
      <c r="A138" s="2">
        <v>51</v>
      </c>
      <c r="B138" s="2" t="str" cm="1">
        <f t="array" ref="B138">_xlfn.IFS(HR_table[[#This Row],[Age]]&lt;=20, "Under 20yrs",HR_table[[#This Row],[Age]]&lt;=30,"(21-30)yrs",HR_table[[#This Row],[Age]]&lt;=40,"(31-40)yrs",HR_table[[#This Row],[Age]]&lt;=50,"(41-50)yrs",HR_table[[#This Row],[Age]]&lt;=60,"(51-60)yrs")</f>
        <v>(51-60)yrs</v>
      </c>
      <c r="C138" t="s">
        <v>35</v>
      </c>
      <c r="D138" t="s">
        <v>44</v>
      </c>
      <c r="E138" t="s">
        <v>45</v>
      </c>
      <c r="F138" t="s">
        <v>38</v>
      </c>
      <c r="G138" t="s">
        <v>53</v>
      </c>
      <c r="H138">
        <v>179</v>
      </c>
      <c r="I138" s="2">
        <v>8</v>
      </c>
      <c r="J138" s="2">
        <v>1</v>
      </c>
      <c r="K138" t="s">
        <v>46</v>
      </c>
      <c r="L138" s="2">
        <v>3</v>
      </c>
      <c r="M138" s="2">
        <v>4</v>
      </c>
      <c r="N138" t="s">
        <v>41</v>
      </c>
      <c r="O138" s="2">
        <v>10650</v>
      </c>
      <c r="P138" s="2">
        <v>25150</v>
      </c>
      <c r="Q138" s="2">
        <v>2</v>
      </c>
      <c r="R138" t="s">
        <v>43</v>
      </c>
      <c r="S138" s="2">
        <v>3</v>
      </c>
      <c r="T138" s="2">
        <v>4</v>
      </c>
      <c r="U138">
        <v>80</v>
      </c>
      <c r="V138" s="2">
        <v>18</v>
      </c>
      <c r="W138">
        <v>2</v>
      </c>
      <c r="X138">
        <v>3</v>
      </c>
      <c r="Y138">
        <v>4</v>
      </c>
      <c r="Z138">
        <v>2</v>
      </c>
      <c r="AA138">
        <v>0</v>
      </c>
      <c r="AB138">
        <v>3</v>
      </c>
    </row>
    <row r="139" spans="1:28" x14ac:dyDescent="0.35">
      <c r="A139" s="2">
        <v>39</v>
      </c>
      <c r="B139" s="2" t="str" cm="1">
        <f t="array" ref="B139">_xlfn.IFS(HR_table[[#This Row],[Age]]&lt;=20, "Under 20yrs",HR_table[[#This Row],[Age]]&lt;=30,"(21-30)yrs",HR_table[[#This Row],[Age]]&lt;=40,"(31-40)yrs",HR_table[[#This Row],[Age]]&lt;=50,"(41-50)yrs",HR_table[[#This Row],[Age]]&lt;=60,"(51-60)yrs")</f>
        <v>(31-40)yrs</v>
      </c>
      <c r="C139" t="s">
        <v>43</v>
      </c>
      <c r="D139" t="s">
        <v>36</v>
      </c>
      <c r="E139" t="s">
        <v>37</v>
      </c>
      <c r="F139" t="s">
        <v>38</v>
      </c>
      <c r="G139" t="s">
        <v>40</v>
      </c>
      <c r="H139">
        <v>182</v>
      </c>
      <c r="I139" s="2">
        <v>4</v>
      </c>
      <c r="J139" s="2">
        <v>4</v>
      </c>
      <c r="K139" t="s">
        <v>39</v>
      </c>
      <c r="L139" s="2">
        <v>2</v>
      </c>
      <c r="M139" s="2">
        <v>3</v>
      </c>
      <c r="N139" t="s">
        <v>48</v>
      </c>
      <c r="O139" s="2">
        <v>5902</v>
      </c>
      <c r="P139" s="2">
        <v>14590</v>
      </c>
      <c r="Q139" s="2">
        <v>4</v>
      </c>
      <c r="R139" t="s">
        <v>43</v>
      </c>
      <c r="S139" s="2">
        <v>3</v>
      </c>
      <c r="T139" s="2">
        <v>3</v>
      </c>
      <c r="U139">
        <v>80</v>
      </c>
      <c r="V139" s="2">
        <v>17</v>
      </c>
      <c r="W139">
        <v>1</v>
      </c>
      <c r="X139">
        <v>4</v>
      </c>
      <c r="Y139">
        <v>15</v>
      </c>
      <c r="Z139">
        <v>11</v>
      </c>
      <c r="AA139">
        <v>5</v>
      </c>
      <c r="AB139">
        <v>9</v>
      </c>
    </row>
    <row r="140" spans="1:28" x14ac:dyDescent="0.35">
      <c r="A140" s="2">
        <v>25</v>
      </c>
      <c r="B140" s="2" t="str" cm="1">
        <f t="array" ref="B140">_xlfn.IFS(HR_table[[#This Row],[Age]]&lt;=20, "Under 20yrs",HR_table[[#This Row],[Age]]&lt;=30,"(21-30)yrs",HR_table[[#This Row],[Age]]&lt;=40,"(31-40)yrs",HR_table[[#This Row],[Age]]&lt;=50,"(41-50)yrs",HR_table[[#This Row],[Age]]&lt;=60,"(51-60)yrs")</f>
        <v>(21-30)yrs</v>
      </c>
      <c r="C140" t="s">
        <v>43</v>
      </c>
      <c r="D140" t="s">
        <v>36</v>
      </c>
      <c r="E140" t="s">
        <v>37</v>
      </c>
      <c r="F140" t="s">
        <v>38</v>
      </c>
      <c r="G140" t="s">
        <v>40</v>
      </c>
      <c r="H140">
        <v>183</v>
      </c>
      <c r="I140" s="2">
        <v>28</v>
      </c>
      <c r="J140" s="2">
        <v>1</v>
      </c>
      <c r="K140" t="s">
        <v>46</v>
      </c>
      <c r="L140" s="2">
        <v>2</v>
      </c>
      <c r="M140" s="2">
        <v>3</v>
      </c>
      <c r="N140" t="s">
        <v>48</v>
      </c>
      <c r="O140" s="2">
        <v>8639</v>
      </c>
      <c r="P140" s="2">
        <v>24835</v>
      </c>
      <c r="Q140" s="2">
        <v>2</v>
      </c>
      <c r="R140" t="s">
        <v>43</v>
      </c>
      <c r="S140" s="2">
        <v>3</v>
      </c>
      <c r="T140" s="2">
        <v>4</v>
      </c>
      <c r="U140">
        <v>80</v>
      </c>
      <c r="V140" s="2">
        <v>6</v>
      </c>
      <c r="W140">
        <v>3</v>
      </c>
      <c r="X140">
        <v>3</v>
      </c>
      <c r="Y140">
        <v>2</v>
      </c>
      <c r="Z140">
        <v>2</v>
      </c>
      <c r="AA140">
        <v>2</v>
      </c>
      <c r="AB140">
        <v>2</v>
      </c>
    </row>
    <row r="141" spans="1:28" x14ac:dyDescent="0.35">
      <c r="A141" s="2">
        <v>30</v>
      </c>
      <c r="B141" s="2" t="str" cm="1">
        <f t="array" ref="B141">_xlfn.IFS(HR_table[[#This Row],[Age]]&lt;=20, "Under 20yrs",HR_table[[#This Row],[Age]]&lt;=30,"(21-30)yrs",HR_table[[#This Row],[Age]]&lt;=40,"(31-40)yrs",HR_table[[#This Row],[Age]]&lt;=50,"(41-50)yrs",HR_table[[#This Row],[Age]]&lt;=60,"(51-60)yrs")</f>
        <v>(21-30)yrs</v>
      </c>
      <c r="C141" t="s">
        <v>43</v>
      </c>
      <c r="D141" t="s">
        <v>36</v>
      </c>
      <c r="E141" t="s">
        <v>61</v>
      </c>
      <c r="F141" t="s">
        <v>61</v>
      </c>
      <c r="G141" t="s">
        <v>61</v>
      </c>
      <c r="H141">
        <v>184</v>
      </c>
      <c r="I141" s="2">
        <v>9</v>
      </c>
      <c r="J141" s="2">
        <v>3</v>
      </c>
      <c r="K141" t="s">
        <v>46</v>
      </c>
      <c r="L141" s="2">
        <v>2</v>
      </c>
      <c r="M141" s="2">
        <v>4</v>
      </c>
      <c r="N141" t="s">
        <v>48</v>
      </c>
      <c r="O141" s="2">
        <v>6347</v>
      </c>
      <c r="P141" s="2">
        <v>13982</v>
      </c>
      <c r="Q141" s="2">
        <v>0</v>
      </c>
      <c r="R141" t="s">
        <v>35</v>
      </c>
      <c r="S141" s="2">
        <v>3</v>
      </c>
      <c r="T141" s="2">
        <v>4</v>
      </c>
      <c r="U141">
        <v>80</v>
      </c>
      <c r="V141" s="2">
        <v>12</v>
      </c>
      <c r="W141">
        <v>2</v>
      </c>
      <c r="X141">
        <v>1</v>
      </c>
      <c r="Y141">
        <v>11</v>
      </c>
      <c r="Z141">
        <v>9</v>
      </c>
      <c r="AA141">
        <v>4</v>
      </c>
      <c r="AB141">
        <v>7</v>
      </c>
    </row>
    <row r="142" spans="1:28" x14ac:dyDescent="0.35">
      <c r="A142" s="2">
        <v>32</v>
      </c>
      <c r="B142" s="2" t="str" cm="1">
        <f t="array" ref="B142">_xlfn.IFS(HR_table[[#This Row],[Age]]&lt;=20, "Under 20yrs",HR_table[[#This Row],[Age]]&lt;=30,"(21-30)yrs",HR_table[[#This Row],[Age]]&lt;=40,"(31-40)yrs",HR_table[[#This Row],[Age]]&lt;=50,"(41-50)yrs",HR_table[[#This Row],[Age]]&lt;=60,"(51-60)yrs")</f>
        <v>(31-40)yrs</v>
      </c>
      <c r="C142" t="s">
        <v>35</v>
      </c>
      <c r="D142" t="s">
        <v>36</v>
      </c>
      <c r="E142" t="s">
        <v>45</v>
      </c>
      <c r="F142" t="s">
        <v>51</v>
      </c>
      <c r="G142" t="s">
        <v>50</v>
      </c>
      <c r="H142">
        <v>190</v>
      </c>
      <c r="I142" s="2">
        <v>9</v>
      </c>
      <c r="J142" s="2">
        <v>1</v>
      </c>
      <c r="K142" t="s">
        <v>39</v>
      </c>
      <c r="L142" s="2">
        <v>1</v>
      </c>
      <c r="M142" s="2">
        <v>1</v>
      </c>
      <c r="N142" t="s">
        <v>41</v>
      </c>
      <c r="O142" s="2">
        <v>4200</v>
      </c>
      <c r="P142" s="2">
        <v>10224</v>
      </c>
      <c r="Q142" s="2">
        <v>7</v>
      </c>
      <c r="R142" t="s">
        <v>43</v>
      </c>
      <c r="S142" s="2">
        <v>4</v>
      </c>
      <c r="T142" s="2">
        <v>1</v>
      </c>
      <c r="U142">
        <v>80</v>
      </c>
      <c r="V142" s="2">
        <v>10</v>
      </c>
      <c r="W142">
        <v>2</v>
      </c>
      <c r="X142">
        <v>4</v>
      </c>
      <c r="Y142">
        <v>5</v>
      </c>
      <c r="Z142">
        <v>4</v>
      </c>
      <c r="AA142">
        <v>0</v>
      </c>
      <c r="AB142">
        <v>4</v>
      </c>
    </row>
    <row r="143" spans="1:28" x14ac:dyDescent="0.35">
      <c r="A143" s="2">
        <v>45</v>
      </c>
      <c r="B143" s="2" t="str" cm="1">
        <f t="array" ref="B143">_xlfn.IFS(HR_table[[#This Row],[Age]]&lt;=20, "Under 20yrs",HR_table[[#This Row],[Age]]&lt;=30,"(21-30)yrs",HR_table[[#This Row],[Age]]&lt;=40,"(31-40)yrs",HR_table[[#This Row],[Age]]&lt;=50,"(41-50)yrs",HR_table[[#This Row],[Age]]&lt;=60,"(51-60)yrs")</f>
        <v>(41-50)yrs</v>
      </c>
      <c r="C143" t="s">
        <v>43</v>
      </c>
      <c r="D143" t="s">
        <v>36</v>
      </c>
      <c r="E143" t="s">
        <v>45</v>
      </c>
      <c r="F143" t="s">
        <v>51</v>
      </c>
      <c r="G143" t="s">
        <v>47</v>
      </c>
      <c r="H143">
        <v>192</v>
      </c>
      <c r="I143" s="2">
        <v>29</v>
      </c>
      <c r="J143" s="2">
        <v>3</v>
      </c>
      <c r="K143" t="s">
        <v>46</v>
      </c>
      <c r="L143" s="2">
        <v>1</v>
      </c>
      <c r="M143" s="2">
        <v>4</v>
      </c>
      <c r="N143" t="s">
        <v>41</v>
      </c>
      <c r="O143" s="2">
        <v>3452</v>
      </c>
      <c r="P143" s="2">
        <v>9752</v>
      </c>
      <c r="Q143" s="2">
        <v>5</v>
      </c>
      <c r="R143" t="s">
        <v>43</v>
      </c>
      <c r="S143" s="2">
        <v>3</v>
      </c>
      <c r="T143" s="2">
        <v>2</v>
      </c>
      <c r="U143">
        <v>80</v>
      </c>
      <c r="V143" s="2">
        <v>9</v>
      </c>
      <c r="W143">
        <v>2</v>
      </c>
      <c r="X143">
        <v>2</v>
      </c>
      <c r="Y143">
        <v>6</v>
      </c>
      <c r="Z143">
        <v>5</v>
      </c>
      <c r="AA143">
        <v>0</v>
      </c>
      <c r="AB143">
        <v>3</v>
      </c>
    </row>
    <row r="144" spans="1:28" x14ac:dyDescent="0.35">
      <c r="A144" s="2">
        <v>38</v>
      </c>
      <c r="B144" s="2" t="str" cm="1">
        <f t="array" ref="B144">_xlfn.IFS(HR_table[[#This Row],[Age]]&lt;=20, "Under 20yrs",HR_table[[#This Row],[Age]]&lt;=30,"(21-30)yrs",HR_table[[#This Row],[Age]]&lt;=40,"(31-40)yrs",HR_table[[#This Row],[Age]]&lt;=50,"(41-50)yrs",HR_table[[#This Row],[Age]]&lt;=60,"(51-60)yrs")</f>
        <v>(31-40)yrs</v>
      </c>
      <c r="C144" t="s">
        <v>43</v>
      </c>
      <c r="D144" t="s">
        <v>36</v>
      </c>
      <c r="E144" t="s">
        <v>45</v>
      </c>
      <c r="F144" t="s">
        <v>60</v>
      </c>
      <c r="G144" t="s">
        <v>47</v>
      </c>
      <c r="H144">
        <v>193</v>
      </c>
      <c r="I144" s="2">
        <v>3</v>
      </c>
      <c r="J144" s="2">
        <v>4</v>
      </c>
      <c r="K144" t="s">
        <v>39</v>
      </c>
      <c r="L144" s="2">
        <v>2</v>
      </c>
      <c r="M144" s="2">
        <v>3</v>
      </c>
      <c r="N144" t="s">
        <v>41</v>
      </c>
      <c r="O144" s="2">
        <v>4317</v>
      </c>
      <c r="P144" s="2">
        <v>2302</v>
      </c>
      <c r="Q144" s="2">
        <v>3</v>
      </c>
      <c r="R144" t="s">
        <v>35</v>
      </c>
      <c r="S144" s="2">
        <v>4</v>
      </c>
      <c r="T144" s="2">
        <v>2</v>
      </c>
      <c r="U144">
        <v>80</v>
      </c>
      <c r="V144" s="2">
        <v>19</v>
      </c>
      <c r="W144">
        <v>2</v>
      </c>
      <c r="X144">
        <v>3</v>
      </c>
      <c r="Y144">
        <v>3</v>
      </c>
      <c r="Z144">
        <v>2</v>
      </c>
      <c r="AA144">
        <v>2</v>
      </c>
      <c r="AB144">
        <v>2</v>
      </c>
    </row>
    <row r="145" spans="1:28" x14ac:dyDescent="0.35">
      <c r="A145" s="2">
        <v>30</v>
      </c>
      <c r="B145" s="2" t="str" cm="1">
        <f t="array" ref="B145">_xlfn.IFS(HR_table[[#This Row],[Age]]&lt;=20, "Under 20yrs",HR_table[[#This Row],[Age]]&lt;=30,"(21-30)yrs",HR_table[[#This Row],[Age]]&lt;=40,"(31-40)yrs",HR_table[[#This Row],[Age]]&lt;=50,"(41-50)yrs",HR_table[[#This Row],[Age]]&lt;=60,"(51-60)yrs")</f>
        <v>(21-30)yrs</v>
      </c>
      <c r="C145" t="s">
        <v>43</v>
      </c>
      <c r="D145" t="s">
        <v>36</v>
      </c>
      <c r="E145" t="s">
        <v>45</v>
      </c>
      <c r="F145" t="s">
        <v>38</v>
      </c>
      <c r="G145" t="s">
        <v>47</v>
      </c>
      <c r="H145">
        <v>194</v>
      </c>
      <c r="I145" s="2">
        <v>18</v>
      </c>
      <c r="J145" s="2">
        <v>1</v>
      </c>
      <c r="K145" t="s">
        <v>39</v>
      </c>
      <c r="L145" s="2">
        <v>1</v>
      </c>
      <c r="M145" s="2">
        <v>3</v>
      </c>
      <c r="N145" t="s">
        <v>41</v>
      </c>
      <c r="O145" s="2">
        <v>2632</v>
      </c>
      <c r="P145" s="2">
        <v>23910</v>
      </c>
      <c r="Q145" s="2">
        <v>1</v>
      </c>
      <c r="R145" t="s">
        <v>43</v>
      </c>
      <c r="S145" s="2">
        <v>3</v>
      </c>
      <c r="T145" s="2">
        <v>3</v>
      </c>
      <c r="U145">
        <v>80</v>
      </c>
      <c r="V145" s="2">
        <v>5</v>
      </c>
      <c r="W145">
        <v>4</v>
      </c>
      <c r="X145">
        <v>2</v>
      </c>
      <c r="Y145">
        <v>5</v>
      </c>
      <c r="Z145">
        <v>4</v>
      </c>
      <c r="AA145">
        <v>0</v>
      </c>
      <c r="AB145">
        <v>4</v>
      </c>
    </row>
    <row r="146" spans="1:28" x14ac:dyDescent="0.35">
      <c r="A146" s="2">
        <v>32</v>
      </c>
      <c r="B146" s="2" t="str" cm="1">
        <f t="array" ref="B146">_xlfn.IFS(HR_table[[#This Row],[Age]]&lt;=20, "Under 20yrs",HR_table[[#This Row],[Age]]&lt;=30,"(21-30)yrs",HR_table[[#This Row],[Age]]&lt;=40,"(31-40)yrs",HR_table[[#This Row],[Age]]&lt;=50,"(41-50)yrs",HR_table[[#This Row],[Age]]&lt;=60,"(51-60)yrs")</f>
        <v>(31-40)yrs</v>
      </c>
      <c r="C146" t="s">
        <v>43</v>
      </c>
      <c r="D146" t="s">
        <v>44</v>
      </c>
      <c r="E146" t="s">
        <v>37</v>
      </c>
      <c r="F146" t="s">
        <v>51</v>
      </c>
      <c r="G146" t="s">
        <v>40</v>
      </c>
      <c r="H146">
        <v>195</v>
      </c>
      <c r="I146" s="2">
        <v>9</v>
      </c>
      <c r="J146" s="2">
        <v>4</v>
      </c>
      <c r="K146" t="s">
        <v>46</v>
      </c>
      <c r="L146" s="2">
        <v>2</v>
      </c>
      <c r="M146" s="2">
        <v>4</v>
      </c>
      <c r="N146" t="s">
        <v>52</v>
      </c>
      <c r="O146" s="2">
        <v>4668</v>
      </c>
      <c r="P146" s="2">
        <v>22812</v>
      </c>
      <c r="Q146" s="2">
        <v>0</v>
      </c>
      <c r="R146" t="s">
        <v>43</v>
      </c>
      <c r="S146" s="2">
        <v>3</v>
      </c>
      <c r="T146" s="2">
        <v>4</v>
      </c>
      <c r="U146">
        <v>80</v>
      </c>
      <c r="V146" s="2">
        <v>9</v>
      </c>
      <c r="W146">
        <v>2</v>
      </c>
      <c r="X146">
        <v>4</v>
      </c>
      <c r="Y146">
        <v>8</v>
      </c>
      <c r="Z146">
        <v>7</v>
      </c>
      <c r="AA146">
        <v>0</v>
      </c>
      <c r="AB146">
        <v>7</v>
      </c>
    </row>
    <row r="147" spans="1:28" x14ac:dyDescent="0.35">
      <c r="A147" s="2">
        <v>30</v>
      </c>
      <c r="B147" s="2" t="str" cm="1">
        <f t="array" ref="B147">_xlfn.IFS(HR_table[[#This Row],[Age]]&lt;=20, "Under 20yrs",HR_table[[#This Row],[Age]]&lt;=30,"(21-30)yrs",HR_table[[#This Row],[Age]]&lt;=40,"(31-40)yrs",HR_table[[#This Row],[Age]]&lt;=50,"(41-50)yrs",HR_table[[#This Row],[Age]]&lt;=60,"(51-60)yrs")</f>
        <v>(21-30)yrs</v>
      </c>
      <c r="C147" t="s">
        <v>43</v>
      </c>
      <c r="D147" t="s">
        <v>36</v>
      </c>
      <c r="E147" t="s">
        <v>45</v>
      </c>
      <c r="F147" t="s">
        <v>60</v>
      </c>
      <c r="G147" t="s">
        <v>47</v>
      </c>
      <c r="H147">
        <v>197</v>
      </c>
      <c r="I147" s="2">
        <v>5</v>
      </c>
      <c r="J147" s="2">
        <v>4</v>
      </c>
      <c r="K147" t="s">
        <v>39</v>
      </c>
      <c r="L147" s="2">
        <v>1</v>
      </c>
      <c r="M147" s="2">
        <v>1</v>
      </c>
      <c r="N147" t="s">
        <v>52</v>
      </c>
      <c r="O147" s="2">
        <v>3204</v>
      </c>
      <c r="P147" s="2">
        <v>10415</v>
      </c>
      <c r="Q147" s="2">
        <v>5</v>
      </c>
      <c r="R147" t="s">
        <v>43</v>
      </c>
      <c r="S147" s="2">
        <v>3</v>
      </c>
      <c r="T147" s="2">
        <v>4</v>
      </c>
      <c r="U147">
        <v>80</v>
      </c>
      <c r="V147" s="2">
        <v>8</v>
      </c>
      <c r="W147">
        <v>3</v>
      </c>
      <c r="X147">
        <v>3</v>
      </c>
      <c r="Y147">
        <v>3</v>
      </c>
      <c r="Z147">
        <v>2</v>
      </c>
      <c r="AA147">
        <v>2</v>
      </c>
      <c r="AB147">
        <v>2</v>
      </c>
    </row>
    <row r="148" spans="1:28" x14ac:dyDescent="0.35">
      <c r="A148" s="2">
        <v>30</v>
      </c>
      <c r="B148" s="2" t="str" cm="1">
        <f t="array" ref="B148">_xlfn.IFS(HR_table[[#This Row],[Age]]&lt;=20, "Under 20yrs",HR_table[[#This Row],[Age]]&lt;=30,"(21-30)yrs",HR_table[[#This Row],[Age]]&lt;=40,"(31-40)yrs",HR_table[[#This Row],[Age]]&lt;=50,"(41-50)yrs",HR_table[[#This Row],[Age]]&lt;=60,"(51-60)yrs")</f>
        <v>(21-30)yrs</v>
      </c>
      <c r="C148" t="s">
        <v>43</v>
      </c>
      <c r="D148" t="s">
        <v>36</v>
      </c>
      <c r="E148" t="s">
        <v>45</v>
      </c>
      <c r="F148" t="s">
        <v>51</v>
      </c>
      <c r="G148" t="s">
        <v>50</v>
      </c>
      <c r="H148">
        <v>198</v>
      </c>
      <c r="I148" s="2">
        <v>2</v>
      </c>
      <c r="J148" s="2">
        <v>2</v>
      </c>
      <c r="K148" t="s">
        <v>46</v>
      </c>
      <c r="L148" s="2">
        <v>1</v>
      </c>
      <c r="M148" s="2">
        <v>4</v>
      </c>
      <c r="N148" t="s">
        <v>41</v>
      </c>
      <c r="O148" s="2">
        <v>2720</v>
      </c>
      <c r="P148" s="2">
        <v>11162</v>
      </c>
      <c r="Q148" s="2">
        <v>0</v>
      </c>
      <c r="R148" t="s">
        <v>43</v>
      </c>
      <c r="S148" s="2">
        <v>3</v>
      </c>
      <c r="T148" s="2">
        <v>4</v>
      </c>
      <c r="U148">
        <v>80</v>
      </c>
      <c r="V148" s="2">
        <v>6</v>
      </c>
      <c r="W148">
        <v>3</v>
      </c>
      <c r="X148">
        <v>3</v>
      </c>
      <c r="Y148">
        <v>5</v>
      </c>
      <c r="Z148">
        <v>3</v>
      </c>
      <c r="AA148">
        <v>1</v>
      </c>
      <c r="AB148">
        <v>2</v>
      </c>
    </row>
    <row r="149" spans="1:28" x14ac:dyDescent="0.35">
      <c r="A149" s="2">
        <v>41</v>
      </c>
      <c r="B149" s="2" t="str" cm="1">
        <f t="array" ref="B149">_xlfn.IFS(HR_table[[#This Row],[Age]]&lt;=20, "Under 20yrs",HR_table[[#This Row],[Age]]&lt;=30,"(21-30)yrs",HR_table[[#This Row],[Age]]&lt;=40,"(31-40)yrs",HR_table[[#This Row],[Age]]&lt;=50,"(41-50)yrs",HR_table[[#This Row],[Age]]&lt;=60,"(51-60)yrs")</f>
        <v>(41-50)yrs</v>
      </c>
      <c r="C149" t="s">
        <v>43</v>
      </c>
      <c r="D149" t="s">
        <v>44</v>
      </c>
      <c r="E149" t="s">
        <v>45</v>
      </c>
      <c r="F149" t="s">
        <v>38</v>
      </c>
      <c r="G149" t="s">
        <v>56</v>
      </c>
      <c r="H149">
        <v>199</v>
      </c>
      <c r="I149" s="2">
        <v>10</v>
      </c>
      <c r="J149" s="2">
        <v>4</v>
      </c>
      <c r="K149" t="s">
        <v>46</v>
      </c>
      <c r="L149" s="2">
        <v>4</v>
      </c>
      <c r="M149" s="2">
        <v>1</v>
      </c>
      <c r="N149" t="s">
        <v>52</v>
      </c>
      <c r="O149" s="2">
        <v>17181</v>
      </c>
      <c r="P149" s="2">
        <v>12888</v>
      </c>
      <c r="Q149" s="2">
        <v>4</v>
      </c>
      <c r="R149" t="s">
        <v>43</v>
      </c>
      <c r="S149" s="2">
        <v>3</v>
      </c>
      <c r="T149" s="2">
        <v>2</v>
      </c>
      <c r="U149">
        <v>80</v>
      </c>
      <c r="V149" s="2">
        <v>21</v>
      </c>
      <c r="W149">
        <v>2</v>
      </c>
      <c r="X149">
        <v>2</v>
      </c>
      <c r="Y149">
        <v>7</v>
      </c>
      <c r="Z149">
        <v>6</v>
      </c>
      <c r="AA149">
        <v>7</v>
      </c>
      <c r="AB149">
        <v>7</v>
      </c>
    </row>
    <row r="150" spans="1:28" x14ac:dyDescent="0.35">
      <c r="A150" s="2">
        <v>41</v>
      </c>
      <c r="B150" s="2" t="str" cm="1">
        <f t="array" ref="B150">_xlfn.IFS(HR_table[[#This Row],[Age]]&lt;=20, "Under 20yrs",HR_table[[#This Row],[Age]]&lt;=30,"(21-30)yrs",HR_table[[#This Row],[Age]]&lt;=40,"(31-40)yrs",HR_table[[#This Row],[Age]]&lt;=50,"(41-50)yrs",HR_table[[#This Row],[Age]]&lt;=60,"(51-60)yrs")</f>
        <v>(41-50)yrs</v>
      </c>
      <c r="C150" t="s">
        <v>43</v>
      </c>
      <c r="D150" t="s">
        <v>36</v>
      </c>
      <c r="E150" t="s">
        <v>45</v>
      </c>
      <c r="F150" t="s">
        <v>38</v>
      </c>
      <c r="G150" t="s">
        <v>50</v>
      </c>
      <c r="H150">
        <v>200</v>
      </c>
      <c r="I150" s="2">
        <v>9</v>
      </c>
      <c r="J150" s="2">
        <v>3</v>
      </c>
      <c r="K150" t="s">
        <v>46</v>
      </c>
      <c r="L150" s="2">
        <v>1</v>
      </c>
      <c r="M150" s="2">
        <v>1</v>
      </c>
      <c r="N150" t="s">
        <v>48</v>
      </c>
      <c r="O150" s="2">
        <v>2238</v>
      </c>
      <c r="P150" s="2">
        <v>6961</v>
      </c>
      <c r="Q150" s="2">
        <v>2</v>
      </c>
      <c r="R150" t="s">
        <v>43</v>
      </c>
      <c r="S150" s="2">
        <v>4</v>
      </c>
      <c r="T150" s="2">
        <v>4</v>
      </c>
      <c r="U150">
        <v>80</v>
      </c>
      <c r="V150" s="2">
        <v>7</v>
      </c>
      <c r="W150">
        <v>2</v>
      </c>
      <c r="X150">
        <v>3</v>
      </c>
      <c r="Y150">
        <v>5</v>
      </c>
      <c r="Z150">
        <v>0</v>
      </c>
      <c r="AA150">
        <v>1</v>
      </c>
      <c r="AB150">
        <v>4</v>
      </c>
    </row>
    <row r="151" spans="1:28" x14ac:dyDescent="0.35">
      <c r="A151" s="2">
        <v>19</v>
      </c>
      <c r="B151" s="2" t="str" cm="1">
        <f t="array" ref="B151">_xlfn.IFS(HR_table[[#This Row],[Age]]&lt;=20, "Under 20yrs",HR_table[[#This Row],[Age]]&lt;=30,"(21-30)yrs",HR_table[[#This Row],[Age]]&lt;=40,"(31-40)yrs",HR_table[[#This Row],[Age]]&lt;=50,"(41-50)yrs",HR_table[[#This Row],[Age]]&lt;=60,"(51-60)yrs")</f>
        <v>Under 20yrs</v>
      </c>
      <c r="C151" t="s">
        <v>43</v>
      </c>
      <c r="D151" t="s">
        <v>36</v>
      </c>
      <c r="E151" t="s">
        <v>45</v>
      </c>
      <c r="F151" t="s">
        <v>51</v>
      </c>
      <c r="G151" t="s">
        <v>50</v>
      </c>
      <c r="H151">
        <v>201</v>
      </c>
      <c r="I151" s="2">
        <v>3</v>
      </c>
      <c r="J151" s="2">
        <v>2</v>
      </c>
      <c r="K151" t="s">
        <v>39</v>
      </c>
      <c r="L151" s="2">
        <v>1</v>
      </c>
      <c r="M151" s="2">
        <v>2</v>
      </c>
      <c r="N151" t="s">
        <v>41</v>
      </c>
      <c r="O151" s="2">
        <v>1483</v>
      </c>
      <c r="P151" s="2">
        <v>16102</v>
      </c>
      <c r="Q151" s="2">
        <v>1</v>
      </c>
      <c r="R151" t="s">
        <v>43</v>
      </c>
      <c r="S151" s="2">
        <v>3</v>
      </c>
      <c r="T151" s="2">
        <v>4</v>
      </c>
      <c r="U151">
        <v>80</v>
      </c>
      <c r="V151" s="2">
        <v>1</v>
      </c>
      <c r="W151">
        <v>3</v>
      </c>
      <c r="X151">
        <v>3</v>
      </c>
      <c r="Y151">
        <v>1</v>
      </c>
      <c r="Z151">
        <v>0</v>
      </c>
      <c r="AA151">
        <v>0</v>
      </c>
      <c r="AB151">
        <v>0</v>
      </c>
    </row>
    <row r="152" spans="1:28" x14ac:dyDescent="0.35">
      <c r="A152" s="2">
        <v>40</v>
      </c>
      <c r="B152" s="2" t="str" cm="1">
        <f t="array" ref="B152">_xlfn.IFS(HR_table[[#This Row],[Age]]&lt;=20, "Under 20yrs",HR_table[[#This Row],[Age]]&lt;=30,"(21-30)yrs",HR_table[[#This Row],[Age]]&lt;=40,"(31-40)yrs",HR_table[[#This Row],[Age]]&lt;=50,"(41-50)yrs",HR_table[[#This Row],[Age]]&lt;=60,"(51-60)yrs")</f>
        <v>(31-40)yrs</v>
      </c>
      <c r="C152" t="s">
        <v>43</v>
      </c>
      <c r="D152" t="s">
        <v>44</v>
      </c>
      <c r="E152" t="s">
        <v>45</v>
      </c>
      <c r="F152" t="s">
        <v>51</v>
      </c>
      <c r="G152" t="s">
        <v>47</v>
      </c>
      <c r="H152">
        <v>202</v>
      </c>
      <c r="I152" s="2">
        <v>26</v>
      </c>
      <c r="J152" s="2">
        <v>2</v>
      </c>
      <c r="K152" t="s">
        <v>39</v>
      </c>
      <c r="L152" s="2">
        <v>2</v>
      </c>
      <c r="M152" s="2">
        <v>2</v>
      </c>
      <c r="N152" t="s">
        <v>52</v>
      </c>
      <c r="O152" s="2">
        <v>5605</v>
      </c>
      <c r="P152" s="2">
        <v>8504</v>
      </c>
      <c r="Q152" s="2">
        <v>1</v>
      </c>
      <c r="R152" t="s">
        <v>43</v>
      </c>
      <c r="S152" s="2">
        <v>3</v>
      </c>
      <c r="T152" s="2">
        <v>1</v>
      </c>
      <c r="U152">
        <v>80</v>
      </c>
      <c r="V152" s="2">
        <v>20</v>
      </c>
      <c r="W152">
        <v>2</v>
      </c>
      <c r="X152">
        <v>3</v>
      </c>
      <c r="Y152">
        <v>20</v>
      </c>
      <c r="Z152">
        <v>7</v>
      </c>
      <c r="AA152">
        <v>2</v>
      </c>
      <c r="AB152">
        <v>13</v>
      </c>
    </row>
    <row r="153" spans="1:28" x14ac:dyDescent="0.35">
      <c r="A153" s="2">
        <v>35</v>
      </c>
      <c r="B153" s="2" t="str" cm="1">
        <f t="array" ref="B153">_xlfn.IFS(HR_table[[#This Row],[Age]]&lt;=20, "Under 20yrs",HR_table[[#This Row],[Age]]&lt;=30,"(21-30)yrs",HR_table[[#This Row],[Age]]&lt;=40,"(31-40)yrs",HR_table[[#This Row],[Age]]&lt;=50,"(41-50)yrs",HR_table[[#This Row],[Age]]&lt;=60,"(51-60)yrs")</f>
        <v>(31-40)yrs</v>
      </c>
      <c r="C153" t="s">
        <v>43</v>
      </c>
      <c r="D153" t="s">
        <v>36</v>
      </c>
      <c r="E153" t="s">
        <v>37</v>
      </c>
      <c r="F153" t="s">
        <v>59</v>
      </c>
      <c r="G153" t="s">
        <v>40</v>
      </c>
      <c r="H153">
        <v>204</v>
      </c>
      <c r="I153" s="2">
        <v>1</v>
      </c>
      <c r="J153" s="2">
        <v>3</v>
      </c>
      <c r="K153" t="s">
        <v>46</v>
      </c>
      <c r="L153" s="2">
        <v>3</v>
      </c>
      <c r="M153" s="2">
        <v>2</v>
      </c>
      <c r="N153" t="s">
        <v>48</v>
      </c>
      <c r="O153" s="2">
        <v>7295</v>
      </c>
      <c r="P153" s="2">
        <v>11439</v>
      </c>
      <c r="Q153" s="2">
        <v>1</v>
      </c>
      <c r="R153" t="s">
        <v>43</v>
      </c>
      <c r="S153" s="2">
        <v>3</v>
      </c>
      <c r="T153" s="2">
        <v>1</v>
      </c>
      <c r="U153">
        <v>80</v>
      </c>
      <c r="V153" s="2">
        <v>10</v>
      </c>
      <c r="W153">
        <v>3</v>
      </c>
      <c r="X153">
        <v>3</v>
      </c>
      <c r="Y153">
        <v>10</v>
      </c>
      <c r="Z153">
        <v>8</v>
      </c>
      <c r="AA153">
        <v>0</v>
      </c>
      <c r="AB153">
        <v>6</v>
      </c>
    </row>
    <row r="154" spans="1:28" x14ac:dyDescent="0.35">
      <c r="A154" s="2">
        <v>53</v>
      </c>
      <c r="B154" s="2" t="str" cm="1">
        <f t="array" ref="B154">_xlfn.IFS(HR_table[[#This Row],[Age]]&lt;=20, "Under 20yrs",HR_table[[#This Row],[Age]]&lt;=30,"(21-30)yrs",HR_table[[#This Row],[Age]]&lt;=40,"(31-40)yrs",HR_table[[#This Row],[Age]]&lt;=50,"(41-50)yrs",HR_table[[#This Row],[Age]]&lt;=60,"(51-60)yrs")</f>
        <v>(51-60)yrs</v>
      </c>
      <c r="C154" t="s">
        <v>43</v>
      </c>
      <c r="D154" t="s">
        <v>36</v>
      </c>
      <c r="E154" t="s">
        <v>37</v>
      </c>
      <c r="F154" t="s">
        <v>59</v>
      </c>
      <c r="G154" t="s">
        <v>57</v>
      </c>
      <c r="H154">
        <v>205</v>
      </c>
      <c r="I154" s="2">
        <v>6</v>
      </c>
      <c r="J154" s="2">
        <v>2</v>
      </c>
      <c r="K154" t="s">
        <v>46</v>
      </c>
      <c r="L154" s="2">
        <v>2</v>
      </c>
      <c r="M154" s="2">
        <v>3</v>
      </c>
      <c r="N154" t="s">
        <v>48</v>
      </c>
      <c r="O154" s="2">
        <v>2306</v>
      </c>
      <c r="P154" s="2">
        <v>16047</v>
      </c>
      <c r="Q154" s="2">
        <v>2</v>
      </c>
      <c r="R154" t="s">
        <v>35</v>
      </c>
      <c r="S154" s="2">
        <v>4</v>
      </c>
      <c r="T154" s="2">
        <v>4</v>
      </c>
      <c r="U154">
        <v>80</v>
      </c>
      <c r="V154" s="2">
        <v>13</v>
      </c>
      <c r="W154">
        <v>3</v>
      </c>
      <c r="X154">
        <v>1</v>
      </c>
      <c r="Y154">
        <v>7</v>
      </c>
      <c r="Z154">
        <v>7</v>
      </c>
      <c r="AA154">
        <v>4</v>
      </c>
      <c r="AB154">
        <v>5</v>
      </c>
    </row>
    <row r="155" spans="1:28" x14ac:dyDescent="0.35">
      <c r="A155" s="2">
        <v>45</v>
      </c>
      <c r="B155" s="2" t="str" cm="1">
        <f t="array" ref="B155">_xlfn.IFS(HR_table[[#This Row],[Age]]&lt;=20, "Under 20yrs",HR_table[[#This Row],[Age]]&lt;=30,"(21-30)yrs",HR_table[[#This Row],[Age]]&lt;=40,"(31-40)yrs",HR_table[[#This Row],[Age]]&lt;=50,"(41-50)yrs",HR_table[[#This Row],[Age]]&lt;=60,"(51-60)yrs")</f>
        <v>(41-50)yrs</v>
      </c>
      <c r="C155" t="s">
        <v>43</v>
      </c>
      <c r="D155" t="s">
        <v>36</v>
      </c>
      <c r="E155" t="s">
        <v>45</v>
      </c>
      <c r="F155" t="s">
        <v>38</v>
      </c>
      <c r="G155" t="s">
        <v>50</v>
      </c>
      <c r="H155">
        <v>206</v>
      </c>
      <c r="I155" s="2">
        <v>9</v>
      </c>
      <c r="J155" s="2">
        <v>2</v>
      </c>
      <c r="K155" t="s">
        <v>46</v>
      </c>
      <c r="L155" s="2">
        <v>2</v>
      </c>
      <c r="M155" s="2">
        <v>2</v>
      </c>
      <c r="N155" t="s">
        <v>52</v>
      </c>
      <c r="O155" s="2">
        <v>2348</v>
      </c>
      <c r="P155" s="2">
        <v>10901</v>
      </c>
      <c r="Q155" s="2">
        <v>8</v>
      </c>
      <c r="R155" t="s">
        <v>43</v>
      </c>
      <c r="S155" s="2">
        <v>3</v>
      </c>
      <c r="T155" s="2">
        <v>3</v>
      </c>
      <c r="U155">
        <v>80</v>
      </c>
      <c r="V155" s="2">
        <v>20</v>
      </c>
      <c r="W155">
        <v>2</v>
      </c>
      <c r="X155">
        <v>1</v>
      </c>
      <c r="Y155">
        <v>17</v>
      </c>
      <c r="Z155">
        <v>9</v>
      </c>
      <c r="AA155">
        <v>0</v>
      </c>
      <c r="AB155">
        <v>15</v>
      </c>
    </row>
    <row r="156" spans="1:28" x14ac:dyDescent="0.35">
      <c r="A156" s="2">
        <v>32</v>
      </c>
      <c r="B156" s="2" t="str" cm="1">
        <f t="array" ref="B156">_xlfn.IFS(HR_table[[#This Row],[Age]]&lt;=20, "Under 20yrs",HR_table[[#This Row],[Age]]&lt;=30,"(21-30)yrs",HR_table[[#This Row],[Age]]&lt;=40,"(31-40)yrs",HR_table[[#This Row],[Age]]&lt;=50,"(41-50)yrs",HR_table[[#This Row],[Age]]&lt;=60,"(51-60)yrs")</f>
        <v>(31-40)yrs</v>
      </c>
      <c r="C156" t="s">
        <v>43</v>
      </c>
      <c r="D156" t="s">
        <v>44</v>
      </c>
      <c r="E156" t="s">
        <v>37</v>
      </c>
      <c r="F156" t="s">
        <v>59</v>
      </c>
      <c r="G156" t="s">
        <v>40</v>
      </c>
      <c r="H156">
        <v>207</v>
      </c>
      <c r="I156" s="2">
        <v>8</v>
      </c>
      <c r="J156" s="2">
        <v>2</v>
      </c>
      <c r="K156" t="s">
        <v>39</v>
      </c>
      <c r="L156" s="2">
        <v>3</v>
      </c>
      <c r="M156" s="2">
        <v>4</v>
      </c>
      <c r="N156" t="s">
        <v>41</v>
      </c>
      <c r="O156" s="2">
        <v>8998</v>
      </c>
      <c r="P156" s="2">
        <v>15589</v>
      </c>
      <c r="Q156" s="2">
        <v>1</v>
      </c>
      <c r="R156" t="s">
        <v>43</v>
      </c>
      <c r="S156" s="2">
        <v>3</v>
      </c>
      <c r="T156" s="2">
        <v>4</v>
      </c>
      <c r="U156">
        <v>80</v>
      </c>
      <c r="V156" s="2">
        <v>9</v>
      </c>
      <c r="W156">
        <v>2</v>
      </c>
      <c r="X156">
        <v>3</v>
      </c>
      <c r="Y156">
        <v>9</v>
      </c>
      <c r="Z156">
        <v>8</v>
      </c>
      <c r="AA156">
        <v>3</v>
      </c>
      <c r="AB156">
        <v>7</v>
      </c>
    </row>
    <row r="157" spans="1:28" x14ac:dyDescent="0.35">
      <c r="A157" s="2">
        <v>29</v>
      </c>
      <c r="B157" s="2" t="str" cm="1">
        <f t="array" ref="B157">_xlfn.IFS(HR_table[[#This Row],[Age]]&lt;=20, "Under 20yrs",HR_table[[#This Row],[Age]]&lt;=30,"(21-30)yrs",HR_table[[#This Row],[Age]]&lt;=40,"(31-40)yrs",HR_table[[#This Row],[Age]]&lt;=50,"(41-50)yrs",HR_table[[#This Row],[Age]]&lt;=60,"(51-60)yrs")</f>
        <v>(21-30)yrs</v>
      </c>
      <c r="C157" t="s">
        <v>43</v>
      </c>
      <c r="D157" t="s">
        <v>55</v>
      </c>
      <c r="E157" t="s">
        <v>45</v>
      </c>
      <c r="F157" t="s">
        <v>60</v>
      </c>
      <c r="G157" t="s">
        <v>53</v>
      </c>
      <c r="H157">
        <v>208</v>
      </c>
      <c r="I157" s="2">
        <v>1</v>
      </c>
      <c r="J157" s="2">
        <v>4</v>
      </c>
      <c r="K157" t="s">
        <v>46</v>
      </c>
      <c r="L157" s="2">
        <v>2</v>
      </c>
      <c r="M157" s="2">
        <v>3</v>
      </c>
      <c r="N157" t="s">
        <v>48</v>
      </c>
      <c r="O157" s="2">
        <v>4319</v>
      </c>
      <c r="P157" s="2">
        <v>26283</v>
      </c>
      <c r="Q157" s="2">
        <v>1</v>
      </c>
      <c r="R157" t="s">
        <v>43</v>
      </c>
      <c r="S157" s="2">
        <v>3</v>
      </c>
      <c r="T157" s="2">
        <v>1</v>
      </c>
      <c r="U157">
        <v>80</v>
      </c>
      <c r="V157" s="2">
        <v>10</v>
      </c>
      <c r="W157">
        <v>1</v>
      </c>
      <c r="X157">
        <v>3</v>
      </c>
      <c r="Y157">
        <v>10</v>
      </c>
      <c r="Z157">
        <v>7</v>
      </c>
      <c r="AA157">
        <v>0</v>
      </c>
      <c r="AB157">
        <v>9</v>
      </c>
    </row>
    <row r="158" spans="1:28" x14ac:dyDescent="0.35">
      <c r="A158" s="2">
        <v>51</v>
      </c>
      <c r="B158" s="2" t="str" cm="1">
        <f t="array" ref="B158">_xlfn.IFS(HR_table[[#This Row],[Age]]&lt;=20, "Under 20yrs",HR_table[[#This Row],[Age]]&lt;=30,"(21-30)yrs",HR_table[[#This Row],[Age]]&lt;=40,"(31-40)yrs",HR_table[[#This Row],[Age]]&lt;=50,"(41-50)yrs",HR_table[[#This Row],[Age]]&lt;=60,"(51-60)yrs")</f>
        <v>(51-60)yrs</v>
      </c>
      <c r="C158" t="s">
        <v>43</v>
      </c>
      <c r="D158" t="s">
        <v>36</v>
      </c>
      <c r="E158" t="s">
        <v>45</v>
      </c>
      <c r="F158" t="s">
        <v>51</v>
      </c>
      <c r="G158" t="s">
        <v>53</v>
      </c>
      <c r="H158">
        <v>211</v>
      </c>
      <c r="I158" s="2">
        <v>7</v>
      </c>
      <c r="J158" s="2">
        <v>2</v>
      </c>
      <c r="K158" t="s">
        <v>46</v>
      </c>
      <c r="L158" s="2">
        <v>2</v>
      </c>
      <c r="M158" s="2">
        <v>3</v>
      </c>
      <c r="N158" t="s">
        <v>48</v>
      </c>
      <c r="O158" s="2">
        <v>6132</v>
      </c>
      <c r="P158" s="2">
        <v>13983</v>
      </c>
      <c r="Q158" s="2">
        <v>2</v>
      </c>
      <c r="R158" t="s">
        <v>43</v>
      </c>
      <c r="S158" s="2">
        <v>3</v>
      </c>
      <c r="T158" s="2">
        <v>3</v>
      </c>
      <c r="U158">
        <v>80</v>
      </c>
      <c r="V158" s="2">
        <v>10</v>
      </c>
      <c r="W158">
        <v>2</v>
      </c>
      <c r="X158">
        <v>3</v>
      </c>
      <c r="Y158">
        <v>1</v>
      </c>
      <c r="Z158">
        <v>0</v>
      </c>
      <c r="AA158">
        <v>0</v>
      </c>
      <c r="AB158">
        <v>0</v>
      </c>
    </row>
    <row r="159" spans="1:28" x14ac:dyDescent="0.35">
      <c r="A159" s="2">
        <v>58</v>
      </c>
      <c r="B159" s="2" t="str" cm="1">
        <f t="array" ref="B159">_xlfn.IFS(HR_table[[#This Row],[Age]]&lt;=20, "Under 20yrs",HR_table[[#This Row],[Age]]&lt;=30,"(21-30)yrs",HR_table[[#This Row],[Age]]&lt;=40,"(31-40)yrs",HR_table[[#This Row],[Age]]&lt;=50,"(41-50)yrs",HR_table[[#This Row],[Age]]&lt;=60,"(51-60)yrs")</f>
        <v>(51-60)yrs</v>
      </c>
      <c r="C159" t="s">
        <v>43</v>
      </c>
      <c r="D159" t="s">
        <v>36</v>
      </c>
      <c r="E159" t="s">
        <v>45</v>
      </c>
      <c r="F159" t="s">
        <v>51</v>
      </c>
      <c r="G159" t="s">
        <v>47</v>
      </c>
      <c r="H159">
        <v>214</v>
      </c>
      <c r="I159" s="2">
        <v>9</v>
      </c>
      <c r="J159" s="2">
        <v>2</v>
      </c>
      <c r="K159" t="s">
        <v>39</v>
      </c>
      <c r="L159" s="2">
        <v>1</v>
      </c>
      <c r="M159" s="2">
        <v>2</v>
      </c>
      <c r="N159" t="s">
        <v>48</v>
      </c>
      <c r="O159" s="2">
        <v>3346</v>
      </c>
      <c r="P159" s="2">
        <v>11873</v>
      </c>
      <c r="Q159" s="2">
        <v>4</v>
      </c>
      <c r="R159" t="s">
        <v>35</v>
      </c>
      <c r="S159" s="2">
        <v>4</v>
      </c>
      <c r="T159" s="2">
        <v>2</v>
      </c>
      <c r="U159">
        <v>80</v>
      </c>
      <c r="V159" s="2">
        <v>9</v>
      </c>
      <c r="W159">
        <v>3</v>
      </c>
      <c r="X159">
        <v>2</v>
      </c>
      <c r="Y159">
        <v>1</v>
      </c>
      <c r="Z159">
        <v>0</v>
      </c>
      <c r="AA159">
        <v>0</v>
      </c>
      <c r="AB159">
        <v>0</v>
      </c>
    </row>
    <row r="160" spans="1:28" x14ac:dyDescent="0.35">
      <c r="A160" s="2">
        <v>40</v>
      </c>
      <c r="B160" s="2" t="str" cm="1">
        <f t="array" ref="B160">_xlfn.IFS(HR_table[[#This Row],[Age]]&lt;=20, "Under 20yrs",HR_table[[#This Row],[Age]]&lt;=30,"(21-30)yrs",HR_table[[#This Row],[Age]]&lt;=40,"(31-40)yrs",HR_table[[#This Row],[Age]]&lt;=50,"(41-50)yrs",HR_table[[#This Row],[Age]]&lt;=60,"(51-60)yrs")</f>
        <v>(31-40)yrs</v>
      </c>
      <c r="C160" t="s">
        <v>43</v>
      </c>
      <c r="D160" t="s">
        <v>36</v>
      </c>
      <c r="E160" t="s">
        <v>37</v>
      </c>
      <c r="F160" t="s">
        <v>59</v>
      </c>
      <c r="G160" t="s">
        <v>40</v>
      </c>
      <c r="H160">
        <v>215</v>
      </c>
      <c r="I160" s="2">
        <v>4</v>
      </c>
      <c r="J160" s="2">
        <v>3</v>
      </c>
      <c r="K160" t="s">
        <v>46</v>
      </c>
      <c r="L160" s="2">
        <v>3</v>
      </c>
      <c r="M160" s="2">
        <v>4</v>
      </c>
      <c r="N160" t="s">
        <v>48</v>
      </c>
      <c r="O160" s="2">
        <v>10855</v>
      </c>
      <c r="P160" s="2">
        <v>8552</v>
      </c>
      <c r="Q160" s="2">
        <v>7</v>
      </c>
      <c r="R160" t="s">
        <v>43</v>
      </c>
      <c r="S160" s="2">
        <v>3</v>
      </c>
      <c r="T160" s="2">
        <v>1</v>
      </c>
      <c r="U160">
        <v>80</v>
      </c>
      <c r="V160" s="2">
        <v>15</v>
      </c>
      <c r="W160">
        <v>2</v>
      </c>
      <c r="X160">
        <v>2</v>
      </c>
      <c r="Y160">
        <v>12</v>
      </c>
      <c r="Z160">
        <v>11</v>
      </c>
      <c r="AA160">
        <v>2</v>
      </c>
      <c r="AB160">
        <v>11</v>
      </c>
    </row>
    <row r="161" spans="1:28" x14ac:dyDescent="0.35">
      <c r="A161" s="2">
        <v>34</v>
      </c>
      <c r="B161" s="2" t="str" cm="1">
        <f t="array" ref="B161">_xlfn.IFS(HR_table[[#This Row],[Age]]&lt;=20, "Under 20yrs",HR_table[[#This Row],[Age]]&lt;=30,"(21-30)yrs",HR_table[[#This Row],[Age]]&lt;=40,"(31-40)yrs",HR_table[[#This Row],[Age]]&lt;=50,"(41-50)yrs",HR_table[[#This Row],[Age]]&lt;=60,"(51-60)yrs")</f>
        <v>(31-40)yrs</v>
      </c>
      <c r="C161" t="s">
        <v>43</v>
      </c>
      <c r="D161" t="s">
        <v>44</v>
      </c>
      <c r="E161" t="s">
        <v>37</v>
      </c>
      <c r="F161" t="s">
        <v>59</v>
      </c>
      <c r="G161" t="s">
        <v>57</v>
      </c>
      <c r="H161">
        <v>216</v>
      </c>
      <c r="I161" s="2">
        <v>2</v>
      </c>
      <c r="J161" s="2">
        <v>3</v>
      </c>
      <c r="K161" t="s">
        <v>39</v>
      </c>
      <c r="L161" s="2">
        <v>1</v>
      </c>
      <c r="M161" s="2">
        <v>3</v>
      </c>
      <c r="N161" t="s">
        <v>48</v>
      </c>
      <c r="O161" s="2">
        <v>2231</v>
      </c>
      <c r="P161" s="2">
        <v>11314</v>
      </c>
      <c r="Q161" s="2">
        <v>6</v>
      </c>
      <c r="R161" t="s">
        <v>43</v>
      </c>
      <c r="S161" s="2">
        <v>3</v>
      </c>
      <c r="T161" s="2">
        <v>4</v>
      </c>
      <c r="U161">
        <v>80</v>
      </c>
      <c r="V161" s="2">
        <v>6</v>
      </c>
      <c r="W161">
        <v>3</v>
      </c>
      <c r="X161">
        <v>3</v>
      </c>
      <c r="Y161">
        <v>4</v>
      </c>
      <c r="Z161">
        <v>3</v>
      </c>
      <c r="AA161">
        <v>1</v>
      </c>
      <c r="AB161">
        <v>2</v>
      </c>
    </row>
    <row r="162" spans="1:28" x14ac:dyDescent="0.35">
      <c r="A162" s="2">
        <v>22</v>
      </c>
      <c r="B162" s="2" t="str" cm="1">
        <f t="array" ref="B162">_xlfn.IFS(HR_table[[#This Row],[Age]]&lt;=20, "Under 20yrs",HR_table[[#This Row],[Age]]&lt;=30,"(21-30)yrs",HR_table[[#This Row],[Age]]&lt;=40,"(31-40)yrs",HR_table[[#This Row],[Age]]&lt;=50,"(41-50)yrs",HR_table[[#This Row],[Age]]&lt;=60,"(51-60)yrs")</f>
        <v>(21-30)yrs</v>
      </c>
      <c r="C162" t="s">
        <v>43</v>
      </c>
      <c r="D162" t="s">
        <v>36</v>
      </c>
      <c r="E162" t="s">
        <v>45</v>
      </c>
      <c r="F162" t="s">
        <v>51</v>
      </c>
      <c r="G162" t="s">
        <v>47</v>
      </c>
      <c r="H162">
        <v>217</v>
      </c>
      <c r="I162" s="2">
        <v>19</v>
      </c>
      <c r="J162" s="2">
        <v>3</v>
      </c>
      <c r="K162" t="s">
        <v>46</v>
      </c>
      <c r="L162" s="2">
        <v>1</v>
      </c>
      <c r="M162" s="2">
        <v>4</v>
      </c>
      <c r="N162" t="s">
        <v>48</v>
      </c>
      <c r="O162" s="2">
        <v>2323</v>
      </c>
      <c r="P162" s="2">
        <v>11992</v>
      </c>
      <c r="Q162" s="2">
        <v>1</v>
      </c>
      <c r="R162" t="s">
        <v>43</v>
      </c>
      <c r="S162" s="2">
        <v>4</v>
      </c>
      <c r="T162" s="2">
        <v>1</v>
      </c>
      <c r="U162">
        <v>80</v>
      </c>
      <c r="V162" s="2">
        <v>2</v>
      </c>
      <c r="W162">
        <v>6</v>
      </c>
      <c r="X162">
        <v>3</v>
      </c>
      <c r="Y162">
        <v>2</v>
      </c>
      <c r="Z162">
        <v>2</v>
      </c>
      <c r="AA162">
        <v>2</v>
      </c>
      <c r="AB162">
        <v>2</v>
      </c>
    </row>
    <row r="163" spans="1:28" x14ac:dyDescent="0.35">
      <c r="A163" s="2">
        <v>27</v>
      </c>
      <c r="B163" s="2" t="str" cm="1">
        <f t="array" ref="B163">_xlfn.IFS(HR_table[[#This Row],[Age]]&lt;=20, "Under 20yrs",HR_table[[#This Row],[Age]]&lt;=30,"(21-30)yrs",HR_table[[#This Row],[Age]]&lt;=40,"(31-40)yrs",HR_table[[#This Row],[Age]]&lt;=50,"(41-50)yrs",HR_table[[#This Row],[Age]]&lt;=60,"(51-60)yrs")</f>
        <v>(21-30)yrs</v>
      </c>
      <c r="C163" t="s">
        <v>43</v>
      </c>
      <c r="D163" t="s">
        <v>55</v>
      </c>
      <c r="E163" t="s">
        <v>45</v>
      </c>
      <c r="F163" t="s">
        <v>51</v>
      </c>
      <c r="G163" t="s">
        <v>47</v>
      </c>
      <c r="H163">
        <v>218</v>
      </c>
      <c r="I163" s="2">
        <v>9</v>
      </c>
      <c r="J163" s="2">
        <v>4</v>
      </c>
      <c r="K163" t="s">
        <v>46</v>
      </c>
      <c r="L163" s="2">
        <v>1</v>
      </c>
      <c r="M163" s="2">
        <v>2</v>
      </c>
      <c r="N163" t="s">
        <v>52</v>
      </c>
      <c r="O163" s="2">
        <v>2024</v>
      </c>
      <c r="P163" s="2">
        <v>5970</v>
      </c>
      <c r="Q163" s="2">
        <v>6</v>
      </c>
      <c r="R163" t="s">
        <v>43</v>
      </c>
      <c r="S163" s="2">
        <v>3</v>
      </c>
      <c r="T163" s="2">
        <v>4</v>
      </c>
      <c r="U163">
        <v>80</v>
      </c>
      <c r="V163" s="2">
        <v>6</v>
      </c>
      <c r="W163">
        <v>1</v>
      </c>
      <c r="X163">
        <v>1</v>
      </c>
      <c r="Y163">
        <v>2</v>
      </c>
      <c r="Z163">
        <v>2</v>
      </c>
      <c r="AA163">
        <v>2</v>
      </c>
      <c r="AB163">
        <v>2</v>
      </c>
    </row>
    <row r="164" spans="1:28" x14ac:dyDescent="0.35">
      <c r="A164" s="2">
        <v>28</v>
      </c>
      <c r="B164" s="2" t="str" cm="1">
        <f t="array" ref="B164">_xlfn.IFS(HR_table[[#This Row],[Age]]&lt;=20, "Under 20yrs",HR_table[[#This Row],[Age]]&lt;=30,"(21-30)yrs",HR_table[[#This Row],[Age]]&lt;=40,"(31-40)yrs",HR_table[[#This Row],[Age]]&lt;=50,"(41-50)yrs",HR_table[[#This Row],[Age]]&lt;=60,"(51-60)yrs")</f>
        <v>(21-30)yrs</v>
      </c>
      <c r="C164" t="s">
        <v>43</v>
      </c>
      <c r="D164" t="s">
        <v>36</v>
      </c>
      <c r="E164" t="s">
        <v>45</v>
      </c>
      <c r="F164" t="s">
        <v>51</v>
      </c>
      <c r="G164" t="s">
        <v>47</v>
      </c>
      <c r="H164">
        <v>221</v>
      </c>
      <c r="I164" s="2">
        <v>21</v>
      </c>
      <c r="J164" s="2">
        <v>3</v>
      </c>
      <c r="K164" t="s">
        <v>46</v>
      </c>
      <c r="L164" s="2">
        <v>1</v>
      </c>
      <c r="M164" s="2">
        <v>4</v>
      </c>
      <c r="N164" t="s">
        <v>48</v>
      </c>
      <c r="O164" s="2">
        <v>2713</v>
      </c>
      <c r="P164" s="2">
        <v>6672</v>
      </c>
      <c r="Q164" s="2">
        <v>1</v>
      </c>
      <c r="R164" t="s">
        <v>43</v>
      </c>
      <c r="S164" s="2">
        <v>3</v>
      </c>
      <c r="T164" s="2">
        <v>3</v>
      </c>
      <c r="U164">
        <v>80</v>
      </c>
      <c r="V164" s="2">
        <v>5</v>
      </c>
      <c r="W164">
        <v>2</v>
      </c>
      <c r="X164">
        <v>1</v>
      </c>
      <c r="Y164">
        <v>5</v>
      </c>
      <c r="Z164">
        <v>2</v>
      </c>
      <c r="AA164">
        <v>0</v>
      </c>
      <c r="AB164">
        <v>2</v>
      </c>
    </row>
    <row r="165" spans="1:28" x14ac:dyDescent="0.35">
      <c r="A165" s="2">
        <v>57</v>
      </c>
      <c r="B165" s="2" t="str" cm="1">
        <f t="array" ref="B165">_xlfn.IFS(HR_table[[#This Row],[Age]]&lt;=20, "Under 20yrs",HR_table[[#This Row],[Age]]&lt;=30,"(21-30)yrs",HR_table[[#This Row],[Age]]&lt;=40,"(31-40)yrs",HR_table[[#This Row],[Age]]&lt;=50,"(41-50)yrs",HR_table[[#This Row],[Age]]&lt;=60,"(51-60)yrs")</f>
        <v>(51-60)yrs</v>
      </c>
      <c r="C165" t="s">
        <v>43</v>
      </c>
      <c r="D165" t="s">
        <v>36</v>
      </c>
      <c r="E165" t="s">
        <v>45</v>
      </c>
      <c r="F165" t="s">
        <v>38</v>
      </c>
      <c r="G165" t="s">
        <v>54</v>
      </c>
      <c r="H165">
        <v>223</v>
      </c>
      <c r="I165" s="2">
        <v>24</v>
      </c>
      <c r="J165" s="2">
        <v>3</v>
      </c>
      <c r="K165" t="s">
        <v>46</v>
      </c>
      <c r="L165" s="2">
        <v>3</v>
      </c>
      <c r="M165" s="2">
        <v>4</v>
      </c>
      <c r="N165" t="s">
        <v>52</v>
      </c>
      <c r="O165" s="2">
        <v>9439</v>
      </c>
      <c r="P165" s="2">
        <v>23402</v>
      </c>
      <c r="Q165" s="2">
        <v>3</v>
      </c>
      <c r="R165" t="s">
        <v>35</v>
      </c>
      <c r="S165" s="2">
        <v>3</v>
      </c>
      <c r="T165" s="2">
        <v>2</v>
      </c>
      <c r="U165">
        <v>80</v>
      </c>
      <c r="V165" s="2">
        <v>12</v>
      </c>
      <c r="W165">
        <v>2</v>
      </c>
      <c r="X165">
        <v>1</v>
      </c>
      <c r="Y165">
        <v>5</v>
      </c>
      <c r="Z165">
        <v>3</v>
      </c>
      <c r="AA165">
        <v>1</v>
      </c>
      <c r="AB165">
        <v>4</v>
      </c>
    </row>
    <row r="166" spans="1:28" x14ac:dyDescent="0.35">
      <c r="A166" s="2">
        <v>27</v>
      </c>
      <c r="B166" s="2" t="str" cm="1">
        <f t="array" ref="B166">_xlfn.IFS(HR_table[[#This Row],[Age]]&lt;=20, "Under 20yrs",HR_table[[#This Row],[Age]]&lt;=30,"(21-30)yrs",HR_table[[#This Row],[Age]]&lt;=40,"(31-40)yrs",HR_table[[#This Row],[Age]]&lt;=50,"(41-50)yrs",HR_table[[#This Row],[Age]]&lt;=60,"(51-60)yrs")</f>
        <v>(21-30)yrs</v>
      </c>
      <c r="C166" t="s">
        <v>43</v>
      </c>
      <c r="D166" t="s">
        <v>55</v>
      </c>
      <c r="E166" t="s">
        <v>45</v>
      </c>
      <c r="F166" t="s">
        <v>51</v>
      </c>
      <c r="G166" t="s">
        <v>47</v>
      </c>
      <c r="H166">
        <v>224</v>
      </c>
      <c r="I166" s="2">
        <v>3</v>
      </c>
      <c r="J166" s="2">
        <v>3</v>
      </c>
      <c r="K166" t="s">
        <v>46</v>
      </c>
      <c r="L166" s="2">
        <v>1</v>
      </c>
      <c r="M166" s="2">
        <v>3</v>
      </c>
      <c r="N166" t="s">
        <v>52</v>
      </c>
      <c r="O166" s="2">
        <v>2566</v>
      </c>
      <c r="P166" s="2">
        <v>25326</v>
      </c>
      <c r="Q166" s="2">
        <v>1</v>
      </c>
      <c r="R166" t="s">
        <v>35</v>
      </c>
      <c r="S166" s="2">
        <v>3</v>
      </c>
      <c r="T166" s="2">
        <v>4</v>
      </c>
      <c r="U166">
        <v>80</v>
      </c>
      <c r="V166" s="2">
        <v>1</v>
      </c>
      <c r="W166">
        <v>2</v>
      </c>
      <c r="X166">
        <v>2</v>
      </c>
      <c r="Y166">
        <v>1</v>
      </c>
      <c r="Z166">
        <v>1</v>
      </c>
      <c r="AA166">
        <v>0</v>
      </c>
      <c r="AB166">
        <v>1</v>
      </c>
    </row>
    <row r="167" spans="1:28" x14ac:dyDescent="0.35">
      <c r="A167" s="2">
        <v>50</v>
      </c>
      <c r="B167" s="2" t="str" cm="1">
        <f t="array" ref="B167">_xlfn.IFS(HR_table[[#This Row],[Age]]&lt;=20, "Under 20yrs",HR_table[[#This Row],[Age]]&lt;=30,"(21-30)yrs",HR_table[[#This Row],[Age]]&lt;=40,"(31-40)yrs",HR_table[[#This Row],[Age]]&lt;=50,"(41-50)yrs",HR_table[[#This Row],[Age]]&lt;=60,"(51-60)yrs")</f>
        <v>(41-50)yrs</v>
      </c>
      <c r="C167" t="s">
        <v>43</v>
      </c>
      <c r="D167" t="s">
        <v>36</v>
      </c>
      <c r="E167" t="s">
        <v>45</v>
      </c>
      <c r="F167" t="s">
        <v>38</v>
      </c>
      <c r="G167" t="s">
        <v>56</v>
      </c>
      <c r="H167">
        <v>226</v>
      </c>
      <c r="I167" s="2">
        <v>11</v>
      </c>
      <c r="J167" s="2">
        <v>3</v>
      </c>
      <c r="K167" t="s">
        <v>39</v>
      </c>
      <c r="L167" s="2">
        <v>5</v>
      </c>
      <c r="M167" s="2">
        <v>2</v>
      </c>
      <c r="N167" t="s">
        <v>41</v>
      </c>
      <c r="O167" s="2">
        <v>19926</v>
      </c>
      <c r="P167" s="2">
        <v>17053</v>
      </c>
      <c r="Q167" s="2">
        <v>3</v>
      </c>
      <c r="R167" t="s">
        <v>43</v>
      </c>
      <c r="S167" s="2">
        <v>3</v>
      </c>
      <c r="T167" s="2">
        <v>2</v>
      </c>
      <c r="U167">
        <v>80</v>
      </c>
      <c r="V167" s="2">
        <v>21</v>
      </c>
      <c r="W167">
        <v>5</v>
      </c>
      <c r="X167">
        <v>3</v>
      </c>
      <c r="Y167">
        <v>5</v>
      </c>
      <c r="Z167">
        <v>4</v>
      </c>
      <c r="AA167">
        <v>4</v>
      </c>
      <c r="AB167">
        <v>4</v>
      </c>
    </row>
    <row r="168" spans="1:28" x14ac:dyDescent="0.35">
      <c r="A168" s="2">
        <v>41</v>
      </c>
      <c r="B168" s="2" t="str" cm="1">
        <f t="array" ref="B168">_xlfn.IFS(HR_table[[#This Row],[Age]]&lt;=20, "Under 20yrs",HR_table[[#This Row],[Age]]&lt;=30,"(21-30)yrs",HR_table[[#This Row],[Age]]&lt;=40,"(31-40)yrs",HR_table[[#This Row],[Age]]&lt;=50,"(41-50)yrs",HR_table[[#This Row],[Age]]&lt;=60,"(51-60)yrs")</f>
        <v>(41-50)yrs</v>
      </c>
      <c r="C168" t="s">
        <v>43</v>
      </c>
      <c r="D168" t="s">
        <v>36</v>
      </c>
      <c r="E168" t="s">
        <v>45</v>
      </c>
      <c r="F168" t="s">
        <v>38</v>
      </c>
      <c r="G168" t="s">
        <v>47</v>
      </c>
      <c r="H168">
        <v>227</v>
      </c>
      <c r="I168" s="2">
        <v>14</v>
      </c>
      <c r="J168" s="2">
        <v>1</v>
      </c>
      <c r="K168" t="s">
        <v>46</v>
      </c>
      <c r="L168" s="2">
        <v>1</v>
      </c>
      <c r="M168" s="2">
        <v>3</v>
      </c>
      <c r="N168" t="s">
        <v>52</v>
      </c>
      <c r="O168" s="2">
        <v>2451</v>
      </c>
      <c r="P168" s="2">
        <v>4609</v>
      </c>
      <c r="Q168" s="2">
        <v>4</v>
      </c>
      <c r="R168" t="s">
        <v>43</v>
      </c>
      <c r="S168" s="2">
        <v>3</v>
      </c>
      <c r="T168" s="2">
        <v>1</v>
      </c>
      <c r="U168">
        <v>80</v>
      </c>
      <c r="V168" s="2">
        <v>13</v>
      </c>
      <c r="W168">
        <v>2</v>
      </c>
      <c r="X168">
        <v>3</v>
      </c>
      <c r="Y168">
        <v>9</v>
      </c>
      <c r="Z168">
        <v>8</v>
      </c>
      <c r="AA168">
        <v>1</v>
      </c>
      <c r="AB168">
        <v>8</v>
      </c>
    </row>
    <row r="169" spans="1:28" x14ac:dyDescent="0.35">
      <c r="A169" s="2">
        <v>30</v>
      </c>
      <c r="B169" s="2" t="str" cm="1">
        <f t="array" ref="B169">_xlfn.IFS(HR_table[[#This Row],[Age]]&lt;=20, "Under 20yrs",HR_table[[#This Row],[Age]]&lt;=30,"(21-30)yrs",HR_table[[#This Row],[Age]]&lt;=40,"(31-40)yrs",HR_table[[#This Row],[Age]]&lt;=50,"(41-50)yrs",HR_table[[#This Row],[Age]]&lt;=60,"(51-60)yrs")</f>
        <v>(21-30)yrs</v>
      </c>
      <c r="C169" t="s">
        <v>43</v>
      </c>
      <c r="D169" t="s">
        <v>36</v>
      </c>
      <c r="E169" t="s">
        <v>37</v>
      </c>
      <c r="F169" t="s">
        <v>38</v>
      </c>
      <c r="G169" t="s">
        <v>40</v>
      </c>
      <c r="H169">
        <v>228</v>
      </c>
      <c r="I169" s="2">
        <v>5</v>
      </c>
      <c r="J169" s="2">
        <v>2</v>
      </c>
      <c r="K169" t="s">
        <v>39</v>
      </c>
      <c r="L169" s="2">
        <v>3</v>
      </c>
      <c r="M169" s="2">
        <v>4</v>
      </c>
      <c r="N169" t="s">
        <v>48</v>
      </c>
      <c r="O169" s="2">
        <v>9419</v>
      </c>
      <c r="P169" s="2">
        <v>8053</v>
      </c>
      <c r="Q169" s="2">
        <v>2</v>
      </c>
      <c r="R169" t="s">
        <v>43</v>
      </c>
      <c r="S169" s="2">
        <v>3</v>
      </c>
      <c r="T169" s="2">
        <v>3</v>
      </c>
      <c r="U169">
        <v>80</v>
      </c>
      <c r="V169" s="2">
        <v>12</v>
      </c>
      <c r="W169">
        <v>2</v>
      </c>
      <c r="X169">
        <v>3</v>
      </c>
      <c r="Y169">
        <v>10</v>
      </c>
      <c r="Z169">
        <v>9</v>
      </c>
      <c r="AA169">
        <v>7</v>
      </c>
      <c r="AB169">
        <v>4</v>
      </c>
    </row>
    <row r="170" spans="1:28" x14ac:dyDescent="0.35">
      <c r="A170" s="2">
        <v>38</v>
      </c>
      <c r="B170" s="2" t="str" cm="1">
        <f t="array" ref="B170">_xlfn.IFS(HR_table[[#This Row],[Age]]&lt;=20, "Under 20yrs",HR_table[[#This Row],[Age]]&lt;=30,"(21-30)yrs",HR_table[[#This Row],[Age]]&lt;=40,"(31-40)yrs",HR_table[[#This Row],[Age]]&lt;=50,"(41-50)yrs",HR_table[[#This Row],[Age]]&lt;=60,"(51-60)yrs")</f>
        <v>(31-40)yrs</v>
      </c>
      <c r="C170" t="s">
        <v>43</v>
      </c>
      <c r="D170" t="s">
        <v>36</v>
      </c>
      <c r="E170" t="s">
        <v>37</v>
      </c>
      <c r="F170" t="s">
        <v>38</v>
      </c>
      <c r="G170" t="s">
        <v>40</v>
      </c>
      <c r="H170">
        <v>230</v>
      </c>
      <c r="I170" s="2">
        <v>1</v>
      </c>
      <c r="J170" s="2">
        <v>1</v>
      </c>
      <c r="K170" t="s">
        <v>39</v>
      </c>
      <c r="L170" s="2">
        <v>2</v>
      </c>
      <c r="M170" s="2">
        <v>4</v>
      </c>
      <c r="N170" t="s">
        <v>41</v>
      </c>
      <c r="O170" s="2">
        <v>8686</v>
      </c>
      <c r="P170" s="2">
        <v>12930</v>
      </c>
      <c r="Q170" s="2">
        <v>4</v>
      </c>
      <c r="R170" t="s">
        <v>43</v>
      </c>
      <c r="S170" s="2">
        <v>4</v>
      </c>
      <c r="T170" s="2">
        <v>3</v>
      </c>
      <c r="U170">
        <v>80</v>
      </c>
      <c r="V170" s="2">
        <v>12</v>
      </c>
      <c r="W170">
        <v>2</v>
      </c>
      <c r="X170">
        <v>4</v>
      </c>
      <c r="Y170">
        <v>8</v>
      </c>
      <c r="Z170">
        <v>3</v>
      </c>
      <c r="AA170">
        <v>0</v>
      </c>
      <c r="AB170">
        <v>7</v>
      </c>
    </row>
    <row r="171" spans="1:28" x14ac:dyDescent="0.35">
      <c r="A171" s="2">
        <v>32</v>
      </c>
      <c r="B171" s="2" t="str" cm="1">
        <f t="array" ref="B171">_xlfn.IFS(HR_table[[#This Row],[Age]]&lt;=20, "Under 20yrs",HR_table[[#This Row],[Age]]&lt;=30,"(21-30)yrs",HR_table[[#This Row],[Age]]&lt;=40,"(31-40)yrs",HR_table[[#This Row],[Age]]&lt;=50,"(41-50)yrs",HR_table[[#This Row],[Age]]&lt;=60,"(51-60)yrs")</f>
        <v>(31-40)yrs</v>
      </c>
      <c r="C171" t="s">
        <v>43</v>
      </c>
      <c r="D171" t="s">
        <v>36</v>
      </c>
      <c r="E171" t="s">
        <v>45</v>
      </c>
      <c r="F171" t="s">
        <v>38</v>
      </c>
      <c r="G171" t="s">
        <v>47</v>
      </c>
      <c r="H171">
        <v>231</v>
      </c>
      <c r="I171" s="2">
        <v>6</v>
      </c>
      <c r="J171" s="2">
        <v>3</v>
      </c>
      <c r="K171" t="s">
        <v>46</v>
      </c>
      <c r="L171" s="2">
        <v>1</v>
      </c>
      <c r="M171" s="2">
        <v>3</v>
      </c>
      <c r="N171" t="s">
        <v>41</v>
      </c>
      <c r="O171" s="2">
        <v>3038</v>
      </c>
      <c r="P171" s="2">
        <v>12430</v>
      </c>
      <c r="Q171" s="2">
        <v>3</v>
      </c>
      <c r="R171" t="s">
        <v>43</v>
      </c>
      <c r="S171" s="2">
        <v>4</v>
      </c>
      <c r="T171" s="2">
        <v>1</v>
      </c>
      <c r="U171">
        <v>80</v>
      </c>
      <c r="V171" s="2">
        <v>8</v>
      </c>
      <c r="W171">
        <v>2</v>
      </c>
      <c r="X171">
        <v>3</v>
      </c>
      <c r="Y171">
        <v>5</v>
      </c>
      <c r="Z171">
        <v>4</v>
      </c>
      <c r="AA171">
        <v>1</v>
      </c>
      <c r="AB171">
        <v>4</v>
      </c>
    </row>
    <row r="172" spans="1:28" x14ac:dyDescent="0.35">
      <c r="A172" s="2">
        <v>27</v>
      </c>
      <c r="B172" s="2" t="str" cm="1">
        <f t="array" ref="B172">_xlfn.IFS(HR_table[[#This Row],[Age]]&lt;=20, "Under 20yrs",HR_table[[#This Row],[Age]]&lt;=30,"(21-30)yrs",HR_table[[#This Row],[Age]]&lt;=40,"(31-40)yrs",HR_table[[#This Row],[Age]]&lt;=50,"(41-50)yrs",HR_table[[#This Row],[Age]]&lt;=60,"(51-60)yrs")</f>
        <v>(21-30)yrs</v>
      </c>
      <c r="C172" t="s">
        <v>43</v>
      </c>
      <c r="D172" t="s">
        <v>36</v>
      </c>
      <c r="E172" t="s">
        <v>45</v>
      </c>
      <c r="F172" t="s">
        <v>60</v>
      </c>
      <c r="G172" t="s">
        <v>47</v>
      </c>
      <c r="H172">
        <v>233</v>
      </c>
      <c r="I172" s="2">
        <v>17</v>
      </c>
      <c r="J172" s="2">
        <v>3</v>
      </c>
      <c r="K172" t="s">
        <v>46</v>
      </c>
      <c r="L172" s="2">
        <v>1</v>
      </c>
      <c r="M172" s="2">
        <v>2</v>
      </c>
      <c r="N172" t="s">
        <v>48</v>
      </c>
      <c r="O172" s="2">
        <v>3058</v>
      </c>
      <c r="P172" s="2">
        <v>13364</v>
      </c>
      <c r="Q172" s="2">
        <v>0</v>
      </c>
      <c r="R172" t="s">
        <v>35</v>
      </c>
      <c r="S172" s="2">
        <v>3</v>
      </c>
      <c r="T172" s="2">
        <v>4</v>
      </c>
      <c r="U172">
        <v>80</v>
      </c>
      <c r="V172" s="2">
        <v>6</v>
      </c>
      <c r="W172">
        <v>3</v>
      </c>
      <c r="X172">
        <v>2</v>
      </c>
      <c r="Y172">
        <v>5</v>
      </c>
      <c r="Z172">
        <v>2</v>
      </c>
      <c r="AA172">
        <v>1</v>
      </c>
      <c r="AB172">
        <v>1</v>
      </c>
    </row>
    <row r="173" spans="1:28" x14ac:dyDescent="0.35">
      <c r="A173" s="2">
        <v>19</v>
      </c>
      <c r="B173" s="2" t="str" cm="1">
        <f t="array" ref="B173">_xlfn.IFS(HR_table[[#This Row],[Age]]&lt;=20, "Under 20yrs",HR_table[[#This Row],[Age]]&lt;=30,"(21-30)yrs",HR_table[[#This Row],[Age]]&lt;=40,"(31-40)yrs",HR_table[[#This Row],[Age]]&lt;=50,"(41-50)yrs",HR_table[[#This Row],[Age]]&lt;=60,"(51-60)yrs")</f>
        <v>Under 20yrs</v>
      </c>
      <c r="C173" t="s">
        <v>35</v>
      </c>
      <c r="D173" t="s">
        <v>44</v>
      </c>
      <c r="E173" t="s">
        <v>37</v>
      </c>
      <c r="F173" t="s">
        <v>60</v>
      </c>
      <c r="G173" t="s">
        <v>57</v>
      </c>
      <c r="H173">
        <v>235</v>
      </c>
      <c r="I173" s="2">
        <v>1</v>
      </c>
      <c r="J173" s="2">
        <v>3</v>
      </c>
      <c r="K173" t="s">
        <v>39</v>
      </c>
      <c r="L173" s="2">
        <v>1</v>
      </c>
      <c r="M173" s="2">
        <v>1</v>
      </c>
      <c r="N173" t="s">
        <v>41</v>
      </c>
      <c r="O173" s="2">
        <v>2325</v>
      </c>
      <c r="P173" s="2">
        <v>20989</v>
      </c>
      <c r="Q173" s="2">
        <v>0</v>
      </c>
      <c r="R173" t="s">
        <v>43</v>
      </c>
      <c r="S173" s="2">
        <v>4</v>
      </c>
      <c r="T173" s="2">
        <v>1</v>
      </c>
      <c r="U173">
        <v>80</v>
      </c>
      <c r="V173" s="2">
        <v>1</v>
      </c>
      <c r="W173">
        <v>5</v>
      </c>
      <c r="X173">
        <v>4</v>
      </c>
      <c r="Y173">
        <v>0</v>
      </c>
      <c r="Z173">
        <v>0</v>
      </c>
      <c r="AA173">
        <v>0</v>
      </c>
      <c r="AB173">
        <v>0</v>
      </c>
    </row>
    <row r="174" spans="1:28" x14ac:dyDescent="0.35">
      <c r="A174" s="2">
        <v>36</v>
      </c>
      <c r="B174" s="2" t="str" cm="1">
        <f t="array" ref="B174">_xlfn.IFS(HR_table[[#This Row],[Age]]&lt;=20, "Under 20yrs",HR_table[[#This Row],[Age]]&lt;=30,"(21-30)yrs",HR_table[[#This Row],[Age]]&lt;=40,"(31-40)yrs",HR_table[[#This Row],[Age]]&lt;=50,"(41-50)yrs",HR_table[[#This Row],[Age]]&lt;=60,"(51-60)yrs")</f>
        <v>(31-40)yrs</v>
      </c>
      <c r="C174" t="s">
        <v>43</v>
      </c>
      <c r="D174" t="s">
        <v>44</v>
      </c>
      <c r="E174" t="s">
        <v>45</v>
      </c>
      <c r="F174" t="s">
        <v>51</v>
      </c>
      <c r="G174" t="s">
        <v>50</v>
      </c>
      <c r="H174">
        <v>238</v>
      </c>
      <c r="I174" s="2">
        <v>3</v>
      </c>
      <c r="J174" s="2">
        <v>4</v>
      </c>
      <c r="K174" t="s">
        <v>46</v>
      </c>
      <c r="L174" s="2">
        <v>1</v>
      </c>
      <c r="M174" s="2">
        <v>2</v>
      </c>
      <c r="N174" t="s">
        <v>41</v>
      </c>
      <c r="O174" s="2">
        <v>2088</v>
      </c>
      <c r="P174" s="2">
        <v>15062</v>
      </c>
      <c r="Q174" s="2">
        <v>4</v>
      </c>
      <c r="R174" t="s">
        <v>43</v>
      </c>
      <c r="S174" s="2">
        <v>3</v>
      </c>
      <c r="T174" s="2">
        <v>3</v>
      </c>
      <c r="U174">
        <v>80</v>
      </c>
      <c r="V174" s="2">
        <v>13</v>
      </c>
      <c r="W174">
        <v>3</v>
      </c>
      <c r="X174">
        <v>2</v>
      </c>
      <c r="Y174">
        <v>8</v>
      </c>
      <c r="Z174">
        <v>7</v>
      </c>
      <c r="AA174">
        <v>7</v>
      </c>
      <c r="AB174">
        <v>2</v>
      </c>
    </row>
    <row r="175" spans="1:28" x14ac:dyDescent="0.35">
      <c r="A175" s="2">
        <v>30</v>
      </c>
      <c r="B175" s="2" t="str" cm="1">
        <f t="array" ref="B175">_xlfn.IFS(HR_table[[#This Row],[Age]]&lt;=20, "Under 20yrs",HR_table[[#This Row],[Age]]&lt;=30,"(21-30)yrs",HR_table[[#This Row],[Age]]&lt;=40,"(31-40)yrs",HR_table[[#This Row],[Age]]&lt;=50,"(41-50)yrs",HR_table[[#This Row],[Age]]&lt;=60,"(51-60)yrs")</f>
        <v>(21-30)yrs</v>
      </c>
      <c r="C175" t="s">
        <v>43</v>
      </c>
      <c r="D175" t="s">
        <v>55</v>
      </c>
      <c r="E175" t="s">
        <v>45</v>
      </c>
      <c r="F175" t="s">
        <v>51</v>
      </c>
      <c r="G175" t="s">
        <v>50</v>
      </c>
      <c r="H175">
        <v>239</v>
      </c>
      <c r="I175" s="2">
        <v>9</v>
      </c>
      <c r="J175" s="2">
        <v>3</v>
      </c>
      <c r="K175" t="s">
        <v>46</v>
      </c>
      <c r="L175" s="2">
        <v>2</v>
      </c>
      <c r="M175" s="2">
        <v>1</v>
      </c>
      <c r="N175" t="s">
        <v>52</v>
      </c>
      <c r="O175" s="2">
        <v>3072</v>
      </c>
      <c r="P175" s="2">
        <v>11012</v>
      </c>
      <c r="Q175" s="2">
        <v>1</v>
      </c>
      <c r="R175" t="s">
        <v>43</v>
      </c>
      <c r="S175" s="2">
        <v>3</v>
      </c>
      <c r="T175" s="2">
        <v>3</v>
      </c>
      <c r="U175">
        <v>80</v>
      </c>
      <c r="V175" s="2">
        <v>12</v>
      </c>
      <c r="W175">
        <v>4</v>
      </c>
      <c r="X175">
        <v>3</v>
      </c>
      <c r="Y175">
        <v>12</v>
      </c>
      <c r="Z175">
        <v>9</v>
      </c>
      <c r="AA175">
        <v>6</v>
      </c>
      <c r="AB175">
        <v>10</v>
      </c>
    </row>
    <row r="176" spans="1:28" x14ac:dyDescent="0.35">
      <c r="A176" s="2">
        <v>45</v>
      </c>
      <c r="B176" s="2" t="str" cm="1">
        <f t="array" ref="B176">_xlfn.IFS(HR_table[[#This Row],[Age]]&lt;=20, "Under 20yrs",HR_table[[#This Row],[Age]]&lt;=30,"(21-30)yrs",HR_table[[#This Row],[Age]]&lt;=40,"(31-40)yrs",HR_table[[#This Row],[Age]]&lt;=50,"(41-50)yrs",HR_table[[#This Row],[Age]]&lt;=60,"(51-60)yrs")</f>
        <v>(41-50)yrs</v>
      </c>
      <c r="C176" t="s">
        <v>43</v>
      </c>
      <c r="D176" t="s">
        <v>36</v>
      </c>
      <c r="E176" t="s">
        <v>37</v>
      </c>
      <c r="F176" t="s">
        <v>38</v>
      </c>
      <c r="G176" t="s">
        <v>40</v>
      </c>
      <c r="H176">
        <v>240</v>
      </c>
      <c r="I176" s="2">
        <v>4</v>
      </c>
      <c r="J176" s="2">
        <v>3</v>
      </c>
      <c r="K176" t="s">
        <v>39</v>
      </c>
      <c r="L176" s="2">
        <v>2</v>
      </c>
      <c r="M176" s="2">
        <v>1</v>
      </c>
      <c r="N176" t="s">
        <v>52</v>
      </c>
      <c r="O176" s="2">
        <v>5006</v>
      </c>
      <c r="P176" s="2">
        <v>6319</v>
      </c>
      <c r="Q176" s="2">
        <v>4</v>
      </c>
      <c r="R176" t="s">
        <v>35</v>
      </c>
      <c r="S176" s="2">
        <v>3</v>
      </c>
      <c r="T176" s="2">
        <v>1</v>
      </c>
      <c r="U176">
        <v>80</v>
      </c>
      <c r="V176" s="2">
        <v>9</v>
      </c>
      <c r="W176">
        <v>3</v>
      </c>
      <c r="X176">
        <v>4</v>
      </c>
      <c r="Y176">
        <v>5</v>
      </c>
      <c r="Z176">
        <v>4</v>
      </c>
      <c r="AA176">
        <v>0</v>
      </c>
      <c r="AB176">
        <v>3</v>
      </c>
    </row>
    <row r="177" spans="1:28" x14ac:dyDescent="0.35">
      <c r="A177" s="2">
        <v>56</v>
      </c>
      <c r="B177" s="2" t="str" cm="1">
        <f t="array" ref="B177">_xlfn.IFS(HR_table[[#This Row],[Age]]&lt;=20, "Under 20yrs",HR_table[[#This Row],[Age]]&lt;=30,"(21-30)yrs",HR_table[[#This Row],[Age]]&lt;=40,"(31-40)yrs",HR_table[[#This Row],[Age]]&lt;=50,"(41-50)yrs",HR_table[[#This Row],[Age]]&lt;=60,"(51-60)yrs")</f>
        <v>(51-60)yrs</v>
      </c>
      <c r="C177" t="s">
        <v>43</v>
      </c>
      <c r="D177" t="s">
        <v>36</v>
      </c>
      <c r="E177" t="s">
        <v>45</v>
      </c>
      <c r="F177" t="s">
        <v>38</v>
      </c>
      <c r="G177" t="s">
        <v>47</v>
      </c>
      <c r="H177">
        <v>241</v>
      </c>
      <c r="I177" s="2">
        <v>8</v>
      </c>
      <c r="J177" s="2">
        <v>3</v>
      </c>
      <c r="K177" t="s">
        <v>39</v>
      </c>
      <c r="L177" s="2">
        <v>1</v>
      </c>
      <c r="M177" s="2">
        <v>1</v>
      </c>
      <c r="N177" t="s">
        <v>52</v>
      </c>
      <c r="O177" s="2">
        <v>4257</v>
      </c>
      <c r="P177" s="2">
        <v>13939</v>
      </c>
      <c r="Q177" s="2">
        <v>4</v>
      </c>
      <c r="R177" t="s">
        <v>35</v>
      </c>
      <c r="S177" s="2">
        <v>3</v>
      </c>
      <c r="T177" s="2">
        <v>3</v>
      </c>
      <c r="U177">
        <v>80</v>
      </c>
      <c r="V177" s="2">
        <v>19</v>
      </c>
      <c r="W177">
        <v>3</v>
      </c>
      <c r="X177">
        <v>3</v>
      </c>
      <c r="Y177">
        <v>2</v>
      </c>
      <c r="Z177">
        <v>2</v>
      </c>
      <c r="AA177">
        <v>2</v>
      </c>
      <c r="AB177">
        <v>2</v>
      </c>
    </row>
    <row r="178" spans="1:28" x14ac:dyDescent="0.35">
      <c r="A178" s="2">
        <v>33</v>
      </c>
      <c r="B178" s="2" t="str" cm="1">
        <f t="array" ref="B178">_xlfn.IFS(HR_table[[#This Row],[Age]]&lt;=20, "Under 20yrs",HR_table[[#This Row],[Age]]&lt;=30,"(21-30)yrs",HR_table[[#This Row],[Age]]&lt;=40,"(31-40)yrs",HR_table[[#This Row],[Age]]&lt;=50,"(41-50)yrs",HR_table[[#This Row],[Age]]&lt;=60,"(51-60)yrs")</f>
        <v>(31-40)yrs</v>
      </c>
      <c r="C178" t="s">
        <v>43</v>
      </c>
      <c r="D178" t="s">
        <v>36</v>
      </c>
      <c r="E178" t="s">
        <v>45</v>
      </c>
      <c r="F178" t="s">
        <v>38</v>
      </c>
      <c r="G178" t="s">
        <v>47</v>
      </c>
      <c r="H178">
        <v>242</v>
      </c>
      <c r="I178" s="2">
        <v>2</v>
      </c>
      <c r="J178" s="2">
        <v>3</v>
      </c>
      <c r="K178" t="s">
        <v>46</v>
      </c>
      <c r="L178" s="2">
        <v>1</v>
      </c>
      <c r="M178" s="2">
        <v>4</v>
      </c>
      <c r="N178" t="s">
        <v>41</v>
      </c>
      <c r="O178" s="2">
        <v>2500</v>
      </c>
      <c r="P178" s="2">
        <v>10515</v>
      </c>
      <c r="Q178" s="2">
        <v>0</v>
      </c>
      <c r="R178" t="s">
        <v>43</v>
      </c>
      <c r="S178" s="2">
        <v>3</v>
      </c>
      <c r="T178" s="2">
        <v>1</v>
      </c>
      <c r="U178">
        <v>80</v>
      </c>
      <c r="V178" s="2">
        <v>4</v>
      </c>
      <c r="W178">
        <v>2</v>
      </c>
      <c r="X178">
        <v>4</v>
      </c>
      <c r="Y178">
        <v>3</v>
      </c>
      <c r="Z178">
        <v>1</v>
      </c>
      <c r="AA178">
        <v>0</v>
      </c>
      <c r="AB178">
        <v>2</v>
      </c>
    </row>
    <row r="179" spans="1:28" x14ac:dyDescent="0.35">
      <c r="A179" s="2">
        <v>19</v>
      </c>
      <c r="B179" s="2" t="str" cm="1">
        <f t="array" ref="B179">_xlfn.IFS(HR_table[[#This Row],[Age]]&lt;=20, "Under 20yrs",HR_table[[#This Row],[Age]]&lt;=30,"(21-30)yrs",HR_table[[#This Row],[Age]]&lt;=40,"(31-40)yrs",HR_table[[#This Row],[Age]]&lt;=50,"(41-50)yrs",HR_table[[#This Row],[Age]]&lt;=60,"(51-60)yrs")</f>
        <v>Under 20yrs</v>
      </c>
      <c r="C179" t="s">
        <v>35</v>
      </c>
      <c r="D179" t="s">
        <v>36</v>
      </c>
      <c r="E179" t="s">
        <v>45</v>
      </c>
      <c r="F179" t="s">
        <v>38</v>
      </c>
      <c r="G179" t="s">
        <v>50</v>
      </c>
      <c r="H179">
        <v>243</v>
      </c>
      <c r="I179" s="2">
        <v>2</v>
      </c>
      <c r="J179" s="2">
        <v>2</v>
      </c>
      <c r="K179" t="s">
        <v>46</v>
      </c>
      <c r="L179" s="2">
        <v>1</v>
      </c>
      <c r="M179" s="2">
        <v>4</v>
      </c>
      <c r="N179" t="s">
        <v>41</v>
      </c>
      <c r="O179" s="2">
        <v>1102</v>
      </c>
      <c r="P179" s="2">
        <v>9241</v>
      </c>
      <c r="Q179" s="2">
        <v>1</v>
      </c>
      <c r="R179" t="s">
        <v>43</v>
      </c>
      <c r="S179" s="2">
        <v>4</v>
      </c>
      <c r="T179" s="2">
        <v>3</v>
      </c>
      <c r="U179">
        <v>80</v>
      </c>
      <c r="V179" s="2">
        <v>1</v>
      </c>
      <c r="W179">
        <v>3</v>
      </c>
      <c r="X179">
        <v>2</v>
      </c>
      <c r="Y179">
        <v>1</v>
      </c>
      <c r="Z179">
        <v>0</v>
      </c>
      <c r="AA179">
        <v>1</v>
      </c>
      <c r="AB179">
        <v>0</v>
      </c>
    </row>
    <row r="180" spans="1:28" x14ac:dyDescent="0.35">
      <c r="A180" s="2">
        <v>46</v>
      </c>
      <c r="B180" s="2" t="str" cm="1">
        <f t="array" ref="B180">_xlfn.IFS(HR_table[[#This Row],[Age]]&lt;=20, "Under 20yrs",HR_table[[#This Row],[Age]]&lt;=30,"(21-30)yrs",HR_table[[#This Row],[Age]]&lt;=40,"(31-40)yrs",HR_table[[#This Row],[Age]]&lt;=50,"(41-50)yrs",HR_table[[#This Row],[Age]]&lt;=60,"(51-60)yrs")</f>
        <v>(41-50)yrs</v>
      </c>
      <c r="C180" t="s">
        <v>43</v>
      </c>
      <c r="D180" t="s">
        <v>36</v>
      </c>
      <c r="E180" t="s">
        <v>37</v>
      </c>
      <c r="F180" t="s">
        <v>59</v>
      </c>
      <c r="G180" t="s">
        <v>40</v>
      </c>
      <c r="H180">
        <v>244</v>
      </c>
      <c r="I180" s="2">
        <v>1</v>
      </c>
      <c r="J180" s="2">
        <v>2</v>
      </c>
      <c r="K180" t="s">
        <v>39</v>
      </c>
      <c r="L180" s="2">
        <v>3</v>
      </c>
      <c r="M180" s="2">
        <v>1</v>
      </c>
      <c r="N180" t="s">
        <v>52</v>
      </c>
      <c r="O180" s="2">
        <v>10453</v>
      </c>
      <c r="P180" s="2">
        <v>2137</v>
      </c>
      <c r="Q180" s="2">
        <v>1</v>
      </c>
      <c r="R180" t="s">
        <v>43</v>
      </c>
      <c r="S180" s="2">
        <v>4</v>
      </c>
      <c r="T180" s="2">
        <v>3</v>
      </c>
      <c r="U180">
        <v>80</v>
      </c>
      <c r="V180" s="2">
        <v>24</v>
      </c>
      <c r="W180">
        <v>2</v>
      </c>
      <c r="X180">
        <v>3</v>
      </c>
      <c r="Y180">
        <v>24</v>
      </c>
      <c r="Z180">
        <v>13</v>
      </c>
      <c r="AA180">
        <v>15</v>
      </c>
      <c r="AB180">
        <v>7</v>
      </c>
    </row>
    <row r="181" spans="1:28" x14ac:dyDescent="0.35">
      <c r="A181" s="2">
        <v>38</v>
      </c>
      <c r="B181" s="2" t="str" cm="1">
        <f t="array" ref="B181">_xlfn.IFS(HR_table[[#This Row],[Age]]&lt;=20, "Under 20yrs",HR_table[[#This Row],[Age]]&lt;=30,"(21-30)yrs",HR_table[[#This Row],[Age]]&lt;=40,"(31-40)yrs",HR_table[[#This Row],[Age]]&lt;=50,"(41-50)yrs",HR_table[[#This Row],[Age]]&lt;=60,"(51-60)yrs")</f>
        <v>(31-40)yrs</v>
      </c>
      <c r="C181" t="s">
        <v>43</v>
      </c>
      <c r="D181" t="s">
        <v>36</v>
      </c>
      <c r="E181" t="s">
        <v>45</v>
      </c>
      <c r="F181" t="s">
        <v>38</v>
      </c>
      <c r="G181" t="s">
        <v>50</v>
      </c>
      <c r="H181">
        <v>245</v>
      </c>
      <c r="I181" s="2">
        <v>9</v>
      </c>
      <c r="J181" s="2">
        <v>3</v>
      </c>
      <c r="K181" t="s">
        <v>39</v>
      </c>
      <c r="L181" s="2">
        <v>1</v>
      </c>
      <c r="M181" s="2">
        <v>4</v>
      </c>
      <c r="N181" t="s">
        <v>41</v>
      </c>
      <c r="O181" s="2">
        <v>2288</v>
      </c>
      <c r="P181" s="2">
        <v>6319</v>
      </c>
      <c r="Q181" s="2">
        <v>1</v>
      </c>
      <c r="R181" t="s">
        <v>43</v>
      </c>
      <c r="S181" s="2">
        <v>3</v>
      </c>
      <c r="T181" s="2">
        <v>3</v>
      </c>
      <c r="U181">
        <v>80</v>
      </c>
      <c r="V181" s="2">
        <v>2</v>
      </c>
      <c r="W181">
        <v>3</v>
      </c>
      <c r="X181">
        <v>3</v>
      </c>
      <c r="Y181">
        <v>2</v>
      </c>
      <c r="Z181">
        <v>2</v>
      </c>
      <c r="AA181">
        <v>2</v>
      </c>
      <c r="AB181">
        <v>1</v>
      </c>
    </row>
    <row r="182" spans="1:28" x14ac:dyDescent="0.35">
      <c r="A182" s="2">
        <v>31</v>
      </c>
      <c r="B182" s="2" t="str" cm="1">
        <f t="array" ref="B182">_xlfn.IFS(HR_table[[#This Row],[Age]]&lt;=20, "Under 20yrs",HR_table[[#This Row],[Age]]&lt;=30,"(21-30)yrs",HR_table[[#This Row],[Age]]&lt;=40,"(31-40)yrs",HR_table[[#This Row],[Age]]&lt;=50,"(41-50)yrs",HR_table[[#This Row],[Age]]&lt;=60,"(51-60)yrs")</f>
        <v>(31-40)yrs</v>
      </c>
      <c r="C182" t="s">
        <v>43</v>
      </c>
      <c r="D182" t="s">
        <v>36</v>
      </c>
      <c r="E182" t="s">
        <v>45</v>
      </c>
      <c r="F182" t="s">
        <v>51</v>
      </c>
      <c r="G182" t="s">
        <v>47</v>
      </c>
      <c r="H182">
        <v>246</v>
      </c>
      <c r="I182" s="2">
        <v>12</v>
      </c>
      <c r="J182" s="2">
        <v>3</v>
      </c>
      <c r="K182" t="s">
        <v>39</v>
      </c>
      <c r="L182" s="2">
        <v>1</v>
      </c>
      <c r="M182" s="2">
        <v>4</v>
      </c>
      <c r="N182" t="s">
        <v>48</v>
      </c>
      <c r="O182" s="2">
        <v>3929</v>
      </c>
      <c r="P182" s="2">
        <v>6984</v>
      </c>
      <c r="Q182" s="2">
        <v>8</v>
      </c>
      <c r="R182" t="s">
        <v>35</v>
      </c>
      <c r="S182" s="2">
        <v>4</v>
      </c>
      <c r="T182" s="2">
        <v>3</v>
      </c>
      <c r="U182">
        <v>80</v>
      </c>
      <c r="V182" s="2">
        <v>7</v>
      </c>
      <c r="W182">
        <v>0</v>
      </c>
      <c r="X182">
        <v>3</v>
      </c>
      <c r="Y182">
        <v>4</v>
      </c>
      <c r="Z182">
        <v>2</v>
      </c>
      <c r="AA182">
        <v>0</v>
      </c>
      <c r="AB182">
        <v>2</v>
      </c>
    </row>
    <row r="183" spans="1:28" x14ac:dyDescent="0.35">
      <c r="A183" s="2">
        <v>34</v>
      </c>
      <c r="B183" s="2" t="str" cm="1">
        <f t="array" ref="B183">_xlfn.IFS(HR_table[[#This Row],[Age]]&lt;=20, "Under 20yrs",HR_table[[#This Row],[Age]]&lt;=30,"(21-30)yrs",HR_table[[#This Row],[Age]]&lt;=40,"(31-40)yrs",HR_table[[#This Row],[Age]]&lt;=50,"(41-50)yrs",HR_table[[#This Row],[Age]]&lt;=60,"(51-60)yrs")</f>
        <v>(31-40)yrs</v>
      </c>
      <c r="C183" t="s">
        <v>43</v>
      </c>
      <c r="D183" t="s">
        <v>36</v>
      </c>
      <c r="E183" t="s">
        <v>45</v>
      </c>
      <c r="F183" t="s">
        <v>51</v>
      </c>
      <c r="G183" t="s">
        <v>47</v>
      </c>
      <c r="H183">
        <v>247</v>
      </c>
      <c r="I183" s="2">
        <v>27</v>
      </c>
      <c r="J183" s="2">
        <v>4</v>
      </c>
      <c r="K183" t="s">
        <v>39</v>
      </c>
      <c r="L183" s="2">
        <v>1</v>
      </c>
      <c r="M183" s="2">
        <v>2</v>
      </c>
      <c r="N183" t="s">
        <v>41</v>
      </c>
      <c r="O183" s="2">
        <v>2311</v>
      </c>
      <c r="P183" s="2">
        <v>5711</v>
      </c>
      <c r="Q183" s="2">
        <v>2</v>
      </c>
      <c r="R183" t="s">
        <v>43</v>
      </c>
      <c r="S183" s="2">
        <v>3</v>
      </c>
      <c r="T183" s="2">
        <v>4</v>
      </c>
      <c r="U183">
        <v>80</v>
      </c>
      <c r="V183" s="2">
        <v>9</v>
      </c>
      <c r="W183">
        <v>3</v>
      </c>
      <c r="X183">
        <v>3</v>
      </c>
      <c r="Y183">
        <v>3</v>
      </c>
      <c r="Z183">
        <v>2</v>
      </c>
      <c r="AA183">
        <v>1</v>
      </c>
      <c r="AB183">
        <v>2</v>
      </c>
    </row>
    <row r="184" spans="1:28" x14ac:dyDescent="0.35">
      <c r="A184" s="2">
        <v>41</v>
      </c>
      <c r="B184" s="2" t="str" cm="1">
        <f t="array" ref="B184">_xlfn.IFS(HR_table[[#This Row],[Age]]&lt;=20, "Under 20yrs",HR_table[[#This Row],[Age]]&lt;=30,"(21-30)yrs",HR_table[[#This Row],[Age]]&lt;=40,"(31-40)yrs",HR_table[[#This Row],[Age]]&lt;=50,"(41-50)yrs",HR_table[[#This Row],[Age]]&lt;=60,"(51-60)yrs")</f>
        <v>(41-50)yrs</v>
      </c>
      <c r="C184" t="s">
        <v>35</v>
      </c>
      <c r="D184" t="s">
        <v>36</v>
      </c>
      <c r="E184" t="s">
        <v>37</v>
      </c>
      <c r="F184" t="s">
        <v>59</v>
      </c>
      <c r="G184" t="s">
        <v>57</v>
      </c>
      <c r="H184">
        <v>248</v>
      </c>
      <c r="I184" s="2">
        <v>20</v>
      </c>
      <c r="J184" s="2">
        <v>2</v>
      </c>
      <c r="K184" t="s">
        <v>39</v>
      </c>
      <c r="L184" s="2">
        <v>1</v>
      </c>
      <c r="M184" s="2">
        <v>2</v>
      </c>
      <c r="N184" t="s">
        <v>41</v>
      </c>
      <c r="O184" s="2">
        <v>3140</v>
      </c>
      <c r="P184" s="2">
        <v>21728</v>
      </c>
      <c r="Q184" s="2">
        <v>1</v>
      </c>
      <c r="R184" t="s">
        <v>35</v>
      </c>
      <c r="S184" s="2">
        <v>4</v>
      </c>
      <c r="T184" s="2">
        <v>4</v>
      </c>
      <c r="U184">
        <v>80</v>
      </c>
      <c r="V184" s="2">
        <v>4</v>
      </c>
      <c r="W184">
        <v>5</v>
      </c>
      <c r="X184">
        <v>2</v>
      </c>
      <c r="Y184">
        <v>4</v>
      </c>
      <c r="Z184">
        <v>3</v>
      </c>
      <c r="AA184">
        <v>0</v>
      </c>
      <c r="AB184">
        <v>2</v>
      </c>
    </row>
    <row r="185" spans="1:28" x14ac:dyDescent="0.35">
      <c r="A185" s="2">
        <v>50</v>
      </c>
      <c r="B185" s="2" t="str" cm="1">
        <f t="array" ref="B185">_xlfn.IFS(HR_table[[#This Row],[Age]]&lt;=20, "Under 20yrs",HR_table[[#This Row],[Age]]&lt;=30,"(21-30)yrs",HR_table[[#This Row],[Age]]&lt;=40,"(31-40)yrs",HR_table[[#This Row],[Age]]&lt;=50,"(41-50)yrs",HR_table[[#This Row],[Age]]&lt;=60,"(51-60)yrs")</f>
        <v>(41-50)yrs</v>
      </c>
      <c r="C185" t="s">
        <v>43</v>
      </c>
      <c r="D185" t="s">
        <v>36</v>
      </c>
      <c r="E185" t="s">
        <v>45</v>
      </c>
      <c r="F185" t="s">
        <v>51</v>
      </c>
      <c r="G185" t="s">
        <v>50</v>
      </c>
      <c r="H185">
        <v>249</v>
      </c>
      <c r="I185" s="2">
        <v>1</v>
      </c>
      <c r="J185" s="2">
        <v>3</v>
      </c>
      <c r="K185" t="s">
        <v>46</v>
      </c>
      <c r="L185" s="2">
        <v>1</v>
      </c>
      <c r="M185" s="2">
        <v>3</v>
      </c>
      <c r="N185" t="s">
        <v>48</v>
      </c>
      <c r="O185" s="2">
        <v>3690</v>
      </c>
      <c r="P185" s="2">
        <v>3425</v>
      </c>
      <c r="Q185" s="2">
        <v>2</v>
      </c>
      <c r="R185" t="s">
        <v>43</v>
      </c>
      <c r="S185" s="2">
        <v>3</v>
      </c>
      <c r="T185" s="2">
        <v>4</v>
      </c>
      <c r="U185">
        <v>80</v>
      </c>
      <c r="V185" s="2">
        <v>5</v>
      </c>
      <c r="W185">
        <v>2</v>
      </c>
      <c r="X185">
        <v>2</v>
      </c>
      <c r="Y185">
        <v>3</v>
      </c>
      <c r="Z185">
        <v>2</v>
      </c>
      <c r="AA185">
        <v>0</v>
      </c>
      <c r="AB185">
        <v>2</v>
      </c>
    </row>
    <row r="186" spans="1:28" x14ac:dyDescent="0.35">
      <c r="A186" s="2">
        <v>53</v>
      </c>
      <c r="B186" s="2" t="str" cm="1">
        <f t="array" ref="B186">_xlfn.IFS(HR_table[[#This Row],[Age]]&lt;=20, "Under 20yrs",HR_table[[#This Row],[Age]]&lt;=30,"(21-30)yrs",HR_table[[#This Row],[Age]]&lt;=40,"(31-40)yrs",HR_table[[#This Row],[Age]]&lt;=50,"(41-50)yrs",HR_table[[#This Row],[Age]]&lt;=60,"(51-60)yrs")</f>
        <v>(51-60)yrs</v>
      </c>
      <c r="C186" t="s">
        <v>43</v>
      </c>
      <c r="D186" t="s">
        <v>36</v>
      </c>
      <c r="E186" t="s">
        <v>45</v>
      </c>
      <c r="F186" t="s">
        <v>51</v>
      </c>
      <c r="G186" t="s">
        <v>53</v>
      </c>
      <c r="H186">
        <v>250</v>
      </c>
      <c r="I186" s="2">
        <v>13</v>
      </c>
      <c r="J186" s="2">
        <v>4</v>
      </c>
      <c r="K186" t="s">
        <v>39</v>
      </c>
      <c r="L186" s="2">
        <v>2</v>
      </c>
      <c r="M186" s="2">
        <v>1</v>
      </c>
      <c r="N186" t="s">
        <v>52</v>
      </c>
      <c r="O186" s="2">
        <v>4450</v>
      </c>
      <c r="P186" s="2">
        <v>26250</v>
      </c>
      <c r="Q186" s="2">
        <v>1</v>
      </c>
      <c r="R186" t="s">
        <v>43</v>
      </c>
      <c r="S186" s="2">
        <v>3</v>
      </c>
      <c r="T186" s="2">
        <v>3</v>
      </c>
      <c r="U186">
        <v>80</v>
      </c>
      <c r="V186" s="2">
        <v>5</v>
      </c>
      <c r="W186">
        <v>3</v>
      </c>
      <c r="X186">
        <v>3</v>
      </c>
      <c r="Y186">
        <v>4</v>
      </c>
      <c r="Z186">
        <v>2</v>
      </c>
      <c r="AA186">
        <v>1</v>
      </c>
      <c r="AB186">
        <v>3</v>
      </c>
    </row>
    <row r="187" spans="1:28" x14ac:dyDescent="0.35">
      <c r="A187" s="2">
        <v>33</v>
      </c>
      <c r="B187" s="2" t="str" cm="1">
        <f t="array" ref="B187">_xlfn.IFS(HR_table[[#This Row],[Age]]&lt;=20, "Under 20yrs",HR_table[[#This Row],[Age]]&lt;=30,"(21-30)yrs",HR_table[[#This Row],[Age]]&lt;=40,"(31-40)yrs",HR_table[[#This Row],[Age]]&lt;=50,"(41-50)yrs",HR_table[[#This Row],[Age]]&lt;=60,"(51-60)yrs")</f>
        <v>(31-40)yrs</v>
      </c>
      <c r="C187" t="s">
        <v>43</v>
      </c>
      <c r="D187" t="s">
        <v>36</v>
      </c>
      <c r="E187" t="s">
        <v>45</v>
      </c>
      <c r="F187" t="s">
        <v>51</v>
      </c>
      <c r="G187" t="s">
        <v>47</v>
      </c>
      <c r="H187">
        <v>252</v>
      </c>
      <c r="I187" s="2">
        <v>14</v>
      </c>
      <c r="J187" s="2">
        <v>4</v>
      </c>
      <c r="K187" t="s">
        <v>39</v>
      </c>
      <c r="L187" s="2">
        <v>1</v>
      </c>
      <c r="M187" s="2">
        <v>2</v>
      </c>
      <c r="N187" t="s">
        <v>48</v>
      </c>
      <c r="O187" s="2">
        <v>2756</v>
      </c>
      <c r="P187" s="2">
        <v>4673</v>
      </c>
      <c r="Q187" s="2">
        <v>1</v>
      </c>
      <c r="R187" t="s">
        <v>43</v>
      </c>
      <c r="S187" s="2">
        <v>3</v>
      </c>
      <c r="T187" s="2">
        <v>4</v>
      </c>
      <c r="U187">
        <v>80</v>
      </c>
      <c r="V187" s="2">
        <v>8</v>
      </c>
      <c r="W187">
        <v>5</v>
      </c>
      <c r="X187">
        <v>3</v>
      </c>
      <c r="Y187">
        <v>8</v>
      </c>
      <c r="Z187">
        <v>7</v>
      </c>
      <c r="AA187">
        <v>1</v>
      </c>
      <c r="AB187">
        <v>6</v>
      </c>
    </row>
    <row r="188" spans="1:28" x14ac:dyDescent="0.35">
      <c r="A188" s="2">
        <v>40</v>
      </c>
      <c r="B188" s="2" t="str" cm="1">
        <f t="array" ref="B188">_xlfn.IFS(HR_table[[#This Row],[Age]]&lt;=20, "Under 20yrs",HR_table[[#This Row],[Age]]&lt;=30,"(21-30)yrs",HR_table[[#This Row],[Age]]&lt;=40,"(31-40)yrs",HR_table[[#This Row],[Age]]&lt;=50,"(41-50)yrs",HR_table[[#This Row],[Age]]&lt;=60,"(51-60)yrs")</f>
        <v>(31-40)yrs</v>
      </c>
      <c r="C188" t="s">
        <v>43</v>
      </c>
      <c r="D188" t="s">
        <v>36</v>
      </c>
      <c r="E188" t="s">
        <v>45</v>
      </c>
      <c r="F188" t="s">
        <v>51</v>
      </c>
      <c r="G188" t="s">
        <v>56</v>
      </c>
      <c r="H188">
        <v>253</v>
      </c>
      <c r="I188" s="2">
        <v>4</v>
      </c>
      <c r="J188" s="2">
        <v>4</v>
      </c>
      <c r="K188" t="s">
        <v>39</v>
      </c>
      <c r="L188" s="2">
        <v>5</v>
      </c>
      <c r="M188" s="2">
        <v>3</v>
      </c>
      <c r="N188" t="s">
        <v>48</v>
      </c>
      <c r="O188" s="2">
        <v>19033</v>
      </c>
      <c r="P188" s="2">
        <v>6499</v>
      </c>
      <c r="Q188" s="2">
        <v>1</v>
      </c>
      <c r="R188" t="s">
        <v>43</v>
      </c>
      <c r="S188" s="2">
        <v>3</v>
      </c>
      <c r="T188" s="2">
        <v>2</v>
      </c>
      <c r="U188">
        <v>80</v>
      </c>
      <c r="V188" s="2">
        <v>21</v>
      </c>
      <c r="W188">
        <v>2</v>
      </c>
      <c r="X188">
        <v>3</v>
      </c>
      <c r="Y188">
        <v>20</v>
      </c>
      <c r="Z188">
        <v>8</v>
      </c>
      <c r="AA188">
        <v>9</v>
      </c>
      <c r="AB188">
        <v>9</v>
      </c>
    </row>
    <row r="189" spans="1:28" x14ac:dyDescent="0.35">
      <c r="A189" s="2">
        <v>55</v>
      </c>
      <c r="B189" s="2" t="str" cm="1">
        <f t="array" ref="B189">_xlfn.IFS(HR_table[[#This Row],[Age]]&lt;=20, "Under 20yrs",HR_table[[#This Row],[Age]]&lt;=30,"(21-30)yrs",HR_table[[#This Row],[Age]]&lt;=40,"(31-40)yrs",HR_table[[#This Row],[Age]]&lt;=50,"(41-50)yrs",HR_table[[#This Row],[Age]]&lt;=60,"(51-60)yrs")</f>
        <v>(51-60)yrs</v>
      </c>
      <c r="C189" t="s">
        <v>43</v>
      </c>
      <c r="D189" t="s">
        <v>36</v>
      </c>
      <c r="E189" t="s">
        <v>45</v>
      </c>
      <c r="F189" t="s">
        <v>51</v>
      </c>
      <c r="G189" t="s">
        <v>58</v>
      </c>
      <c r="H189">
        <v>254</v>
      </c>
      <c r="I189" s="2">
        <v>14</v>
      </c>
      <c r="J189" s="2">
        <v>3</v>
      </c>
      <c r="K189" t="s">
        <v>46</v>
      </c>
      <c r="L189" s="2">
        <v>5</v>
      </c>
      <c r="M189" s="2">
        <v>2</v>
      </c>
      <c r="N189" t="s">
        <v>41</v>
      </c>
      <c r="O189" s="2">
        <v>18722</v>
      </c>
      <c r="P189" s="2">
        <v>13339</v>
      </c>
      <c r="Q189" s="2">
        <v>8</v>
      </c>
      <c r="R189" t="s">
        <v>43</v>
      </c>
      <c r="S189" s="2">
        <v>3</v>
      </c>
      <c r="T189" s="2">
        <v>4</v>
      </c>
      <c r="U189">
        <v>80</v>
      </c>
      <c r="V189" s="2">
        <v>36</v>
      </c>
      <c r="W189">
        <v>3</v>
      </c>
      <c r="X189">
        <v>3</v>
      </c>
      <c r="Y189">
        <v>24</v>
      </c>
      <c r="Z189">
        <v>15</v>
      </c>
      <c r="AA189">
        <v>2</v>
      </c>
      <c r="AB189">
        <v>15</v>
      </c>
    </row>
    <row r="190" spans="1:28" x14ac:dyDescent="0.35">
      <c r="A190" s="2">
        <v>34</v>
      </c>
      <c r="B190" s="2" t="str" cm="1">
        <f t="array" ref="B190">_xlfn.IFS(HR_table[[#This Row],[Age]]&lt;=20, "Under 20yrs",HR_table[[#This Row],[Age]]&lt;=30,"(21-30)yrs",HR_table[[#This Row],[Age]]&lt;=40,"(31-40)yrs",HR_table[[#This Row],[Age]]&lt;=50,"(41-50)yrs",HR_table[[#This Row],[Age]]&lt;=60,"(51-60)yrs")</f>
        <v>(31-40)yrs</v>
      </c>
      <c r="C190" t="s">
        <v>43</v>
      </c>
      <c r="D190" t="s">
        <v>44</v>
      </c>
      <c r="E190" t="s">
        <v>45</v>
      </c>
      <c r="F190" t="s">
        <v>38</v>
      </c>
      <c r="G190" t="s">
        <v>53</v>
      </c>
      <c r="H190">
        <v>256</v>
      </c>
      <c r="I190" s="2">
        <v>2</v>
      </c>
      <c r="J190" s="2">
        <v>4</v>
      </c>
      <c r="K190" t="s">
        <v>46</v>
      </c>
      <c r="L190" s="2">
        <v>2</v>
      </c>
      <c r="M190" s="2">
        <v>3</v>
      </c>
      <c r="N190" t="s">
        <v>48</v>
      </c>
      <c r="O190" s="2">
        <v>9547</v>
      </c>
      <c r="P190" s="2">
        <v>14074</v>
      </c>
      <c r="Q190" s="2">
        <v>1</v>
      </c>
      <c r="R190" t="s">
        <v>43</v>
      </c>
      <c r="S190" s="2">
        <v>3</v>
      </c>
      <c r="T190" s="2">
        <v>3</v>
      </c>
      <c r="U190">
        <v>80</v>
      </c>
      <c r="V190" s="2">
        <v>10</v>
      </c>
      <c r="W190">
        <v>2</v>
      </c>
      <c r="X190">
        <v>2</v>
      </c>
      <c r="Y190">
        <v>10</v>
      </c>
      <c r="Z190">
        <v>9</v>
      </c>
      <c r="AA190">
        <v>1</v>
      </c>
      <c r="AB190">
        <v>9</v>
      </c>
    </row>
    <row r="191" spans="1:28" x14ac:dyDescent="0.35">
      <c r="A191" s="2">
        <v>51</v>
      </c>
      <c r="B191" s="2" t="str" cm="1">
        <f t="array" ref="B191">_xlfn.IFS(HR_table[[#This Row],[Age]]&lt;=20, "Under 20yrs",HR_table[[#This Row],[Age]]&lt;=30,"(21-30)yrs",HR_table[[#This Row],[Age]]&lt;=40,"(31-40)yrs",HR_table[[#This Row],[Age]]&lt;=50,"(41-50)yrs",HR_table[[#This Row],[Age]]&lt;=60,"(51-60)yrs")</f>
        <v>(51-60)yrs</v>
      </c>
      <c r="C191" t="s">
        <v>43</v>
      </c>
      <c r="D191" t="s">
        <v>36</v>
      </c>
      <c r="E191" t="s">
        <v>45</v>
      </c>
      <c r="F191" t="s">
        <v>51</v>
      </c>
      <c r="G191" t="s">
        <v>54</v>
      </c>
      <c r="H191">
        <v>258</v>
      </c>
      <c r="I191" s="2">
        <v>3</v>
      </c>
      <c r="J191" s="2">
        <v>4</v>
      </c>
      <c r="K191" t="s">
        <v>39</v>
      </c>
      <c r="L191" s="2">
        <v>4</v>
      </c>
      <c r="M191" s="2">
        <v>2</v>
      </c>
      <c r="N191" t="s">
        <v>41</v>
      </c>
      <c r="O191" s="2">
        <v>13734</v>
      </c>
      <c r="P191" s="2">
        <v>7192</v>
      </c>
      <c r="Q191" s="2">
        <v>3</v>
      </c>
      <c r="R191" t="s">
        <v>43</v>
      </c>
      <c r="S191" s="2">
        <v>3</v>
      </c>
      <c r="T191" s="2">
        <v>3</v>
      </c>
      <c r="U191">
        <v>80</v>
      </c>
      <c r="V191" s="2">
        <v>21</v>
      </c>
      <c r="W191">
        <v>6</v>
      </c>
      <c r="X191">
        <v>3</v>
      </c>
      <c r="Y191">
        <v>7</v>
      </c>
      <c r="Z191">
        <v>7</v>
      </c>
      <c r="AA191">
        <v>1</v>
      </c>
      <c r="AB191">
        <v>0</v>
      </c>
    </row>
    <row r="192" spans="1:28" x14ac:dyDescent="0.35">
      <c r="A192" s="2">
        <v>52</v>
      </c>
      <c r="B192" s="2" t="str" cm="1">
        <f t="array" ref="B192">_xlfn.IFS(HR_table[[#This Row],[Age]]&lt;=20, "Under 20yrs",HR_table[[#This Row],[Age]]&lt;=30,"(21-30)yrs",HR_table[[#This Row],[Age]]&lt;=40,"(31-40)yrs",HR_table[[#This Row],[Age]]&lt;=50,"(41-50)yrs",HR_table[[#This Row],[Age]]&lt;=60,"(51-60)yrs")</f>
        <v>(51-60)yrs</v>
      </c>
      <c r="C192" t="s">
        <v>43</v>
      </c>
      <c r="D192" t="s">
        <v>36</v>
      </c>
      <c r="E192" t="s">
        <v>45</v>
      </c>
      <c r="F192" t="s">
        <v>38</v>
      </c>
      <c r="G192" t="s">
        <v>56</v>
      </c>
      <c r="H192">
        <v>259</v>
      </c>
      <c r="I192" s="2">
        <v>1</v>
      </c>
      <c r="J192" s="2">
        <v>3</v>
      </c>
      <c r="K192" t="s">
        <v>46</v>
      </c>
      <c r="L192" s="2">
        <v>5</v>
      </c>
      <c r="M192" s="2">
        <v>3</v>
      </c>
      <c r="N192" t="s">
        <v>48</v>
      </c>
      <c r="O192" s="2">
        <v>19999</v>
      </c>
      <c r="P192" s="2">
        <v>5678</v>
      </c>
      <c r="Q192" s="2">
        <v>0</v>
      </c>
      <c r="R192" t="s">
        <v>43</v>
      </c>
      <c r="S192" s="2">
        <v>3</v>
      </c>
      <c r="T192" s="2">
        <v>1</v>
      </c>
      <c r="U192">
        <v>80</v>
      </c>
      <c r="V192" s="2">
        <v>34</v>
      </c>
      <c r="W192">
        <v>5</v>
      </c>
      <c r="X192">
        <v>3</v>
      </c>
      <c r="Y192">
        <v>33</v>
      </c>
      <c r="Z192">
        <v>18</v>
      </c>
      <c r="AA192">
        <v>11</v>
      </c>
      <c r="AB192">
        <v>9</v>
      </c>
    </row>
    <row r="193" spans="1:28" x14ac:dyDescent="0.35">
      <c r="A193" s="2">
        <v>27</v>
      </c>
      <c r="B193" s="2" t="str" cm="1">
        <f t="array" ref="B193">_xlfn.IFS(HR_table[[#This Row],[Age]]&lt;=20, "Under 20yrs",HR_table[[#This Row],[Age]]&lt;=30,"(21-30)yrs",HR_table[[#This Row],[Age]]&lt;=40,"(31-40)yrs",HR_table[[#This Row],[Age]]&lt;=50,"(41-50)yrs",HR_table[[#This Row],[Age]]&lt;=60,"(51-60)yrs")</f>
        <v>(21-30)yrs</v>
      </c>
      <c r="C193" t="s">
        <v>43</v>
      </c>
      <c r="D193" t="s">
        <v>36</v>
      </c>
      <c r="E193" t="s">
        <v>45</v>
      </c>
      <c r="F193" t="s">
        <v>51</v>
      </c>
      <c r="G193" t="s">
        <v>47</v>
      </c>
      <c r="H193">
        <v>260</v>
      </c>
      <c r="I193" s="2">
        <v>9</v>
      </c>
      <c r="J193" s="2">
        <v>4</v>
      </c>
      <c r="K193" t="s">
        <v>39</v>
      </c>
      <c r="L193" s="2">
        <v>1</v>
      </c>
      <c r="M193" s="2">
        <v>2</v>
      </c>
      <c r="N193" t="s">
        <v>41</v>
      </c>
      <c r="O193" s="2">
        <v>2279</v>
      </c>
      <c r="P193" s="2">
        <v>11781</v>
      </c>
      <c r="Q193" s="2">
        <v>1</v>
      </c>
      <c r="R193" t="s">
        <v>43</v>
      </c>
      <c r="S193" s="2">
        <v>3</v>
      </c>
      <c r="T193" s="2">
        <v>4</v>
      </c>
      <c r="U193">
        <v>80</v>
      </c>
      <c r="V193" s="2">
        <v>7</v>
      </c>
      <c r="W193">
        <v>2</v>
      </c>
      <c r="X193">
        <v>2</v>
      </c>
      <c r="Y193">
        <v>7</v>
      </c>
      <c r="Z193">
        <v>7</v>
      </c>
      <c r="AA193">
        <v>0</v>
      </c>
      <c r="AB193">
        <v>3</v>
      </c>
    </row>
    <row r="194" spans="1:28" x14ac:dyDescent="0.35">
      <c r="A194" s="2">
        <v>35</v>
      </c>
      <c r="B194" s="2" t="str" cm="1">
        <f t="array" ref="B194">_xlfn.IFS(HR_table[[#This Row],[Age]]&lt;=20, "Under 20yrs",HR_table[[#This Row],[Age]]&lt;=30,"(21-30)yrs",HR_table[[#This Row],[Age]]&lt;=40,"(31-40)yrs",HR_table[[#This Row],[Age]]&lt;=50,"(41-50)yrs",HR_table[[#This Row],[Age]]&lt;=60,"(51-60)yrs")</f>
        <v>(31-40)yrs</v>
      </c>
      <c r="C194" t="s">
        <v>35</v>
      </c>
      <c r="D194" t="s">
        <v>36</v>
      </c>
      <c r="E194" t="s">
        <v>45</v>
      </c>
      <c r="F194" t="s">
        <v>38</v>
      </c>
      <c r="G194" t="s">
        <v>53</v>
      </c>
      <c r="H194">
        <v>261</v>
      </c>
      <c r="I194" s="2">
        <v>23</v>
      </c>
      <c r="J194" s="2">
        <v>2</v>
      </c>
      <c r="K194" t="s">
        <v>46</v>
      </c>
      <c r="L194" s="2">
        <v>2</v>
      </c>
      <c r="M194" s="2">
        <v>3</v>
      </c>
      <c r="N194" t="s">
        <v>48</v>
      </c>
      <c r="O194" s="2">
        <v>5916</v>
      </c>
      <c r="P194" s="2">
        <v>15497</v>
      </c>
      <c r="Q194" s="2">
        <v>3</v>
      </c>
      <c r="R194" t="s">
        <v>35</v>
      </c>
      <c r="S194" s="2">
        <v>3</v>
      </c>
      <c r="T194" s="2">
        <v>1</v>
      </c>
      <c r="U194">
        <v>80</v>
      </c>
      <c r="V194" s="2">
        <v>8</v>
      </c>
      <c r="W194">
        <v>1</v>
      </c>
      <c r="X194">
        <v>3</v>
      </c>
      <c r="Y194">
        <v>1</v>
      </c>
      <c r="Z194">
        <v>0</v>
      </c>
      <c r="AA194">
        <v>0</v>
      </c>
      <c r="AB194">
        <v>1</v>
      </c>
    </row>
    <row r="195" spans="1:28" x14ac:dyDescent="0.35">
      <c r="A195" s="2">
        <v>43</v>
      </c>
      <c r="B195" s="2" t="str" cm="1">
        <f t="array" ref="B195">_xlfn.IFS(HR_table[[#This Row],[Age]]&lt;=20, "Under 20yrs",HR_table[[#This Row],[Age]]&lt;=30,"(21-30)yrs",HR_table[[#This Row],[Age]]&lt;=40,"(31-40)yrs",HR_table[[#This Row],[Age]]&lt;=50,"(41-50)yrs",HR_table[[#This Row],[Age]]&lt;=60,"(51-60)yrs")</f>
        <v>(41-50)yrs</v>
      </c>
      <c r="C195" t="s">
        <v>43</v>
      </c>
      <c r="D195" t="s">
        <v>55</v>
      </c>
      <c r="E195" t="s">
        <v>45</v>
      </c>
      <c r="F195" t="s">
        <v>51</v>
      </c>
      <c r="G195" t="s">
        <v>47</v>
      </c>
      <c r="H195">
        <v>262</v>
      </c>
      <c r="I195" s="2">
        <v>7</v>
      </c>
      <c r="J195" s="2">
        <v>4</v>
      </c>
      <c r="K195" t="s">
        <v>46</v>
      </c>
      <c r="L195" s="2">
        <v>1</v>
      </c>
      <c r="M195" s="2">
        <v>4</v>
      </c>
      <c r="N195" t="s">
        <v>52</v>
      </c>
      <c r="O195" s="2">
        <v>2089</v>
      </c>
      <c r="P195" s="2">
        <v>5228</v>
      </c>
      <c r="Q195" s="2">
        <v>4</v>
      </c>
      <c r="R195" t="s">
        <v>43</v>
      </c>
      <c r="S195" s="2">
        <v>3</v>
      </c>
      <c r="T195" s="2">
        <v>4</v>
      </c>
      <c r="U195">
        <v>80</v>
      </c>
      <c r="V195" s="2">
        <v>7</v>
      </c>
      <c r="W195">
        <v>3</v>
      </c>
      <c r="X195">
        <v>4</v>
      </c>
      <c r="Y195">
        <v>5</v>
      </c>
      <c r="Z195">
        <v>4</v>
      </c>
      <c r="AA195">
        <v>2</v>
      </c>
      <c r="AB195">
        <v>2</v>
      </c>
    </row>
    <row r="196" spans="1:28" x14ac:dyDescent="0.35">
      <c r="A196" s="2">
        <v>45</v>
      </c>
      <c r="B196" s="2" t="str" cm="1">
        <f t="array" ref="B196">_xlfn.IFS(HR_table[[#This Row],[Age]]&lt;=20, "Under 20yrs",HR_table[[#This Row],[Age]]&lt;=30,"(21-30)yrs",HR_table[[#This Row],[Age]]&lt;=40,"(31-40)yrs",HR_table[[#This Row],[Age]]&lt;=50,"(41-50)yrs",HR_table[[#This Row],[Age]]&lt;=60,"(51-60)yrs")</f>
        <v>(41-50)yrs</v>
      </c>
      <c r="C196" t="s">
        <v>43</v>
      </c>
      <c r="D196" t="s">
        <v>55</v>
      </c>
      <c r="E196" t="s">
        <v>45</v>
      </c>
      <c r="F196" t="s">
        <v>51</v>
      </c>
      <c r="G196" t="s">
        <v>56</v>
      </c>
      <c r="H196">
        <v>264</v>
      </c>
      <c r="I196" s="2">
        <v>2</v>
      </c>
      <c r="J196" s="2">
        <v>1</v>
      </c>
      <c r="K196" t="s">
        <v>46</v>
      </c>
      <c r="L196" s="2">
        <v>4</v>
      </c>
      <c r="M196" s="2">
        <v>4</v>
      </c>
      <c r="N196" t="s">
        <v>48</v>
      </c>
      <c r="O196" s="2">
        <v>16792</v>
      </c>
      <c r="P196" s="2">
        <v>20462</v>
      </c>
      <c r="Q196" s="2">
        <v>9</v>
      </c>
      <c r="R196" t="s">
        <v>43</v>
      </c>
      <c r="S196" s="2">
        <v>4</v>
      </c>
      <c r="T196" s="2">
        <v>4</v>
      </c>
      <c r="U196">
        <v>80</v>
      </c>
      <c r="V196" s="2">
        <v>22</v>
      </c>
      <c r="W196">
        <v>1</v>
      </c>
      <c r="X196">
        <v>3</v>
      </c>
      <c r="Y196">
        <v>20</v>
      </c>
      <c r="Z196">
        <v>8</v>
      </c>
      <c r="AA196">
        <v>11</v>
      </c>
      <c r="AB196">
        <v>8</v>
      </c>
    </row>
    <row r="197" spans="1:28" x14ac:dyDescent="0.35">
      <c r="A197" s="2">
        <v>37</v>
      </c>
      <c r="B197" s="2" t="str" cm="1">
        <f t="array" ref="B197">_xlfn.IFS(HR_table[[#This Row],[Age]]&lt;=20, "Under 20yrs",HR_table[[#This Row],[Age]]&lt;=30,"(21-30)yrs",HR_table[[#This Row],[Age]]&lt;=40,"(31-40)yrs",HR_table[[#This Row],[Age]]&lt;=50,"(41-50)yrs",HR_table[[#This Row],[Age]]&lt;=60,"(51-60)yrs")</f>
        <v>(31-40)yrs</v>
      </c>
      <c r="C197" t="s">
        <v>43</v>
      </c>
      <c r="D197" t="s">
        <v>36</v>
      </c>
      <c r="E197" t="s">
        <v>45</v>
      </c>
      <c r="F197" t="s">
        <v>38</v>
      </c>
      <c r="G197" t="s">
        <v>47</v>
      </c>
      <c r="H197">
        <v>267</v>
      </c>
      <c r="I197" s="2">
        <v>21</v>
      </c>
      <c r="J197" s="2">
        <v>2</v>
      </c>
      <c r="K197" t="s">
        <v>46</v>
      </c>
      <c r="L197" s="2">
        <v>1</v>
      </c>
      <c r="M197" s="2">
        <v>1</v>
      </c>
      <c r="N197" t="s">
        <v>48</v>
      </c>
      <c r="O197" s="2">
        <v>3564</v>
      </c>
      <c r="P197" s="2">
        <v>22977</v>
      </c>
      <c r="Q197" s="2">
        <v>1</v>
      </c>
      <c r="R197" t="s">
        <v>35</v>
      </c>
      <c r="S197" s="2">
        <v>3</v>
      </c>
      <c r="T197" s="2">
        <v>1</v>
      </c>
      <c r="U197">
        <v>80</v>
      </c>
      <c r="V197" s="2">
        <v>8</v>
      </c>
      <c r="W197">
        <v>3</v>
      </c>
      <c r="X197">
        <v>2</v>
      </c>
      <c r="Y197">
        <v>8</v>
      </c>
      <c r="Z197">
        <v>7</v>
      </c>
      <c r="AA197">
        <v>1</v>
      </c>
      <c r="AB197">
        <v>7</v>
      </c>
    </row>
    <row r="198" spans="1:28" x14ac:dyDescent="0.35">
      <c r="A198" s="2">
        <v>35</v>
      </c>
      <c r="B198" s="2" t="str" cm="1">
        <f t="array" ref="B198">_xlfn.IFS(HR_table[[#This Row],[Age]]&lt;=20, "Under 20yrs",HR_table[[#This Row],[Age]]&lt;=30,"(21-30)yrs",HR_table[[#This Row],[Age]]&lt;=40,"(31-40)yrs",HR_table[[#This Row],[Age]]&lt;=50,"(41-50)yrs",HR_table[[#This Row],[Age]]&lt;=60,"(51-60)yrs")</f>
        <v>(31-40)yrs</v>
      </c>
      <c r="C198" t="s">
        <v>43</v>
      </c>
      <c r="D198" t="s">
        <v>44</v>
      </c>
      <c r="E198" t="s">
        <v>45</v>
      </c>
      <c r="F198" t="s">
        <v>51</v>
      </c>
      <c r="G198" t="s">
        <v>50</v>
      </c>
      <c r="H198">
        <v>269</v>
      </c>
      <c r="I198" s="2">
        <v>2</v>
      </c>
      <c r="J198" s="2">
        <v>2</v>
      </c>
      <c r="K198" t="s">
        <v>39</v>
      </c>
      <c r="L198" s="2">
        <v>2</v>
      </c>
      <c r="M198" s="2">
        <v>2</v>
      </c>
      <c r="N198" t="s">
        <v>41</v>
      </c>
      <c r="O198" s="2">
        <v>4425</v>
      </c>
      <c r="P198" s="2">
        <v>15986</v>
      </c>
      <c r="Q198" s="2">
        <v>5</v>
      </c>
      <c r="R198" t="s">
        <v>43</v>
      </c>
      <c r="S198" s="2">
        <v>3</v>
      </c>
      <c r="T198" s="2">
        <v>4</v>
      </c>
      <c r="U198">
        <v>80</v>
      </c>
      <c r="V198" s="2">
        <v>10</v>
      </c>
      <c r="W198">
        <v>5</v>
      </c>
      <c r="X198">
        <v>3</v>
      </c>
      <c r="Y198">
        <v>6</v>
      </c>
      <c r="Z198">
        <v>2</v>
      </c>
      <c r="AA198">
        <v>1</v>
      </c>
      <c r="AB198">
        <v>2</v>
      </c>
    </row>
    <row r="199" spans="1:28" x14ac:dyDescent="0.35">
      <c r="A199" s="2">
        <v>42</v>
      </c>
      <c r="B199" s="2" t="str" cm="1">
        <f t="array" ref="B199">_xlfn.IFS(HR_table[[#This Row],[Age]]&lt;=20, "Under 20yrs",HR_table[[#This Row],[Age]]&lt;=30,"(21-30)yrs",HR_table[[#This Row],[Age]]&lt;=40,"(31-40)yrs",HR_table[[#This Row],[Age]]&lt;=50,"(41-50)yrs",HR_table[[#This Row],[Age]]&lt;=60,"(51-60)yrs")</f>
        <v>(41-50)yrs</v>
      </c>
      <c r="C199" t="s">
        <v>43</v>
      </c>
      <c r="D199" t="s">
        <v>55</v>
      </c>
      <c r="E199" t="s">
        <v>45</v>
      </c>
      <c r="F199" t="s">
        <v>51</v>
      </c>
      <c r="G199" t="s">
        <v>53</v>
      </c>
      <c r="H199">
        <v>270</v>
      </c>
      <c r="I199" s="2">
        <v>21</v>
      </c>
      <c r="J199" s="2">
        <v>3</v>
      </c>
      <c r="K199" t="s">
        <v>39</v>
      </c>
      <c r="L199" s="2">
        <v>2</v>
      </c>
      <c r="M199" s="2">
        <v>3</v>
      </c>
      <c r="N199" t="s">
        <v>52</v>
      </c>
      <c r="O199" s="2">
        <v>5265</v>
      </c>
      <c r="P199" s="2">
        <v>16439</v>
      </c>
      <c r="Q199" s="2">
        <v>2</v>
      </c>
      <c r="R199" t="s">
        <v>43</v>
      </c>
      <c r="S199" s="2">
        <v>3</v>
      </c>
      <c r="T199" s="2">
        <v>2</v>
      </c>
      <c r="U199">
        <v>80</v>
      </c>
      <c r="V199" s="2">
        <v>11</v>
      </c>
      <c r="W199">
        <v>5</v>
      </c>
      <c r="X199">
        <v>3</v>
      </c>
      <c r="Y199">
        <v>5</v>
      </c>
      <c r="Z199">
        <v>3</v>
      </c>
      <c r="AA199">
        <v>0</v>
      </c>
      <c r="AB199">
        <v>2</v>
      </c>
    </row>
    <row r="200" spans="1:28" x14ac:dyDescent="0.35">
      <c r="A200" s="2">
        <v>38</v>
      </c>
      <c r="B200" s="2" t="str" cm="1">
        <f t="array" ref="B200">_xlfn.IFS(HR_table[[#This Row],[Age]]&lt;=20, "Under 20yrs",HR_table[[#This Row],[Age]]&lt;=30,"(21-30)yrs",HR_table[[#This Row],[Age]]&lt;=40,"(31-40)yrs",HR_table[[#This Row],[Age]]&lt;=50,"(41-50)yrs",HR_table[[#This Row],[Age]]&lt;=60,"(51-60)yrs")</f>
        <v>(31-40)yrs</v>
      </c>
      <c r="C200" t="s">
        <v>43</v>
      </c>
      <c r="D200" t="s">
        <v>36</v>
      </c>
      <c r="E200" t="s">
        <v>45</v>
      </c>
      <c r="F200" t="s">
        <v>38</v>
      </c>
      <c r="G200" t="s">
        <v>53</v>
      </c>
      <c r="H200">
        <v>271</v>
      </c>
      <c r="I200" s="2">
        <v>2</v>
      </c>
      <c r="J200" s="2">
        <v>4</v>
      </c>
      <c r="K200" t="s">
        <v>46</v>
      </c>
      <c r="L200" s="2">
        <v>2</v>
      </c>
      <c r="M200" s="2">
        <v>3</v>
      </c>
      <c r="N200" t="s">
        <v>48</v>
      </c>
      <c r="O200" s="2">
        <v>6553</v>
      </c>
      <c r="P200" s="2">
        <v>7259</v>
      </c>
      <c r="Q200" s="2">
        <v>9</v>
      </c>
      <c r="R200" t="s">
        <v>43</v>
      </c>
      <c r="S200" s="2">
        <v>3</v>
      </c>
      <c r="T200" s="2">
        <v>2</v>
      </c>
      <c r="U200">
        <v>80</v>
      </c>
      <c r="V200" s="2">
        <v>14</v>
      </c>
      <c r="W200">
        <v>3</v>
      </c>
      <c r="X200">
        <v>3</v>
      </c>
      <c r="Y200">
        <v>1</v>
      </c>
      <c r="Z200">
        <v>0</v>
      </c>
      <c r="AA200">
        <v>0</v>
      </c>
      <c r="AB200">
        <v>0</v>
      </c>
    </row>
    <row r="201" spans="1:28" x14ac:dyDescent="0.35">
      <c r="A201" s="2">
        <v>38</v>
      </c>
      <c r="B201" s="2" t="str" cm="1">
        <f t="array" ref="B201">_xlfn.IFS(HR_table[[#This Row],[Age]]&lt;=20, "Under 20yrs",HR_table[[#This Row],[Age]]&lt;=30,"(21-30)yrs",HR_table[[#This Row],[Age]]&lt;=40,"(31-40)yrs",HR_table[[#This Row],[Age]]&lt;=50,"(41-50)yrs",HR_table[[#This Row],[Age]]&lt;=60,"(51-60)yrs")</f>
        <v>(31-40)yrs</v>
      </c>
      <c r="C201" t="s">
        <v>43</v>
      </c>
      <c r="D201" t="s">
        <v>36</v>
      </c>
      <c r="E201" t="s">
        <v>45</v>
      </c>
      <c r="F201" t="s">
        <v>60</v>
      </c>
      <c r="G201" t="s">
        <v>53</v>
      </c>
      <c r="H201">
        <v>273</v>
      </c>
      <c r="I201" s="2">
        <v>29</v>
      </c>
      <c r="J201" s="2">
        <v>4</v>
      </c>
      <c r="K201" t="s">
        <v>46</v>
      </c>
      <c r="L201" s="2">
        <v>2</v>
      </c>
      <c r="M201" s="2">
        <v>4</v>
      </c>
      <c r="N201" t="s">
        <v>48</v>
      </c>
      <c r="O201" s="2">
        <v>6261</v>
      </c>
      <c r="P201" s="2">
        <v>4185</v>
      </c>
      <c r="Q201" s="2">
        <v>3</v>
      </c>
      <c r="R201" t="s">
        <v>43</v>
      </c>
      <c r="S201" s="2">
        <v>3</v>
      </c>
      <c r="T201" s="2">
        <v>1</v>
      </c>
      <c r="U201">
        <v>80</v>
      </c>
      <c r="V201" s="2">
        <v>9</v>
      </c>
      <c r="W201">
        <v>3</v>
      </c>
      <c r="X201">
        <v>1</v>
      </c>
      <c r="Y201">
        <v>7</v>
      </c>
      <c r="Z201">
        <v>7</v>
      </c>
      <c r="AA201">
        <v>1</v>
      </c>
      <c r="AB201">
        <v>7</v>
      </c>
    </row>
    <row r="202" spans="1:28" x14ac:dyDescent="0.35">
      <c r="A202" s="2">
        <v>27</v>
      </c>
      <c r="B202" s="2" t="str" cm="1">
        <f t="array" ref="B202">_xlfn.IFS(HR_table[[#This Row],[Age]]&lt;=20, "Under 20yrs",HR_table[[#This Row],[Age]]&lt;=30,"(21-30)yrs",HR_table[[#This Row],[Age]]&lt;=40,"(31-40)yrs",HR_table[[#This Row],[Age]]&lt;=50,"(41-50)yrs",HR_table[[#This Row],[Age]]&lt;=60,"(51-60)yrs")</f>
        <v>(21-30)yrs</v>
      </c>
      <c r="C202" t="s">
        <v>43</v>
      </c>
      <c r="D202" t="s">
        <v>44</v>
      </c>
      <c r="E202" t="s">
        <v>45</v>
      </c>
      <c r="F202" t="s">
        <v>60</v>
      </c>
      <c r="G202" t="s">
        <v>53</v>
      </c>
      <c r="H202">
        <v>274</v>
      </c>
      <c r="I202" s="2">
        <v>1</v>
      </c>
      <c r="J202" s="2">
        <v>3</v>
      </c>
      <c r="K202" t="s">
        <v>46</v>
      </c>
      <c r="L202" s="2">
        <v>2</v>
      </c>
      <c r="M202" s="2">
        <v>1</v>
      </c>
      <c r="N202" t="s">
        <v>48</v>
      </c>
      <c r="O202" s="2">
        <v>4298</v>
      </c>
      <c r="P202" s="2">
        <v>9679</v>
      </c>
      <c r="Q202" s="2">
        <v>5</v>
      </c>
      <c r="R202" t="s">
        <v>43</v>
      </c>
      <c r="S202" s="2">
        <v>3</v>
      </c>
      <c r="T202" s="2">
        <v>3</v>
      </c>
      <c r="U202">
        <v>80</v>
      </c>
      <c r="V202" s="2">
        <v>6</v>
      </c>
      <c r="W202">
        <v>1</v>
      </c>
      <c r="X202">
        <v>3</v>
      </c>
      <c r="Y202">
        <v>2</v>
      </c>
      <c r="Z202">
        <v>2</v>
      </c>
      <c r="AA202">
        <v>2</v>
      </c>
      <c r="AB202">
        <v>0</v>
      </c>
    </row>
    <row r="203" spans="1:28" x14ac:dyDescent="0.35">
      <c r="A203" s="2">
        <v>49</v>
      </c>
      <c r="B203" s="2" t="str" cm="1">
        <f t="array" ref="B203">_xlfn.IFS(HR_table[[#This Row],[Age]]&lt;=20, "Under 20yrs",HR_table[[#This Row],[Age]]&lt;=30,"(21-30)yrs",HR_table[[#This Row],[Age]]&lt;=40,"(31-40)yrs",HR_table[[#This Row],[Age]]&lt;=50,"(41-50)yrs",HR_table[[#This Row],[Age]]&lt;=60,"(51-60)yrs")</f>
        <v>(41-50)yrs</v>
      </c>
      <c r="C203" t="s">
        <v>43</v>
      </c>
      <c r="D203" t="s">
        <v>55</v>
      </c>
      <c r="E203" t="s">
        <v>45</v>
      </c>
      <c r="F203" t="s">
        <v>38</v>
      </c>
      <c r="G203" t="s">
        <v>53</v>
      </c>
      <c r="H203">
        <v>275</v>
      </c>
      <c r="I203" s="2">
        <v>18</v>
      </c>
      <c r="J203" s="2">
        <v>4</v>
      </c>
      <c r="K203" t="s">
        <v>46</v>
      </c>
      <c r="L203" s="2">
        <v>2</v>
      </c>
      <c r="M203" s="2">
        <v>4</v>
      </c>
      <c r="N203" t="s">
        <v>52</v>
      </c>
      <c r="O203" s="2">
        <v>6804</v>
      </c>
      <c r="P203" s="2">
        <v>23793</v>
      </c>
      <c r="Q203" s="2">
        <v>1</v>
      </c>
      <c r="R203" t="s">
        <v>35</v>
      </c>
      <c r="S203" s="2">
        <v>3</v>
      </c>
      <c r="T203" s="2">
        <v>1</v>
      </c>
      <c r="U203">
        <v>80</v>
      </c>
      <c r="V203" s="2">
        <v>7</v>
      </c>
      <c r="W203">
        <v>0</v>
      </c>
      <c r="X203">
        <v>3</v>
      </c>
      <c r="Y203">
        <v>7</v>
      </c>
      <c r="Z203">
        <v>7</v>
      </c>
      <c r="AA203">
        <v>1</v>
      </c>
      <c r="AB203">
        <v>7</v>
      </c>
    </row>
    <row r="204" spans="1:28" x14ac:dyDescent="0.35">
      <c r="A204" s="2">
        <v>34</v>
      </c>
      <c r="B204" s="2" t="str" cm="1">
        <f t="array" ref="B204">_xlfn.IFS(HR_table[[#This Row],[Age]]&lt;=20, "Under 20yrs",HR_table[[#This Row],[Age]]&lt;=30,"(21-30)yrs",HR_table[[#This Row],[Age]]&lt;=40,"(31-40)yrs",HR_table[[#This Row],[Age]]&lt;=50,"(41-50)yrs",HR_table[[#This Row],[Age]]&lt;=60,"(51-60)yrs")</f>
        <v>(31-40)yrs</v>
      </c>
      <c r="C204" t="s">
        <v>43</v>
      </c>
      <c r="D204" t="s">
        <v>44</v>
      </c>
      <c r="E204" t="s">
        <v>45</v>
      </c>
      <c r="F204" t="s">
        <v>51</v>
      </c>
      <c r="G204" t="s">
        <v>47</v>
      </c>
      <c r="H204">
        <v>277</v>
      </c>
      <c r="I204" s="2">
        <v>10</v>
      </c>
      <c r="J204" s="2">
        <v>4</v>
      </c>
      <c r="K204" t="s">
        <v>46</v>
      </c>
      <c r="L204" s="2">
        <v>1</v>
      </c>
      <c r="M204" s="2">
        <v>3</v>
      </c>
      <c r="N204" t="s">
        <v>52</v>
      </c>
      <c r="O204" s="2">
        <v>3815</v>
      </c>
      <c r="P204" s="2">
        <v>5972</v>
      </c>
      <c r="Q204" s="2">
        <v>1</v>
      </c>
      <c r="R204" t="s">
        <v>35</v>
      </c>
      <c r="S204" s="2">
        <v>3</v>
      </c>
      <c r="T204" s="2">
        <v>4</v>
      </c>
      <c r="U204">
        <v>80</v>
      </c>
      <c r="V204" s="2">
        <v>5</v>
      </c>
      <c r="W204">
        <v>4</v>
      </c>
      <c r="X204">
        <v>4</v>
      </c>
      <c r="Y204">
        <v>5</v>
      </c>
      <c r="Z204">
        <v>3</v>
      </c>
      <c r="AA204">
        <v>2</v>
      </c>
      <c r="AB204">
        <v>0</v>
      </c>
    </row>
    <row r="205" spans="1:28" x14ac:dyDescent="0.35">
      <c r="A205" s="2">
        <v>40</v>
      </c>
      <c r="B205" s="2" t="str" cm="1">
        <f t="array" ref="B205">_xlfn.IFS(HR_table[[#This Row],[Age]]&lt;=20, "Under 20yrs",HR_table[[#This Row],[Age]]&lt;=30,"(21-30)yrs",HR_table[[#This Row],[Age]]&lt;=40,"(31-40)yrs",HR_table[[#This Row],[Age]]&lt;=50,"(41-50)yrs",HR_table[[#This Row],[Age]]&lt;=60,"(51-60)yrs")</f>
        <v>(31-40)yrs</v>
      </c>
      <c r="C205" t="s">
        <v>43</v>
      </c>
      <c r="D205" t="s">
        <v>36</v>
      </c>
      <c r="E205" t="s">
        <v>45</v>
      </c>
      <c r="F205" t="s">
        <v>51</v>
      </c>
      <c r="G205" t="s">
        <v>50</v>
      </c>
      <c r="H205">
        <v>281</v>
      </c>
      <c r="I205" s="2">
        <v>19</v>
      </c>
      <c r="J205" s="2">
        <v>3</v>
      </c>
      <c r="K205" t="s">
        <v>46</v>
      </c>
      <c r="L205" s="2">
        <v>2</v>
      </c>
      <c r="M205" s="2">
        <v>4</v>
      </c>
      <c r="N205" t="s">
        <v>48</v>
      </c>
      <c r="O205" s="2">
        <v>2741</v>
      </c>
      <c r="P205" s="2">
        <v>16523</v>
      </c>
      <c r="Q205" s="2">
        <v>8</v>
      </c>
      <c r="R205" t="s">
        <v>35</v>
      </c>
      <c r="S205" s="2">
        <v>3</v>
      </c>
      <c r="T205" s="2">
        <v>3</v>
      </c>
      <c r="U205">
        <v>80</v>
      </c>
      <c r="V205" s="2">
        <v>15</v>
      </c>
      <c r="W205">
        <v>2</v>
      </c>
      <c r="X205">
        <v>4</v>
      </c>
      <c r="Y205">
        <v>7</v>
      </c>
      <c r="Z205">
        <v>2</v>
      </c>
      <c r="AA205">
        <v>3</v>
      </c>
      <c r="AB205">
        <v>7</v>
      </c>
    </row>
    <row r="206" spans="1:28" x14ac:dyDescent="0.35">
      <c r="A206" s="2">
        <v>38</v>
      </c>
      <c r="B206" s="2" t="str" cm="1">
        <f t="array" ref="B206">_xlfn.IFS(HR_table[[#This Row],[Age]]&lt;=20, "Under 20yrs",HR_table[[#This Row],[Age]]&lt;=30,"(21-30)yrs",HR_table[[#This Row],[Age]]&lt;=40,"(31-40)yrs",HR_table[[#This Row],[Age]]&lt;=50,"(41-50)yrs",HR_table[[#This Row],[Age]]&lt;=60,"(51-60)yrs")</f>
        <v>(31-40)yrs</v>
      </c>
      <c r="C206" t="s">
        <v>35</v>
      </c>
      <c r="D206" t="s">
        <v>36</v>
      </c>
      <c r="E206" t="s">
        <v>45</v>
      </c>
      <c r="F206" t="s">
        <v>51</v>
      </c>
      <c r="G206" t="s">
        <v>54</v>
      </c>
      <c r="H206">
        <v>282</v>
      </c>
      <c r="I206" s="2">
        <v>29</v>
      </c>
      <c r="J206" s="2">
        <v>2</v>
      </c>
      <c r="K206" t="s">
        <v>46</v>
      </c>
      <c r="L206" s="2">
        <v>2</v>
      </c>
      <c r="M206" s="2">
        <v>1</v>
      </c>
      <c r="N206" t="s">
        <v>48</v>
      </c>
      <c r="O206" s="2">
        <v>6673</v>
      </c>
      <c r="P206" s="2">
        <v>11354</v>
      </c>
      <c r="Q206" s="2">
        <v>7</v>
      </c>
      <c r="R206" t="s">
        <v>35</v>
      </c>
      <c r="S206" s="2">
        <v>3</v>
      </c>
      <c r="T206" s="2">
        <v>2</v>
      </c>
      <c r="U206">
        <v>80</v>
      </c>
      <c r="V206" s="2">
        <v>17</v>
      </c>
      <c r="W206">
        <v>2</v>
      </c>
      <c r="X206">
        <v>3</v>
      </c>
      <c r="Y206">
        <v>1</v>
      </c>
      <c r="Z206">
        <v>0</v>
      </c>
      <c r="AA206">
        <v>0</v>
      </c>
      <c r="AB206">
        <v>0</v>
      </c>
    </row>
    <row r="207" spans="1:28" x14ac:dyDescent="0.35">
      <c r="A207" s="2">
        <v>29</v>
      </c>
      <c r="B207" s="2" t="str" cm="1">
        <f t="array" ref="B207">_xlfn.IFS(HR_table[[#This Row],[Age]]&lt;=20, "Under 20yrs",HR_table[[#This Row],[Age]]&lt;=30,"(21-30)yrs",HR_table[[#This Row],[Age]]&lt;=40,"(31-40)yrs",HR_table[[#This Row],[Age]]&lt;=50,"(41-50)yrs",HR_table[[#This Row],[Age]]&lt;=60,"(51-60)yrs")</f>
        <v>(21-30)yrs</v>
      </c>
      <c r="C207" t="s">
        <v>35</v>
      </c>
      <c r="D207" t="s">
        <v>36</v>
      </c>
      <c r="E207" t="s">
        <v>37</v>
      </c>
      <c r="F207" t="s">
        <v>59</v>
      </c>
      <c r="G207" t="s">
        <v>40</v>
      </c>
      <c r="H207">
        <v>283</v>
      </c>
      <c r="I207" s="2">
        <v>27</v>
      </c>
      <c r="J207" s="2">
        <v>2</v>
      </c>
      <c r="K207" t="s">
        <v>39</v>
      </c>
      <c r="L207" s="2">
        <v>3</v>
      </c>
      <c r="M207" s="2">
        <v>4</v>
      </c>
      <c r="N207" t="s">
        <v>48</v>
      </c>
      <c r="O207" s="2">
        <v>7639</v>
      </c>
      <c r="P207" s="2">
        <v>24525</v>
      </c>
      <c r="Q207" s="2">
        <v>1</v>
      </c>
      <c r="R207" t="s">
        <v>43</v>
      </c>
      <c r="S207" s="2">
        <v>4</v>
      </c>
      <c r="T207" s="2">
        <v>4</v>
      </c>
      <c r="U207">
        <v>80</v>
      </c>
      <c r="V207" s="2">
        <v>10</v>
      </c>
      <c r="W207">
        <v>3</v>
      </c>
      <c r="X207">
        <v>2</v>
      </c>
      <c r="Y207">
        <v>10</v>
      </c>
      <c r="Z207">
        <v>4</v>
      </c>
      <c r="AA207">
        <v>1</v>
      </c>
      <c r="AB207">
        <v>9</v>
      </c>
    </row>
    <row r="208" spans="1:28" x14ac:dyDescent="0.35">
      <c r="A208" s="2">
        <v>22</v>
      </c>
      <c r="B208" s="2" t="str" cm="1">
        <f t="array" ref="B208">_xlfn.IFS(HR_table[[#This Row],[Age]]&lt;=20, "Under 20yrs",HR_table[[#This Row],[Age]]&lt;=30,"(21-30)yrs",HR_table[[#This Row],[Age]]&lt;=40,"(31-40)yrs",HR_table[[#This Row],[Age]]&lt;=50,"(41-50)yrs",HR_table[[#This Row],[Age]]&lt;=60,"(51-60)yrs")</f>
        <v>(21-30)yrs</v>
      </c>
      <c r="C208" t="s">
        <v>43</v>
      </c>
      <c r="D208" t="s">
        <v>36</v>
      </c>
      <c r="E208" t="s">
        <v>45</v>
      </c>
      <c r="F208" t="s">
        <v>38</v>
      </c>
      <c r="G208" t="s">
        <v>47</v>
      </c>
      <c r="H208">
        <v>284</v>
      </c>
      <c r="I208" s="2">
        <v>5</v>
      </c>
      <c r="J208" s="2">
        <v>4</v>
      </c>
      <c r="K208" t="s">
        <v>46</v>
      </c>
      <c r="L208" s="2">
        <v>1</v>
      </c>
      <c r="M208" s="2">
        <v>2</v>
      </c>
      <c r="N208" t="s">
        <v>52</v>
      </c>
      <c r="O208" s="2">
        <v>2328</v>
      </c>
      <c r="P208" s="2">
        <v>12392</v>
      </c>
      <c r="Q208" s="2">
        <v>1</v>
      </c>
      <c r="R208" t="s">
        <v>35</v>
      </c>
      <c r="S208" s="2">
        <v>3</v>
      </c>
      <c r="T208" s="2">
        <v>1</v>
      </c>
      <c r="U208">
        <v>80</v>
      </c>
      <c r="V208" s="2">
        <v>4</v>
      </c>
      <c r="W208">
        <v>2</v>
      </c>
      <c r="X208">
        <v>2</v>
      </c>
      <c r="Y208">
        <v>4</v>
      </c>
      <c r="Z208">
        <v>2</v>
      </c>
      <c r="AA208">
        <v>2</v>
      </c>
      <c r="AB208">
        <v>2</v>
      </c>
    </row>
    <row r="209" spans="1:28" x14ac:dyDescent="0.35">
      <c r="A209" s="2">
        <v>36</v>
      </c>
      <c r="B209" s="2" t="str" cm="1">
        <f t="array" ref="B209">_xlfn.IFS(HR_table[[#This Row],[Age]]&lt;=20, "Under 20yrs",HR_table[[#This Row],[Age]]&lt;=30,"(21-30)yrs",HR_table[[#This Row],[Age]]&lt;=40,"(31-40)yrs",HR_table[[#This Row],[Age]]&lt;=50,"(41-50)yrs",HR_table[[#This Row],[Age]]&lt;=60,"(51-60)yrs")</f>
        <v>(31-40)yrs</v>
      </c>
      <c r="C209" t="s">
        <v>43</v>
      </c>
      <c r="D209" t="s">
        <v>44</v>
      </c>
      <c r="E209" t="s">
        <v>45</v>
      </c>
      <c r="F209" t="s">
        <v>51</v>
      </c>
      <c r="G209" t="s">
        <v>50</v>
      </c>
      <c r="H209">
        <v>286</v>
      </c>
      <c r="I209" s="2">
        <v>18</v>
      </c>
      <c r="J209" s="2">
        <v>2</v>
      </c>
      <c r="K209" t="s">
        <v>39</v>
      </c>
      <c r="L209" s="2">
        <v>1</v>
      </c>
      <c r="M209" s="2">
        <v>4</v>
      </c>
      <c r="N209" t="s">
        <v>41</v>
      </c>
      <c r="O209" s="2">
        <v>2153</v>
      </c>
      <c r="P209" s="2">
        <v>7703</v>
      </c>
      <c r="Q209" s="2">
        <v>1</v>
      </c>
      <c r="R209" t="s">
        <v>43</v>
      </c>
      <c r="S209" s="2">
        <v>3</v>
      </c>
      <c r="T209" s="2">
        <v>1</v>
      </c>
      <c r="U209">
        <v>80</v>
      </c>
      <c r="V209" s="2">
        <v>8</v>
      </c>
      <c r="W209">
        <v>2</v>
      </c>
      <c r="X209">
        <v>3</v>
      </c>
      <c r="Y209">
        <v>8</v>
      </c>
      <c r="Z209">
        <v>1</v>
      </c>
      <c r="AA209">
        <v>1</v>
      </c>
      <c r="AB209">
        <v>7</v>
      </c>
    </row>
    <row r="210" spans="1:28" x14ac:dyDescent="0.35">
      <c r="A210" s="2">
        <v>40</v>
      </c>
      <c r="B210" s="2" t="str" cm="1">
        <f t="array" ref="B210">_xlfn.IFS(HR_table[[#This Row],[Age]]&lt;=20, "Under 20yrs",HR_table[[#This Row],[Age]]&lt;=30,"(21-30)yrs",HR_table[[#This Row],[Age]]&lt;=40,"(31-40)yrs",HR_table[[#This Row],[Age]]&lt;=50,"(41-50)yrs",HR_table[[#This Row],[Age]]&lt;=60,"(51-60)yrs")</f>
        <v>(31-40)yrs</v>
      </c>
      <c r="C210" t="s">
        <v>43</v>
      </c>
      <c r="D210" t="s">
        <v>55</v>
      </c>
      <c r="E210" t="s">
        <v>45</v>
      </c>
      <c r="F210" t="s">
        <v>38</v>
      </c>
      <c r="G210" t="s">
        <v>54</v>
      </c>
      <c r="H210">
        <v>287</v>
      </c>
      <c r="I210" s="2">
        <v>9</v>
      </c>
      <c r="J210" s="2">
        <v>4</v>
      </c>
      <c r="K210" t="s">
        <v>46</v>
      </c>
      <c r="L210" s="2">
        <v>2</v>
      </c>
      <c r="M210" s="2">
        <v>4</v>
      </c>
      <c r="N210" t="s">
        <v>48</v>
      </c>
      <c r="O210" s="2">
        <v>4876</v>
      </c>
      <c r="P210" s="2">
        <v>14242</v>
      </c>
      <c r="Q210" s="2">
        <v>9</v>
      </c>
      <c r="R210" t="s">
        <v>43</v>
      </c>
      <c r="S210" s="2">
        <v>3</v>
      </c>
      <c r="T210" s="2">
        <v>4</v>
      </c>
      <c r="U210">
        <v>80</v>
      </c>
      <c r="V210" s="2">
        <v>5</v>
      </c>
      <c r="W210">
        <v>5</v>
      </c>
      <c r="X210">
        <v>1</v>
      </c>
      <c r="Y210">
        <v>3</v>
      </c>
      <c r="Z210">
        <v>2</v>
      </c>
      <c r="AA210">
        <v>0</v>
      </c>
      <c r="AB210">
        <v>2</v>
      </c>
    </row>
    <row r="211" spans="1:28" x14ac:dyDescent="0.35">
      <c r="A211" s="2">
        <v>46</v>
      </c>
      <c r="B211" s="2" t="str" cm="1">
        <f t="array" ref="B211">_xlfn.IFS(HR_table[[#This Row],[Age]]&lt;=20, "Under 20yrs",HR_table[[#This Row],[Age]]&lt;=30,"(21-30)yrs",HR_table[[#This Row],[Age]]&lt;=40,"(31-40)yrs",HR_table[[#This Row],[Age]]&lt;=50,"(41-50)yrs",HR_table[[#This Row],[Age]]&lt;=60,"(51-60)yrs")</f>
        <v>(41-50)yrs</v>
      </c>
      <c r="C211" t="s">
        <v>43</v>
      </c>
      <c r="D211" t="s">
        <v>36</v>
      </c>
      <c r="E211" t="s">
        <v>45</v>
      </c>
      <c r="F211" t="s">
        <v>51</v>
      </c>
      <c r="G211" t="s">
        <v>54</v>
      </c>
      <c r="H211">
        <v>288</v>
      </c>
      <c r="I211" s="2">
        <v>1</v>
      </c>
      <c r="J211" s="2">
        <v>4</v>
      </c>
      <c r="K211" t="s">
        <v>46</v>
      </c>
      <c r="L211" s="2">
        <v>3</v>
      </c>
      <c r="M211" s="2">
        <v>1</v>
      </c>
      <c r="N211" t="s">
        <v>52</v>
      </c>
      <c r="O211" s="2">
        <v>9396</v>
      </c>
      <c r="P211" s="2">
        <v>12368</v>
      </c>
      <c r="Q211" s="2">
        <v>7</v>
      </c>
      <c r="R211" t="s">
        <v>43</v>
      </c>
      <c r="S211" s="2">
        <v>3</v>
      </c>
      <c r="T211" s="2">
        <v>3</v>
      </c>
      <c r="U211">
        <v>80</v>
      </c>
      <c r="V211" s="2">
        <v>17</v>
      </c>
      <c r="W211">
        <v>3</v>
      </c>
      <c r="X211">
        <v>3</v>
      </c>
      <c r="Y211">
        <v>4</v>
      </c>
      <c r="Z211">
        <v>2</v>
      </c>
      <c r="AA211">
        <v>0</v>
      </c>
      <c r="AB211">
        <v>3</v>
      </c>
    </row>
    <row r="212" spans="1:28" x14ac:dyDescent="0.35">
      <c r="A212" s="2">
        <v>32</v>
      </c>
      <c r="B212" s="2" t="str" cm="1">
        <f t="array" ref="B212">_xlfn.IFS(HR_table[[#This Row],[Age]]&lt;=20, "Under 20yrs",HR_table[[#This Row],[Age]]&lt;=30,"(21-30)yrs",HR_table[[#This Row],[Age]]&lt;=40,"(31-40)yrs",HR_table[[#This Row],[Age]]&lt;=50,"(41-50)yrs",HR_table[[#This Row],[Age]]&lt;=60,"(51-60)yrs")</f>
        <v>(31-40)yrs</v>
      </c>
      <c r="C212" t="s">
        <v>35</v>
      </c>
      <c r="D212" t="s">
        <v>36</v>
      </c>
      <c r="E212" t="s">
        <v>37</v>
      </c>
      <c r="F212" t="s">
        <v>51</v>
      </c>
      <c r="G212" t="s">
        <v>40</v>
      </c>
      <c r="H212">
        <v>291</v>
      </c>
      <c r="I212" s="2">
        <v>4</v>
      </c>
      <c r="J212" s="2">
        <v>4</v>
      </c>
      <c r="K212" t="s">
        <v>46</v>
      </c>
      <c r="L212" s="2">
        <v>3</v>
      </c>
      <c r="M212" s="2">
        <v>4</v>
      </c>
      <c r="N212" t="s">
        <v>48</v>
      </c>
      <c r="O212" s="2">
        <v>10400</v>
      </c>
      <c r="P212" s="2">
        <v>25812</v>
      </c>
      <c r="Q212" s="2">
        <v>1</v>
      </c>
      <c r="R212" t="s">
        <v>43</v>
      </c>
      <c r="S212" s="2">
        <v>3</v>
      </c>
      <c r="T212" s="2">
        <v>3</v>
      </c>
      <c r="U212">
        <v>80</v>
      </c>
      <c r="V212" s="2">
        <v>14</v>
      </c>
      <c r="W212">
        <v>2</v>
      </c>
      <c r="X212">
        <v>2</v>
      </c>
      <c r="Y212">
        <v>14</v>
      </c>
      <c r="Z212">
        <v>8</v>
      </c>
      <c r="AA212">
        <v>9</v>
      </c>
      <c r="AB212">
        <v>8</v>
      </c>
    </row>
    <row r="213" spans="1:28" x14ac:dyDescent="0.35">
      <c r="A213" s="2">
        <v>30</v>
      </c>
      <c r="B213" s="2" t="str" cm="1">
        <f t="array" ref="B213">_xlfn.IFS(HR_table[[#This Row],[Age]]&lt;=20, "Under 20yrs",HR_table[[#This Row],[Age]]&lt;=30,"(21-30)yrs",HR_table[[#This Row],[Age]]&lt;=40,"(31-40)yrs",HR_table[[#This Row],[Age]]&lt;=50,"(41-50)yrs",HR_table[[#This Row],[Age]]&lt;=60,"(51-60)yrs")</f>
        <v>(21-30)yrs</v>
      </c>
      <c r="C213" t="s">
        <v>43</v>
      </c>
      <c r="D213" t="s">
        <v>55</v>
      </c>
      <c r="E213" t="s">
        <v>45</v>
      </c>
      <c r="F213" t="s">
        <v>38</v>
      </c>
      <c r="G213" t="s">
        <v>53</v>
      </c>
      <c r="H213">
        <v>292</v>
      </c>
      <c r="I213" s="2">
        <v>1</v>
      </c>
      <c r="J213" s="2">
        <v>3</v>
      </c>
      <c r="K213" t="s">
        <v>46</v>
      </c>
      <c r="L213" s="2">
        <v>3</v>
      </c>
      <c r="M213" s="2">
        <v>3</v>
      </c>
      <c r="N213" t="s">
        <v>41</v>
      </c>
      <c r="O213" s="2">
        <v>8474</v>
      </c>
      <c r="P213" s="2">
        <v>20925</v>
      </c>
      <c r="Q213" s="2">
        <v>1</v>
      </c>
      <c r="R213" t="s">
        <v>43</v>
      </c>
      <c r="S213" s="2">
        <v>4</v>
      </c>
      <c r="T213" s="2">
        <v>3</v>
      </c>
      <c r="U213">
        <v>80</v>
      </c>
      <c r="V213" s="2">
        <v>12</v>
      </c>
      <c r="W213">
        <v>2</v>
      </c>
      <c r="X213">
        <v>3</v>
      </c>
      <c r="Y213">
        <v>11</v>
      </c>
      <c r="Z213">
        <v>8</v>
      </c>
      <c r="AA213">
        <v>5</v>
      </c>
      <c r="AB213">
        <v>8</v>
      </c>
    </row>
    <row r="214" spans="1:28" x14ac:dyDescent="0.35">
      <c r="A214" s="2">
        <v>27</v>
      </c>
      <c r="B214" s="2" t="str" cm="1">
        <f t="array" ref="B214">_xlfn.IFS(HR_table[[#This Row],[Age]]&lt;=20, "Under 20yrs",HR_table[[#This Row],[Age]]&lt;=30,"(21-30)yrs",HR_table[[#This Row],[Age]]&lt;=40,"(31-40)yrs",HR_table[[#This Row],[Age]]&lt;=50,"(41-50)yrs",HR_table[[#This Row],[Age]]&lt;=60,"(51-60)yrs")</f>
        <v>(21-30)yrs</v>
      </c>
      <c r="C214" t="s">
        <v>43</v>
      </c>
      <c r="D214" t="s">
        <v>44</v>
      </c>
      <c r="E214" t="s">
        <v>37</v>
      </c>
      <c r="F214" t="s">
        <v>38</v>
      </c>
      <c r="G214" t="s">
        <v>40</v>
      </c>
      <c r="H214">
        <v>293</v>
      </c>
      <c r="I214" s="2">
        <v>20</v>
      </c>
      <c r="J214" s="2">
        <v>4</v>
      </c>
      <c r="K214" t="s">
        <v>39</v>
      </c>
      <c r="L214" s="2">
        <v>2</v>
      </c>
      <c r="M214" s="2">
        <v>3</v>
      </c>
      <c r="N214" t="s">
        <v>41</v>
      </c>
      <c r="O214" s="2">
        <v>9981</v>
      </c>
      <c r="P214" s="2">
        <v>12916</v>
      </c>
      <c r="Q214" s="2">
        <v>1</v>
      </c>
      <c r="R214" t="s">
        <v>43</v>
      </c>
      <c r="S214" s="2">
        <v>3</v>
      </c>
      <c r="T214" s="2">
        <v>4</v>
      </c>
      <c r="U214">
        <v>80</v>
      </c>
      <c r="V214" s="2">
        <v>7</v>
      </c>
      <c r="W214">
        <v>2</v>
      </c>
      <c r="X214">
        <v>3</v>
      </c>
      <c r="Y214">
        <v>7</v>
      </c>
      <c r="Z214">
        <v>7</v>
      </c>
      <c r="AA214">
        <v>0</v>
      </c>
      <c r="AB214">
        <v>7</v>
      </c>
    </row>
    <row r="215" spans="1:28" x14ac:dyDescent="0.35">
      <c r="A215" s="2">
        <v>51</v>
      </c>
      <c r="B215" s="2" t="str" cm="1">
        <f t="array" ref="B215">_xlfn.IFS(HR_table[[#This Row],[Age]]&lt;=20, "Under 20yrs",HR_table[[#This Row],[Age]]&lt;=30,"(21-30)yrs",HR_table[[#This Row],[Age]]&lt;=40,"(31-40)yrs",HR_table[[#This Row],[Age]]&lt;=50,"(41-50)yrs",HR_table[[#This Row],[Age]]&lt;=60,"(51-60)yrs")</f>
        <v>(51-60)yrs</v>
      </c>
      <c r="C215" t="s">
        <v>43</v>
      </c>
      <c r="D215" t="s">
        <v>36</v>
      </c>
      <c r="E215" t="s">
        <v>45</v>
      </c>
      <c r="F215" t="s">
        <v>38</v>
      </c>
      <c r="G215" t="s">
        <v>58</v>
      </c>
      <c r="H215">
        <v>296</v>
      </c>
      <c r="I215" s="2">
        <v>8</v>
      </c>
      <c r="J215" s="2">
        <v>2</v>
      </c>
      <c r="K215" t="s">
        <v>46</v>
      </c>
      <c r="L215" s="2">
        <v>3</v>
      </c>
      <c r="M215" s="2">
        <v>2</v>
      </c>
      <c r="N215" t="s">
        <v>48</v>
      </c>
      <c r="O215" s="2">
        <v>12490</v>
      </c>
      <c r="P215" s="2">
        <v>15736</v>
      </c>
      <c r="Q215" s="2">
        <v>5</v>
      </c>
      <c r="R215" t="s">
        <v>43</v>
      </c>
      <c r="S215" s="2">
        <v>3</v>
      </c>
      <c r="T215" s="2">
        <v>4</v>
      </c>
      <c r="U215">
        <v>80</v>
      </c>
      <c r="V215" s="2">
        <v>16</v>
      </c>
      <c r="W215">
        <v>5</v>
      </c>
      <c r="X215">
        <v>1</v>
      </c>
      <c r="Y215">
        <v>10</v>
      </c>
      <c r="Z215">
        <v>9</v>
      </c>
      <c r="AA215">
        <v>4</v>
      </c>
      <c r="AB215">
        <v>7</v>
      </c>
    </row>
    <row r="216" spans="1:28" x14ac:dyDescent="0.35">
      <c r="A216" s="2">
        <v>30</v>
      </c>
      <c r="B216" s="2" t="str" cm="1">
        <f t="array" ref="B216">_xlfn.IFS(HR_table[[#This Row],[Age]]&lt;=20, "Under 20yrs",HR_table[[#This Row],[Age]]&lt;=30,"(21-30)yrs",HR_table[[#This Row],[Age]]&lt;=40,"(31-40)yrs",HR_table[[#This Row],[Age]]&lt;=50,"(41-50)yrs",HR_table[[#This Row],[Age]]&lt;=60,"(51-60)yrs")</f>
        <v>(21-30)yrs</v>
      </c>
      <c r="C216" t="s">
        <v>35</v>
      </c>
      <c r="D216" t="s">
        <v>36</v>
      </c>
      <c r="E216" t="s">
        <v>45</v>
      </c>
      <c r="F216" t="s">
        <v>60</v>
      </c>
      <c r="G216" t="s">
        <v>47</v>
      </c>
      <c r="H216">
        <v>297</v>
      </c>
      <c r="I216" s="2">
        <v>3</v>
      </c>
      <c r="J216" s="2">
        <v>4</v>
      </c>
      <c r="K216" t="s">
        <v>39</v>
      </c>
      <c r="L216" s="2">
        <v>1</v>
      </c>
      <c r="M216" s="2">
        <v>1</v>
      </c>
      <c r="N216" t="s">
        <v>41</v>
      </c>
      <c r="O216" s="2">
        <v>2657</v>
      </c>
      <c r="P216" s="2">
        <v>8556</v>
      </c>
      <c r="Q216" s="2">
        <v>5</v>
      </c>
      <c r="R216" t="s">
        <v>35</v>
      </c>
      <c r="S216" s="2">
        <v>3</v>
      </c>
      <c r="T216" s="2">
        <v>3</v>
      </c>
      <c r="U216">
        <v>80</v>
      </c>
      <c r="V216" s="2">
        <v>8</v>
      </c>
      <c r="W216">
        <v>5</v>
      </c>
      <c r="X216">
        <v>3</v>
      </c>
      <c r="Y216">
        <v>5</v>
      </c>
      <c r="Z216">
        <v>2</v>
      </c>
      <c r="AA216">
        <v>0</v>
      </c>
      <c r="AB216">
        <v>4</v>
      </c>
    </row>
    <row r="217" spans="1:28" x14ac:dyDescent="0.35">
      <c r="A217" s="2">
        <v>41</v>
      </c>
      <c r="B217" s="2" t="str" cm="1">
        <f t="array" ref="B217">_xlfn.IFS(HR_table[[#This Row],[Age]]&lt;=20, "Under 20yrs",HR_table[[#This Row],[Age]]&lt;=30,"(21-30)yrs",HR_table[[#This Row],[Age]]&lt;=40,"(31-40)yrs",HR_table[[#This Row],[Age]]&lt;=50,"(41-50)yrs",HR_table[[#This Row],[Age]]&lt;=60,"(51-60)yrs")</f>
        <v>(41-50)yrs</v>
      </c>
      <c r="C217" t="s">
        <v>43</v>
      </c>
      <c r="D217" t="s">
        <v>36</v>
      </c>
      <c r="E217" t="s">
        <v>37</v>
      </c>
      <c r="F217" t="s">
        <v>38</v>
      </c>
      <c r="G217" t="s">
        <v>56</v>
      </c>
      <c r="H217">
        <v>298</v>
      </c>
      <c r="I217" s="2">
        <v>6</v>
      </c>
      <c r="J217" s="2">
        <v>4</v>
      </c>
      <c r="K217" t="s">
        <v>39</v>
      </c>
      <c r="L217" s="2">
        <v>3</v>
      </c>
      <c r="M217" s="2">
        <v>4</v>
      </c>
      <c r="N217" t="s">
        <v>41</v>
      </c>
      <c r="O217" s="2">
        <v>13591</v>
      </c>
      <c r="P217" s="2">
        <v>14674</v>
      </c>
      <c r="Q217" s="2">
        <v>3</v>
      </c>
      <c r="R217" t="s">
        <v>35</v>
      </c>
      <c r="S217" s="2">
        <v>3</v>
      </c>
      <c r="T217" s="2">
        <v>3</v>
      </c>
      <c r="U217">
        <v>80</v>
      </c>
      <c r="V217" s="2">
        <v>16</v>
      </c>
      <c r="W217">
        <v>3</v>
      </c>
      <c r="X217">
        <v>3</v>
      </c>
      <c r="Y217">
        <v>1</v>
      </c>
      <c r="Z217">
        <v>0</v>
      </c>
      <c r="AA217">
        <v>0</v>
      </c>
      <c r="AB217">
        <v>0</v>
      </c>
    </row>
    <row r="218" spans="1:28" x14ac:dyDescent="0.35">
      <c r="A218" s="2">
        <v>30</v>
      </c>
      <c r="B218" s="2" t="str" cm="1">
        <f t="array" ref="B218">_xlfn.IFS(HR_table[[#This Row],[Age]]&lt;=20, "Under 20yrs",HR_table[[#This Row],[Age]]&lt;=30,"(21-30)yrs",HR_table[[#This Row],[Age]]&lt;=40,"(31-40)yrs",HR_table[[#This Row],[Age]]&lt;=50,"(41-50)yrs",HR_table[[#This Row],[Age]]&lt;=60,"(51-60)yrs")</f>
        <v>(21-30)yrs</v>
      </c>
      <c r="C218" t="s">
        <v>35</v>
      </c>
      <c r="D218" t="s">
        <v>44</v>
      </c>
      <c r="E218" t="s">
        <v>37</v>
      </c>
      <c r="F218" t="s">
        <v>59</v>
      </c>
      <c r="G218" t="s">
        <v>40</v>
      </c>
      <c r="H218">
        <v>299</v>
      </c>
      <c r="I218" s="2">
        <v>26</v>
      </c>
      <c r="J218" s="2">
        <v>3</v>
      </c>
      <c r="K218" t="s">
        <v>39</v>
      </c>
      <c r="L218" s="2">
        <v>2</v>
      </c>
      <c r="M218" s="2">
        <v>1</v>
      </c>
      <c r="N218" t="s">
        <v>41</v>
      </c>
      <c r="O218" s="2">
        <v>6696</v>
      </c>
      <c r="P218" s="2">
        <v>22967</v>
      </c>
      <c r="Q218" s="2">
        <v>5</v>
      </c>
      <c r="R218" t="s">
        <v>43</v>
      </c>
      <c r="S218" s="2">
        <v>3</v>
      </c>
      <c r="T218" s="2">
        <v>3</v>
      </c>
      <c r="U218">
        <v>80</v>
      </c>
      <c r="V218" s="2">
        <v>9</v>
      </c>
      <c r="W218">
        <v>5</v>
      </c>
      <c r="X218">
        <v>2</v>
      </c>
      <c r="Y218">
        <v>6</v>
      </c>
      <c r="Z218">
        <v>3</v>
      </c>
      <c r="AA218">
        <v>0</v>
      </c>
      <c r="AB218">
        <v>1</v>
      </c>
    </row>
    <row r="219" spans="1:28" x14ac:dyDescent="0.35">
      <c r="A219" s="2">
        <v>29</v>
      </c>
      <c r="B219" s="2" t="str" cm="1">
        <f t="array" ref="B219">_xlfn.IFS(HR_table[[#This Row],[Age]]&lt;=20, "Under 20yrs",HR_table[[#This Row],[Age]]&lt;=30,"(21-30)yrs",HR_table[[#This Row],[Age]]&lt;=40,"(31-40)yrs",HR_table[[#This Row],[Age]]&lt;=50,"(41-50)yrs",HR_table[[#This Row],[Age]]&lt;=60,"(51-60)yrs")</f>
        <v>(21-30)yrs</v>
      </c>
      <c r="C219" t="s">
        <v>35</v>
      </c>
      <c r="D219" t="s">
        <v>36</v>
      </c>
      <c r="E219" t="s">
        <v>45</v>
      </c>
      <c r="F219" t="s">
        <v>60</v>
      </c>
      <c r="G219" t="s">
        <v>47</v>
      </c>
      <c r="H219">
        <v>300</v>
      </c>
      <c r="I219" s="2">
        <v>1</v>
      </c>
      <c r="J219" s="2">
        <v>3</v>
      </c>
      <c r="K219" t="s">
        <v>46</v>
      </c>
      <c r="L219" s="2">
        <v>1</v>
      </c>
      <c r="M219" s="2">
        <v>3</v>
      </c>
      <c r="N219" t="s">
        <v>41</v>
      </c>
      <c r="O219" s="2">
        <v>2058</v>
      </c>
      <c r="P219" s="2">
        <v>19757</v>
      </c>
      <c r="Q219" s="2">
        <v>0</v>
      </c>
      <c r="R219" t="s">
        <v>43</v>
      </c>
      <c r="S219" s="2">
        <v>3</v>
      </c>
      <c r="T219" s="2">
        <v>4</v>
      </c>
      <c r="U219">
        <v>80</v>
      </c>
      <c r="V219" s="2">
        <v>7</v>
      </c>
      <c r="W219">
        <v>1</v>
      </c>
      <c r="X219">
        <v>2</v>
      </c>
      <c r="Y219">
        <v>6</v>
      </c>
      <c r="Z219">
        <v>2</v>
      </c>
      <c r="AA219">
        <v>1</v>
      </c>
      <c r="AB219">
        <v>5</v>
      </c>
    </row>
    <row r="220" spans="1:28" x14ac:dyDescent="0.35">
      <c r="A220" s="2">
        <v>45</v>
      </c>
      <c r="B220" s="2" t="str" cm="1">
        <f t="array" ref="B220">_xlfn.IFS(HR_table[[#This Row],[Age]]&lt;=20, "Under 20yrs",HR_table[[#This Row],[Age]]&lt;=30,"(21-30)yrs",HR_table[[#This Row],[Age]]&lt;=40,"(31-40)yrs",HR_table[[#This Row],[Age]]&lt;=50,"(41-50)yrs",HR_table[[#This Row],[Age]]&lt;=60,"(51-60)yrs")</f>
        <v>(41-50)yrs</v>
      </c>
      <c r="C220" t="s">
        <v>43</v>
      </c>
      <c r="D220" t="s">
        <v>55</v>
      </c>
      <c r="E220" t="s">
        <v>37</v>
      </c>
      <c r="F220" t="s">
        <v>51</v>
      </c>
      <c r="G220" t="s">
        <v>40</v>
      </c>
      <c r="H220">
        <v>302</v>
      </c>
      <c r="I220" s="2">
        <v>6</v>
      </c>
      <c r="J220" s="2">
        <v>4</v>
      </c>
      <c r="K220" t="s">
        <v>39</v>
      </c>
      <c r="L220" s="2">
        <v>3</v>
      </c>
      <c r="M220" s="2">
        <v>4</v>
      </c>
      <c r="N220" t="s">
        <v>41</v>
      </c>
      <c r="O220" s="2">
        <v>8865</v>
      </c>
      <c r="P220" s="2">
        <v>16840</v>
      </c>
      <c r="Q220" s="2">
        <v>6</v>
      </c>
      <c r="R220" t="s">
        <v>43</v>
      </c>
      <c r="S220" s="2">
        <v>3</v>
      </c>
      <c r="T220" s="2">
        <v>4</v>
      </c>
      <c r="U220">
        <v>80</v>
      </c>
      <c r="V220" s="2">
        <v>23</v>
      </c>
      <c r="W220">
        <v>2</v>
      </c>
      <c r="X220">
        <v>3</v>
      </c>
      <c r="Y220">
        <v>19</v>
      </c>
      <c r="Z220">
        <v>7</v>
      </c>
      <c r="AA220">
        <v>12</v>
      </c>
      <c r="AB220">
        <v>8</v>
      </c>
    </row>
    <row r="221" spans="1:28" x14ac:dyDescent="0.35">
      <c r="A221" s="2">
        <v>54</v>
      </c>
      <c r="B221" s="2" t="str" cm="1">
        <f t="array" ref="B221">_xlfn.IFS(HR_table[[#This Row],[Age]]&lt;=20, "Under 20yrs",HR_table[[#This Row],[Age]]&lt;=30,"(21-30)yrs",HR_table[[#This Row],[Age]]&lt;=40,"(31-40)yrs",HR_table[[#This Row],[Age]]&lt;=50,"(41-50)yrs",HR_table[[#This Row],[Age]]&lt;=60,"(51-60)yrs")</f>
        <v>(51-60)yrs</v>
      </c>
      <c r="C221" t="s">
        <v>43</v>
      </c>
      <c r="D221" t="s">
        <v>36</v>
      </c>
      <c r="E221" t="s">
        <v>37</v>
      </c>
      <c r="F221" t="s">
        <v>59</v>
      </c>
      <c r="G221" t="s">
        <v>40</v>
      </c>
      <c r="H221">
        <v>303</v>
      </c>
      <c r="I221" s="2">
        <v>3</v>
      </c>
      <c r="J221" s="2">
        <v>4</v>
      </c>
      <c r="K221" t="s">
        <v>39</v>
      </c>
      <c r="L221" s="2">
        <v>2</v>
      </c>
      <c r="M221" s="2">
        <v>1</v>
      </c>
      <c r="N221" t="s">
        <v>48</v>
      </c>
      <c r="O221" s="2">
        <v>5940</v>
      </c>
      <c r="P221" s="2">
        <v>17011</v>
      </c>
      <c r="Q221" s="2">
        <v>2</v>
      </c>
      <c r="R221" t="s">
        <v>43</v>
      </c>
      <c r="S221" s="2">
        <v>3</v>
      </c>
      <c r="T221" s="2">
        <v>4</v>
      </c>
      <c r="U221">
        <v>80</v>
      </c>
      <c r="V221" s="2">
        <v>16</v>
      </c>
      <c r="W221">
        <v>4</v>
      </c>
      <c r="X221">
        <v>3</v>
      </c>
      <c r="Y221">
        <v>6</v>
      </c>
      <c r="Z221">
        <v>2</v>
      </c>
      <c r="AA221">
        <v>0</v>
      </c>
      <c r="AB221">
        <v>5</v>
      </c>
    </row>
    <row r="222" spans="1:28" x14ac:dyDescent="0.35">
      <c r="A222" s="2">
        <v>36</v>
      </c>
      <c r="B222" s="2" t="str" cm="1">
        <f t="array" ref="B222">_xlfn.IFS(HR_table[[#This Row],[Age]]&lt;=20, "Under 20yrs",HR_table[[#This Row],[Age]]&lt;=30,"(21-30)yrs",HR_table[[#This Row],[Age]]&lt;=40,"(31-40)yrs",HR_table[[#This Row],[Age]]&lt;=50,"(41-50)yrs",HR_table[[#This Row],[Age]]&lt;=60,"(51-60)yrs")</f>
        <v>(31-40)yrs</v>
      </c>
      <c r="C222" t="s">
        <v>43</v>
      </c>
      <c r="D222" t="s">
        <v>36</v>
      </c>
      <c r="E222" t="s">
        <v>45</v>
      </c>
      <c r="F222" t="s">
        <v>38</v>
      </c>
      <c r="G222" t="s">
        <v>50</v>
      </c>
      <c r="H222">
        <v>304</v>
      </c>
      <c r="I222" s="2">
        <v>5</v>
      </c>
      <c r="J222" s="2">
        <v>4</v>
      </c>
      <c r="K222" t="s">
        <v>46</v>
      </c>
      <c r="L222" s="2">
        <v>2</v>
      </c>
      <c r="M222" s="2">
        <v>2</v>
      </c>
      <c r="N222" t="s">
        <v>41</v>
      </c>
      <c r="O222" s="2">
        <v>5914</v>
      </c>
      <c r="P222" s="2">
        <v>9945</v>
      </c>
      <c r="Q222" s="2">
        <v>8</v>
      </c>
      <c r="R222" t="s">
        <v>43</v>
      </c>
      <c r="S222" s="2">
        <v>3</v>
      </c>
      <c r="T222" s="2">
        <v>4</v>
      </c>
      <c r="U222">
        <v>80</v>
      </c>
      <c r="V222" s="2">
        <v>16</v>
      </c>
      <c r="W222">
        <v>3</v>
      </c>
      <c r="X222">
        <v>4</v>
      </c>
      <c r="Y222">
        <v>13</v>
      </c>
      <c r="Z222">
        <v>11</v>
      </c>
      <c r="AA222">
        <v>3</v>
      </c>
      <c r="AB222">
        <v>7</v>
      </c>
    </row>
    <row r="223" spans="1:28" x14ac:dyDescent="0.35">
      <c r="A223" s="2">
        <v>33</v>
      </c>
      <c r="B223" s="2" t="str" cm="1">
        <f t="array" ref="B223">_xlfn.IFS(HR_table[[#This Row],[Age]]&lt;=20, "Under 20yrs",HR_table[[#This Row],[Age]]&lt;=30,"(21-30)yrs",HR_table[[#This Row],[Age]]&lt;=40,"(31-40)yrs",HR_table[[#This Row],[Age]]&lt;=50,"(41-50)yrs",HR_table[[#This Row],[Age]]&lt;=60,"(51-60)yrs")</f>
        <v>(31-40)yrs</v>
      </c>
      <c r="C223" t="s">
        <v>43</v>
      </c>
      <c r="D223" t="s">
        <v>36</v>
      </c>
      <c r="E223" t="s">
        <v>45</v>
      </c>
      <c r="F223" t="s">
        <v>51</v>
      </c>
      <c r="G223" t="s">
        <v>47</v>
      </c>
      <c r="H223">
        <v>305</v>
      </c>
      <c r="I223" s="2">
        <v>4</v>
      </c>
      <c r="J223" s="2">
        <v>3</v>
      </c>
      <c r="K223" t="s">
        <v>39</v>
      </c>
      <c r="L223" s="2">
        <v>1</v>
      </c>
      <c r="M223" s="2">
        <v>2</v>
      </c>
      <c r="N223" t="s">
        <v>48</v>
      </c>
      <c r="O223" s="2">
        <v>2622</v>
      </c>
      <c r="P223" s="2">
        <v>13248</v>
      </c>
      <c r="Q223" s="2">
        <v>6</v>
      </c>
      <c r="R223" t="s">
        <v>43</v>
      </c>
      <c r="S223" s="2">
        <v>4</v>
      </c>
      <c r="T223" s="2">
        <v>4</v>
      </c>
      <c r="U223">
        <v>80</v>
      </c>
      <c r="V223" s="2">
        <v>7</v>
      </c>
      <c r="W223">
        <v>3</v>
      </c>
      <c r="X223">
        <v>3</v>
      </c>
      <c r="Y223">
        <v>3</v>
      </c>
      <c r="Z223">
        <v>2</v>
      </c>
      <c r="AA223">
        <v>1</v>
      </c>
      <c r="AB223">
        <v>1</v>
      </c>
    </row>
    <row r="224" spans="1:28" x14ac:dyDescent="0.35">
      <c r="A224" s="2">
        <v>37</v>
      </c>
      <c r="B224" s="2" t="str" cm="1">
        <f t="array" ref="B224">_xlfn.IFS(HR_table[[#This Row],[Age]]&lt;=20, "Under 20yrs",HR_table[[#This Row],[Age]]&lt;=30,"(21-30)yrs",HR_table[[#This Row],[Age]]&lt;=40,"(31-40)yrs",HR_table[[#This Row],[Age]]&lt;=50,"(41-50)yrs",HR_table[[#This Row],[Age]]&lt;=60,"(51-60)yrs")</f>
        <v>(31-40)yrs</v>
      </c>
      <c r="C224" t="s">
        <v>43</v>
      </c>
      <c r="D224" t="s">
        <v>44</v>
      </c>
      <c r="E224" t="s">
        <v>45</v>
      </c>
      <c r="F224" t="s">
        <v>49</v>
      </c>
      <c r="G224" t="s">
        <v>58</v>
      </c>
      <c r="H224">
        <v>306</v>
      </c>
      <c r="I224" s="2">
        <v>11</v>
      </c>
      <c r="J224" s="2">
        <v>2</v>
      </c>
      <c r="K224" t="s">
        <v>46</v>
      </c>
      <c r="L224" s="2">
        <v>3</v>
      </c>
      <c r="M224" s="2">
        <v>4</v>
      </c>
      <c r="N224" t="s">
        <v>52</v>
      </c>
      <c r="O224" s="2">
        <v>12185</v>
      </c>
      <c r="P224" s="2">
        <v>10056</v>
      </c>
      <c r="Q224" s="2">
        <v>1</v>
      </c>
      <c r="R224" t="s">
        <v>35</v>
      </c>
      <c r="S224" s="2">
        <v>3</v>
      </c>
      <c r="T224" s="2">
        <v>3</v>
      </c>
      <c r="U224">
        <v>80</v>
      </c>
      <c r="V224" s="2">
        <v>10</v>
      </c>
      <c r="W224">
        <v>1</v>
      </c>
      <c r="X224">
        <v>3</v>
      </c>
      <c r="Y224">
        <v>10</v>
      </c>
      <c r="Z224">
        <v>8</v>
      </c>
      <c r="AA224">
        <v>0</v>
      </c>
      <c r="AB224">
        <v>7</v>
      </c>
    </row>
    <row r="225" spans="1:28" x14ac:dyDescent="0.35">
      <c r="A225" s="2">
        <v>38</v>
      </c>
      <c r="B225" s="2" t="str" cm="1">
        <f t="array" ref="B225">_xlfn.IFS(HR_table[[#This Row],[Age]]&lt;=20, "Under 20yrs",HR_table[[#This Row],[Age]]&lt;=30,"(21-30)yrs",HR_table[[#This Row],[Age]]&lt;=40,"(31-40)yrs",HR_table[[#This Row],[Age]]&lt;=50,"(41-50)yrs",HR_table[[#This Row],[Age]]&lt;=60,"(51-60)yrs")</f>
        <v>(31-40)yrs</v>
      </c>
      <c r="C225" t="s">
        <v>43</v>
      </c>
      <c r="D225" t="s">
        <v>36</v>
      </c>
      <c r="E225" t="s">
        <v>37</v>
      </c>
      <c r="F225" t="s">
        <v>38</v>
      </c>
      <c r="G225" t="s">
        <v>40</v>
      </c>
      <c r="H225">
        <v>307</v>
      </c>
      <c r="I225" s="2">
        <v>3</v>
      </c>
      <c r="J225" s="2">
        <v>1</v>
      </c>
      <c r="K225" t="s">
        <v>46</v>
      </c>
      <c r="L225" s="2">
        <v>3</v>
      </c>
      <c r="M225" s="2">
        <v>3</v>
      </c>
      <c r="N225" t="s">
        <v>52</v>
      </c>
      <c r="O225" s="2">
        <v>10609</v>
      </c>
      <c r="P225" s="2">
        <v>9647</v>
      </c>
      <c r="Q225" s="2">
        <v>0</v>
      </c>
      <c r="R225" t="s">
        <v>43</v>
      </c>
      <c r="S225" s="2">
        <v>3</v>
      </c>
      <c r="T225" s="2">
        <v>3</v>
      </c>
      <c r="U225">
        <v>80</v>
      </c>
      <c r="V225" s="2">
        <v>17</v>
      </c>
      <c r="W225">
        <v>6</v>
      </c>
      <c r="X225">
        <v>2</v>
      </c>
      <c r="Y225">
        <v>16</v>
      </c>
      <c r="Z225">
        <v>10</v>
      </c>
      <c r="AA225">
        <v>5</v>
      </c>
      <c r="AB225">
        <v>13</v>
      </c>
    </row>
    <row r="226" spans="1:28" x14ac:dyDescent="0.35">
      <c r="A226" s="2">
        <v>31</v>
      </c>
      <c r="B226" s="2" t="str" cm="1">
        <f t="array" ref="B226">_xlfn.IFS(HR_table[[#This Row],[Age]]&lt;=20, "Under 20yrs",HR_table[[#This Row],[Age]]&lt;=30,"(21-30)yrs",HR_table[[#This Row],[Age]]&lt;=40,"(31-40)yrs",HR_table[[#This Row],[Age]]&lt;=50,"(41-50)yrs",HR_table[[#This Row],[Age]]&lt;=60,"(51-60)yrs")</f>
        <v>(31-40)yrs</v>
      </c>
      <c r="C226" t="s">
        <v>43</v>
      </c>
      <c r="D226" t="s">
        <v>55</v>
      </c>
      <c r="E226" t="s">
        <v>45</v>
      </c>
      <c r="F226" t="s">
        <v>51</v>
      </c>
      <c r="G226" t="s">
        <v>53</v>
      </c>
      <c r="H226">
        <v>308</v>
      </c>
      <c r="I226" s="2">
        <v>1</v>
      </c>
      <c r="J226" s="2">
        <v>3</v>
      </c>
      <c r="K226" t="s">
        <v>46</v>
      </c>
      <c r="L226" s="2">
        <v>2</v>
      </c>
      <c r="M226" s="2">
        <v>3</v>
      </c>
      <c r="N226" t="s">
        <v>48</v>
      </c>
      <c r="O226" s="2">
        <v>4345</v>
      </c>
      <c r="P226" s="2">
        <v>4381</v>
      </c>
      <c r="Q226" s="2">
        <v>0</v>
      </c>
      <c r="R226" t="s">
        <v>43</v>
      </c>
      <c r="S226" s="2">
        <v>3</v>
      </c>
      <c r="T226" s="2">
        <v>4</v>
      </c>
      <c r="U226">
        <v>80</v>
      </c>
      <c r="V226" s="2">
        <v>6</v>
      </c>
      <c r="W226">
        <v>2</v>
      </c>
      <c r="X226">
        <v>3</v>
      </c>
      <c r="Y226">
        <v>5</v>
      </c>
      <c r="Z226">
        <v>4</v>
      </c>
      <c r="AA226">
        <v>1</v>
      </c>
      <c r="AB226">
        <v>4</v>
      </c>
    </row>
    <row r="227" spans="1:28" x14ac:dyDescent="0.35">
      <c r="A227" s="2">
        <v>59</v>
      </c>
      <c r="B227" s="2" t="str" cm="1">
        <f t="array" ref="B227">_xlfn.IFS(HR_table[[#This Row],[Age]]&lt;=20, "Under 20yrs",HR_table[[#This Row],[Age]]&lt;=30,"(21-30)yrs",HR_table[[#This Row],[Age]]&lt;=40,"(31-40)yrs",HR_table[[#This Row],[Age]]&lt;=50,"(41-50)yrs",HR_table[[#This Row],[Age]]&lt;=60,"(51-60)yrs")</f>
        <v>(51-60)yrs</v>
      </c>
      <c r="C227" t="s">
        <v>43</v>
      </c>
      <c r="D227" t="s">
        <v>36</v>
      </c>
      <c r="E227" t="s">
        <v>45</v>
      </c>
      <c r="F227" t="s">
        <v>38</v>
      </c>
      <c r="G227" t="s">
        <v>47</v>
      </c>
      <c r="H227">
        <v>309</v>
      </c>
      <c r="I227" s="2">
        <v>3</v>
      </c>
      <c r="J227" s="2">
        <v>3</v>
      </c>
      <c r="K227" t="s">
        <v>46</v>
      </c>
      <c r="L227" s="2">
        <v>1</v>
      </c>
      <c r="M227" s="2">
        <v>4</v>
      </c>
      <c r="N227" t="s">
        <v>48</v>
      </c>
      <c r="O227" s="2">
        <v>2177</v>
      </c>
      <c r="P227" s="2">
        <v>8456</v>
      </c>
      <c r="Q227" s="2">
        <v>3</v>
      </c>
      <c r="R227" t="s">
        <v>43</v>
      </c>
      <c r="S227" s="2">
        <v>3</v>
      </c>
      <c r="T227" s="2">
        <v>1</v>
      </c>
      <c r="U227">
        <v>80</v>
      </c>
      <c r="V227" s="2">
        <v>7</v>
      </c>
      <c r="W227">
        <v>6</v>
      </c>
      <c r="X227">
        <v>3</v>
      </c>
      <c r="Y227">
        <v>1</v>
      </c>
      <c r="Z227">
        <v>0</v>
      </c>
      <c r="AA227">
        <v>0</v>
      </c>
      <c r="AB227">
        <v>0</v>
      </c>
    </row>
    <row r="228" spans="1:28" x14ac:dyDescent="0.35">
      <c r="A228" s="2">
        <v>37</v>
      </c>
      <c r="B228" s="2" t="str" cm="1">
        <f t="array" ref="B228">_xlfn.IFS(HR_table[[#This Row],[Age]]&lt;=20, "Under 20yrs",HR_table[[#This Row],[Age]]&lt;=30,"(21-30)yrs",HR_table[[#This Row],[Age]]&lt;=40,"(31-40)yrs",HR_table[[#This Row],[Age]]&lt;=50,"(41-50)yrs",HR_table[[#This Row],[Age]]&lt;=60,"(51-60)yrs")</f>
        <v>(31-40)yrs</v>
      </c>
      <c r="C228" t="s">
        <v>43</v>
      </c>
      <c r="D228" t="s">
        <v>44</v>
      </c>
      <c r="E228" t="s">
        <v>37</v>
      </c>
      <c r="F228" t="s">
        <v>59</v>
      </c>
      <c r="G228" t="s">
        <v>57</v>
      </c>
      <c r="H228">
        <v>311</v>
      </c>
      <c r="I228" s="2">
        <v>4</v>
      </c>
      <c r="J228" s="2">
        <v>1</v>
      </c>
      <c r="K228" t="s">
        <v>46</v>
      </c>
      <c r="L228" s="2">
        <v>1</v>
      </c>
      <c r="M228" s="2">
        <v>4</v>
      </c>
      <c r="N228" t="s">
        <v>52</v>
      </c>
      <c r="O228" s="2">
        <v>2793</v>
      </c>
      <c r="P228" s="2">
        <v>2539</v>
      </c>
      <c r="Q228" s="2">
        <v>4</v>
      </c>
      <c r="R228" t="s">
        <v>43</v>
      </c>
      <c r="S228" s="2">
        <v>3</v>
      </c>
      <c r="T228" s="2">
        <v>3</v>
      </c>
      <c r="U228">
        <v>80</v>
      </c>
      <c r="V228" s="2">
        <v>13</v>
      </c>
      <c r="W228">
        <v>2</v>
      </c>
      <c r="X228">
        <v>3</v>
      </c>
      <c r="Y228">
        <v>9</v>
      </c>
      <c r="Z228">
        <v>8</v>
      </c>
      <c r="AA228">
        <v>5</v>
      </c>
      <c r="AB228">
        <v>8</v>
      </c>
    </row>
    <row r="229" spans="1:28" x14ac:dyDescent="0.35">
      <c r="A229" s="2">
        <v>29</v>
      </c>
      <c r="B229" s="2" t="str" cm="1">
        <f t="array" ref="B229">_xlfn.IFS(HR_table[[#This Row],[Age]]&lt;=20, "Under 20yrs",HR_table[[#This Row],[Age]]&lt;=30,"(21-30)yrs",HR_table[[#This Row],[Age]]&lt;=40,"(31-40)yrs",HR_table[[#This Row],[Age]]&lt;=50,"(41-50)yrs",HR_table[[#This Row],[Age]]&lt;=60,"(51-60)yrs")</f>
        <v>(21-30)yrs</v>
      </c>
      <c r="C229" t="s">
        <v>43</v>
      </c>
      <c r="D229" t="s">
        <v>44</v>
      </c>
      <c r="E229" t="s">
        <v>37</v>
      </c>
      <c r="F229" t="s">
        <v>51</v>
      </c>
      <c r="G229" t="s">
        <v>40</v>
      </c>
      <c r="H229">
        <v>312</v>
      </c>
      <c r="I229" s="2">
        <v>1</v>
      </c>
      <c r="J229" s="2">
        <v>2</v>
      </c>
      <c r="K229" t="s">
        <v>39</v>
      </c>
      <c r="L229" s="2">
        <v>3</v>
      </c>
      <c r="M229" s="2">
        <v>4</v>
      </c>
      <c r="N229" t="s">
        <v>48</v>
      </c>
      <c r="O229" s="2">
        <v>7918</v>
      </c>
      <c r="P229" s="2">
        <v>6599</v>
      </c>
      <c r="Q229" s="2">
        <v>1</v>
      </c>
      <c r="R229" t="s">
        <v>43</v>
      </c>
      <c r="S229" s="2">
        <v>3</v>
      </c>
      <c r="T229" s="2">
        <v>4</v>
      </c>
      <c r="U229">
        <v>80</v>
      </c>
      <c r="V229" s="2">
        <v>11</v>
      </c>
      <c r="W229">
        <v>5</v>
      </c>
      <c r="X229">
        <v>3</v>
      </c>
      <c r="Y229">
        <v>11</v>
      </c>
      <c r="Z229">
        <v>10</v>
      </c>
      <c r="AA229">
        <v>4</v>
      </c>
      <c r="AB229">
        <v>1</v>
      </c>
    </row>
    <row r="230" spans="1:28" x14ac:dyDescent="0.35">
      <c r="A230" s="2">
        <v>35</v>
      </c>
      <c r="B230" s="2" t="str" cm="1">
        <f t="array" ref="B230">_xlfn.IFS(HR_table[[#This Row],[Age]]&lt;=20, "Under 20yrs",HR_table[[#This Row],[Age]]&lt;=30,"(21-30)yrs",HR_table[[#This Row],[Age]]&lt;=40,"(31-40)yrs",HR_table[[#This Row],[Age]]&lt;=50,"(41-50)yrs",HR_table[[#This Row],[Age]]&lt;=60,"(51-60)yrs")</f>
        <v>(31-40)yrs</v>
      </c>
      <c r="C230" t="s">
        <v>43</v>
      </c>
      <c r="D230" t="s">
        <v>44</v>
      </c>
      <c r="E230" t="s">
        <v>37</v>
      </c>
      <c r="F230" t="s">
        <v>59</v>
      </c>
      <c r="G230" t="s">
        <v>40</v>
      </c>
      <c r="H230">
        <v>314</v>
      </c>
      <c r="I230" s="2">
        <v>1</v>
      </c>
      <c r="J230" s="2">
        <v>3</v>
      </c>
      <c r="K230" t="s">
        <v>39</v>
      </c>
      <c r="L230" s="2">
        <v>3</v>
      </c>
      <c r="M230" s="2">
        <v>3</v>
      </c>
      <c r="N230" t="s">
        <v>41</v>
      </c>
      <c r="O230" s="2">
        <v>8789</v>
      </c>
      <c r="P230" s="2">
        <v>9096</v>
      </c>
      <c r="Q230" s="2">
        <v>1</v>
      </c>
      <c r="R230" t="s">
        <v>43</v>
      </c>
      <c r="S230" s="2">
        <v>3</v>
      </c>
      <c r="T230" s="2">
        <v>1</v>
      </c>
      <c r="U230">
        <v>80</v>
      </c>
      <c r="V230" s="2">
        <v>10</v>
      </c>
      <c r="W230">
        <v>3</v>
      </c>
      <c r="X230">
        <v>4</v>
      </c>
      <c r="Y230">
        <v>10</v>
      </c>
      <c r="Z230">
        <v>7</v>
      </c>
      <c r="AA230">
        <v>0</v>
      </c>
      <c r="AB230">
        <v>8</v>
      </c>
    </row>
    <row r="231" spans="1:28" x14ac:dyDescent="0.35">
      <c r="A231" s="2">
        <v>29</v>
      </c>
      <c r="B231" s="2" t="str" cm="1">
        <f t="array" ref="B231">_xlfn.IFS(HR_table[[#This Row],[Age]]&lt;=20, "Under 20yrs",HR_table[[#This Row],[Age]]&lt;=30,"(21-30)yrs",HR_table[[#This Row],[Age]]&lt;=40,"(31-40)yrs",HR_table[[#This Row],[Age]]&lt;=50,"(41-50)yrs",HR_table[[#This Row],[Age]]&lt;=60,"(51-60)yrs")</f>
        <v>(21-30)yrs</v>
      </c>
      <c r="C231" t="s">
        <v>35</v>
      </c>
      <c r="D231" t="s">
        <v>36</v>
      </c>
      <c r="E231" t="s">
        <v>45</v>
      </c>
      <c r="F231" t="s">
        <v>51</v>
      </c>
      <c r="G231" t="s">
        <v>47</v>
      </c>
      <c r="H231">
        <v>315</v>
      </c>
      <c r="I231" s="2">
        <v>18</v>
      </c>
      <c r="J231" s="2">
        <v>3</v>
      </c>
      <c r="K231" t="s">
        <v>46</v>
      </c>
      <c r="L231" s="2">
        <v>1</v>
      </c>
      <c r="M231" s="2">
        <v>4</v>
      </c>
      <c r="N231" t="s">
        <v>41</v>
      </c>
      <c r="O231" s="2">
        <v>2389</v>
      </c>
      <c r="P231" s="2">
        <v>14961</v>
      </c>
      <c r="Q231" s="2">
        <v>1</v>
      </c>
      <c r="R231" t="s">
        <v>35</v>
      </c>
      <c r="S231" s="2">
        <v>3</v>
      </c>
      <c r="T231" s="2">
        <v>3</v>
      </c>
      <c r="U231">
        <v>80</v>
      </c>
      <c r="V231" s="2">
        <v>4</v>
      </c>
      <c r="W231">
        <v>3</v>
      </c>
      <c r="X231">
        <v>2</v>
      </c>
      <c r="Y231">
        <v>4</v>
      </c>
      <c r="Z231">
        <v>3</v>
      </c>
      <c r="AA231">
        <v>0</v>
      </c>
      <c r="AB231">
        <v>1</v>
      </c>
    </row>
    <row r="232" spans="1:28" x14ac:dyDescent="0.35">
      <c r="A232" s="2">
        <v>52</v>
      </c>
      <c r="B232" s="2" t="str" cm="1">
        <f t="array" ref="B232">_xlfn.IFS(HR_table[[#This Row],[Age]]&lt;=20, "Under 20yrs",HR_table[[#This Row],[Age]]&lt;=30,"(21-30)yrs",HR_table[[#This Row],[Age]]&lt;=40,"(31-40)yrs",HR_table[[#This Row],[Age]]&lt;=50,"(41-50)yrs",HR_table[[#This Row],[Age]]&lt;=60,"(51-60)yrs")</f>
        <v>(51-60)yrs</v>
      </c>
      <c r="C232" t="s">
        <v>43</v>
      </c>
      <c r="D232" t="s">
        <v>36</v>
      </c>
      <c r="E232" t="s">
        <v>45</v>
      </c>
      <c r="F232" t="s">
        <v>38</v>
      </c>
      <c r="G232" t="s">
        <v>50</v>
      </c>
      <c r="H232">
        <v>316</v>
      </c>
      <c r="I232" s="2">
        <v>2</v>
      </c>
      <c r="J232" s="2">
        <v>3</v>
      </c>
      <c r="K232" t="s">
        <v>39</v>
      </c>
      <c r="L232" s="2">
        <v>1</v>
      </c>
      <c r="M232" s="2">
        <v>4</v>
      </c>
      <c r="N232" t="s">
        <v>41</v>
      </c>
      <c r="O232" s="2">
        <v>3212</v>
      </c>
      <c r="P232" s="2">
        <v>3300</v>
      </c>
      <c r="Q232" s="2">
        <v>7</v>
      </c>
      <c r="R232" t="s">
        <v>43</v>
      </c>
      <c r="S232" s="2">
        <v>3</v>
      </c>
      <c r="T232" s="2">
        <v>2</v>
      </c>
      <c r="U232">
        <v>80</v>
      </c>
      <c r="V232" s="2">
        <v>6</v>
      </c>
      <c r="W232">
        <v>3</v>
      </c>
      <c r="X232">
        <v>2</v>
      </c>
      <c r="Y232">
        <v>2</v>
      </c>
      <c r="Z232">
        <v>2</v>
      </c>
      <c r="AA232">
        <v>2</v>
      </c>
      <c r="AB232">
        <v>2</v>
      </c>
    </row>
    <row r="233" spans="1:28" x14ac:dyDescent="0.35">
      <c r="A233" s="2">
        <v>42</v>
      </c>
      <c r="B233" s="2" t="str" cm="1">
        <f t="array" ref="B233">_xlfn.IFS(HR_table[[#This Row],[Age]]&lt;=20, "Under 20yrs",HR_table[[#This Row],[Age]]&lt;=30,"(21-30)yrs",HR_table[[#This Row],[Age]]&lt;=40,"(31-40)yrs",HR_table[[#This Row],[Age]]&lt;=50,"(41-50)yrs",HR_table[[#This Row],[Age]]&lt;=60,"(51-60)yrs")</f>
        <v>(41-50)yrs</v>
      </c>
      <c r="C233" t="s">
        <v>43</v>
      </c>
      <c r="D233" t="s">
        <v>36</v>
      </c>
      <c r="E233" t="s">
        <v>45</v>
      </c>
      <c r="F233" t="s">
        <v>60</v>
      </c>
      <c r="G233" t="s">
        <v>56</v>
      </c>
      <c r="H233">
        <v>319</v>
      </c>
      <c r="I233" s="2">
        <v>4</v>
      </c>
      <c r="J233" s="2">
        <v>3</v>
      </c>
      <c r="K233" t="s">
        <v>46</v>
      </c>
      <c r="L233" s="2">
        <v>5</v>
      </c>
      <c r="M233" s="2">
        <v>4</v>
      </c>
      <c r="N233" t="s">
        <v>48</v>
      </c>
      <c r="O233" s="2">
        <v>19232</v>
      </c>
      <c r="P233" s="2">
        <v>4933</v>
      </c>
      <c r="Q233" s="2">
        <v>1</v>
      </c>
      <c r="R233" t="s">
        <v>43</v>
      </c>
      <c r="S233" s="2">
        <v>3</v>
      </c>
      <c r="T233" s="2">
        <v>4</v>
      </c>
      <c r="U233">
        <v>80</v>
      </c>
      <c r="V233" s="2">
        <v>22</v>
      </c>
      <c r="W233">
        <v>3</v>
      </c>
      <c r="X233">
        <v>3</v>
      </c>
      <c r="Y233">
        <v>22</v>
      </c>
      <c r="Z233">
        <v>17</v>
      </c>
      <c r="AA233">
        <v>11</v>
      </c>
      <c r="AB233">
        <v>15</v>
      </c>
    </row>
    <row r="234" spans="1:28" x14ac:dyDescent="0.35">
      <c r="A234" s="2">
        <v>59</v>
      </c>
      <c r="B234" s="2" t="str" cm="1">
        <f t="array" ref="B234">_xlfn.IFS(HR_table[[#This Row],[Age]]&lt;=20, "Under 20yrs",HR_table[[#This Row],[Age]]&lt;=30,"(21-30)yrs",HR_table[[#This Row],[Age]]&lt;=40,"(31-40)yrs",HR_table[[#This Row],[Age]]&lt;=50,"(41-50)yrs",HR_table[[#This Row],[Age]]&lt;=60,"(51-60)yrs")</f>
        <v>(51-60)yrs</v>
      </c>
      <c r="C234" t="s">
        <v>43</v>
      </c>
      <c r="D234" t="s">
        <v>36</v>
      </c>
      <c r="E234" t="s">
        <v>61</v>
      </c>
      <c r="F234" t="s">
        <v>51</v>
      </c>
      <c r="G234" t="s">
        <v>61</v>
      </c>
      <c r="H234">
        <v>321</v>
      </c>
      <c r="I234" s="2">
        <v>6</v>
      </c>
      <c r="J234" s="2">
        <v>2</v>
      </c>
      <c r="K234" t="s">
        <v>46</v>
      </c>
      <c r="L234" s="2">
        <v>1</v>
      </c>
      <c r="M234" s="2">
        <v>3</v>
      </c>
      <c r="N234" t="s">
        <v>48</v>
      </c>
      <c r="O234" s="2">
        <v>2267</v>
      </c>
      <c r="P234" s="2">
        <v>25657</v>
      </c>
      <c r="Q234" s="2">
        <v>8</v>
      </c>
      <c r="R234" t="s">
        <v>43</v>
      </c>
      <c r="S234" s="2">
        <v>3</v>
      </c>
      <c r="T234" s="2">
        <v>4</v>
      </c>
      <c r="U234">
        <v>80</v>
      </c>
      <c r="V234" s="2">
        <v>7</v>
      </c>
      <c r="W234">
        <v>2</v>
      </c>
      <c r="X234">
        <v>2</v>
      </c>
      <c r="Y234">
        <v>2</v>
      </c>
      <c r="Z234">
        <v>2</v>
      </c>
      <c r="AA234">
        <v>2</v>
      </c>
      <c r="AB234">
        <v>2</v>
      </c>
    </row>
    <row r="235" spans="1:28" x14ac:dyDescent="0.35">
      <c r="A235" s="2">
        <v>50</v>
      </c>
      <c r="B235" s="2" t="str" cm="1">
        <f t="array" ref="B235">_xlfn.IFS(HR_table[[#This Row],[Age]]&lt;=20, "Under 20yrs",HR_table[[#This Row],[Age]]&lt;=30,"(21-30)yrs",HR_table[[#This Row],[Age]]&lt;=40,"(31-40)yrs",HR_table[[#This Row],[Age]]&lt;=50,"(41-50)yrs",HR_table[[#This Row],[Age]]&lt;=60,"(51-60)yrs")</f>
        <v>(41-50)yrs</v>
      </c>
      <c r="C235" t="s">
        <v>43</v>
      </c>
      <c r="D235" t="s">
        <v>36</v>
      </c>
      <c r="E235" t="s">
        <v>37</v>
      </c>
      <c r="F235" t="s">
        <v>51</v>
      </c>
      <c r="G235" t="s">
        <v>56</v>
      </c>
      <c r="H235">
        <v>323</v>
      </c>
      <c r="I235" s="2">
        <v>1</v>
      </c>
      <c r="J235" s="2">
        <v>4</v>
      </c>
      <c r="K235" t="s">
        <v>39</v>
      </c>
      <c r="L235" s="2">
        <v>5</v>
      </c>
      <c r="M235" s="2">
        <v>4</v>
      </c>
      <c r="N235" t="s">
        <v>52</v>
      </c>
      <c r="O235" s="2">
        <v>19517</v>
      </c>
      <c r="P235" s="2">
        <v>24118</v>
      </c>
      <c r="Q235" s="2">
        <v>3</v>
      </c>
      <c r="R235" t="s">
        <v>43</v>
      </c>
      <c r="S235" s="2">
        <v>3</v>
      </c>
      <c r="T235" s="2">
        <v>3</v>
      </c>
      <c r="U235">
        <v>80</v>
      </c>
      <c r="V235" s="2">
        <v>32</v>
      </c>
      <c r="W235">
        <v>3</v>
      </c>
      <c r="X235">
        <v>2</v>
      </c>
      <c r="Y235">
        <v>7</v>
      </c>
      <c r="Z235">
        <v>0</v>
      </c>
      <c r="AA235">
        <v>0</v>
      </c>
      <c r="AB235">
        <v>6</v>
      </c>
    </row>
    <row r="236" spans="1:28" x14ac:dyDescent="0.35">
      <c r="A236" s="2">
        <v>33</v>
      </c>
      <c r="B236" s="2" t="str" cm="1">
        <f t="array" ref="B236">_xlfn.IFS(HR_table[[#This Row],[Age]]&lt;=20, "Under 20yrs",HR_table[[#This Row],[Age]]&lt;=30,"(21-30)yrs",HR_table[[#This Row],[Age]]&lt;=40,"(31-40)yrs",HR_table[[#This Row],[Age]]&lt;=50,"(41-50)yrs",HR_table[[#This Row],[Age]]&lt;=60,"(51-60)yrs")</f>
        <v>(31-40)yrs</v>
      </c>
      <c r="C236" t="s">
        <v>35</v>
      </c>
      <c r="D236" t="s">
        <v>36</v>
      </c>
      <c r="E236" t="s">
        <v>45</v>
      </c>
      <c r="F236" t="s">
        <v>51</v>
      </c>
      <c r="G236" t="s">
        <v>50</v>
      </c>
      <c r="H236">
        <v>325</v>
      </c>
      <c r="I236" s="2">
        <v>14</v>
      </c>
      <c r="J236" s="2">
        <v>3</v>
      </c>
      <c r="K236" t="s">
        <v>46</v>
      </c>
      <c r="L236" s="2">
        <v>1</v>
      </c>
      <c r="M236" s="2">
        <v>4</v>
      </c>
      <c r="N236" t="s">
        <v>48</v>
      </c>
      <c r="O236" s="2">
        <v>2436</v>
      </c>
      <c r="P236" s="2">
        <v>22149</v>
      </c>
      <c r="Q236" s="2">
        <v>5</v>
      </c>
      <c r="R236" t="s">
        <v>35</v>
      </c>
      <c r="S236" s="2">
        <v>3</v>
      </c>
      <c r="T236" s="2">
        <v>3</v>
      </c>
      <c r="U236">
        <v>80</v>
      </c>
      <c r="V236" s="2">
        <v>8</v>
      </c>
      <c r="W236">
        <v>2</v>
      </c>
      <c r="X236">
        <v>1</v>
      </c>
      <c r="Y236">
        <v>5</v>
      </c>
      <c r="Z236">
        <v>4</v>
      </c>
      <c r="AA236">
        <v>0</v>
      </c>
      <c r="AB236">
        <v>4</v>
      </c>
    </row>
    <row r="237" spans="1:28" x14ac:dyDescent="0.35">
      <c r="A237" s="2">
        <v>43</v>
      </c>
      <c r="B237" s="2" t="str" cm="1">
        <f t="array" ref="B237">_xlfn.IFS(HR_table[[#This Row],[Age]]&lt;=20, "Under 20yrs",HR_table[[#This Row],[Age]]&lt;=30,"(21-30)yrs",HR_table[[#This Row],[Age]]&lt;=40,"(31-40)yrs",HR_table[[#This Row],[Age]]&lt;=50,"(41-50)yrs",HR_table[[#This Row],[Age]]&lt;=60,"(51-60)yrs")</f>
        <v>(41-50)yrs</v>
      </c>
      <c r="C237" t="s">
        <v>43</v>
      </c>
      <c r="D237" t="s">
        <v>36</v>
      </c>
      <c r="E237" t="s">
        <v>37</v>
      </c>
      <c r="F237" t="s">
        <v>59</v>
      </c>
      <c r="G237" t="s">
        <v>56</v>
      </c>
      <c r="H237">
        <v>327</v>
      </c>
      <c r="I237" s="2">
        <v>16</v>
      </c>
      <c r="J237" s="2">
        <v>4</v>
      </c>
      <c r="K237" t="s">
        <v>39</v>
      </c>
      <c r="L237" s="2">
        <v>4</v>
      </c>
      <c r="M237" s="2">
        <v>4</v>
      </c>
      <c r="N237" t="s">
        <v>48</v>
      </c>
      <c r="O237" s="2">
        <v>16064</v>
      </c>
      <c r="P237" s="2">
        <v>7744</v>
      </c>
      <c r="Q237" s="2">
        <v>5</v>
      </c>
      <c r="R237" t="s">
        <v>35</v>
      </c>
      <c r="S237" s="2">
        <v>4</v>
      </c>
      <c r="T237" s="2">
        <v>3</v>
      </c>
      <c r="U237">
        <v>80</v>
      </c>
      <c r="V237" s="2">
        <v>22</v>
      </c>
      <c r="W237">
        <v>3</v>
      </c>
      <c r="X237">
        <v>3</v>
      </c>
      <c r="Y237">
        <v>17</v>
      </c>
      <c r="Z237">
        <v>13</v>
      </c>
      <c r="AA237">
        <v>1</v>
      </c>
      <c r="AB237">
        <v>9</v>
      </c>
    </row>
    <row r="238" spans="1:28" x14ac:dyDescent="0.35">
      <c r="A238" s="2">
        <v>33</v>
      </c>
      <c r="B238" s="2" t="str" cm="1">
        <f t="array" ref="B238">_xlfn.IFS(HR_table[[#This Row],[Age]]&lt;=20, "Under 20yrs",HR_table[[#This Row],[Age]]&lt;=30,"(21-30)yrs",HR_table[[#This Row],[Age]]&lt;=40,"(31-40)yrs",HR_table[[#This Row],[Age]]&lt;=50,"(41-50)yrs",HR_table[[#This Row],[Age]]&lt;=60,"(51-60)yrs")</f>
        <v>(31-40)yrs</v>
      </c>
      <c r="C238" t="s">
        <v>35</v>
      </c>
      <c r="D238" t="s">
        <v>36</v>
      </c>
      <c r="E238" t="s">
        <v>45</v>
      </c>
      <c r="F238" t="s">
        <v>38</v>
      </c>
      <c r="G238" t="s">
        <v>50</v>
      </c>
      <c r="H238">
        <v>328</v>
      </c>
      <c r="I238" s="2">
        <v>2</v>
      </c>
      <c r="J238" s="2">
        <v>1</v>
      </c>
      <c r="K238" t="s">
        <v>39</v>
      </c>
      <c r="L238" s="2">
        <v>1</v>
      </c>
      <c r="M238" s="2">
        <v>1</v>
      </c>
      <c r="N238" t="s">
        <v>48</v>
      </c>
      <c r="O238" s="2">
        <v>2707</v>
      </c>
      <c r="P238" s="2">
        <v>21509</v>
      </c>
      <c r="Q238" s="2">
        <v>7</v>
      </c>
      <c r="R238" t="s">
        <v>43</v>
      </c>
      <c r="S238" s="2">
        <v>4</v>
      </c>
      <c r="T238" s="2">
        <v>1</v>
      </c>
      <c r="U238">
        <v>80</v>
      </c>
      <c r="V238" s="2">
        <v>13</v>
      </c>
      <c r="W238">
        <v>3</v>
      </c>
      <c r="X238">
        <v>4</v>
      </c>
      <c r="Y238">
        <v>9</v>
      </c>
      <c r="Z238">
        <v>7</v>
      </c>
      <c r="AA238">
        <v>1</v>
      </c>
      <c r="AB238">
        <v>7</v>
      </c>
    </row>
    <row r="239" spans="1:28" x14ac:dyDescent="0.35">
      <c r="A239" s="2">
        <v>52</v>
      </c>
      <c r="B239" s="2" t="str" cm="1">
        <f t="array" ref="B239">_xlfn.IFS(HR_table[[#This Row],[Age]]&lt;=20, "Under 20yrs",HR_table[[#This Row],[Age]]&lt;=30,"(21-30)yrs",HR_table[[#This Row],[Age]]&lt;=40,"(31-40)yrs",HR_table[[#This Row],[Age]]&lt;=50,"(41-50)yrs",HR_table[[#This Row],[Age]]&lt;=60,"(51-60)yrs")</f>
        <v>(51-60)yrs</v>
      </c>
      <c r="C239" t="s">
        <v>43</v>
      </c>
      <c r="D239" t="s">
        <v>55</v>
      </c>
      <c r="E239" t="s">
        <v>37</v>
      </c>
      <c r="F239" t="s">
        <v>38</v>
      </c>
      <c r="G239" t="s">
        <v>56</v>
      </c>
      <c r="H239">
        <v>329</v>
      </c>
      <c r="I239" s="2">
        <v>2</v>
      </c>
      <c r="J239" s="2">
        <v>1</v>
      </c>
      <c r="K239" t="s">
        <v>46</v>
      </c>
      <c r="L239" s="2">
        <v>5</v>
      </c>
      <c r="M239" s="2">
        <v>3</v>
      </c>
      <c r="N239" t="s">
        <v>41</v>
      </c>
      <c r="O239" s="2">
        <v>19068</v>
      </c>
      <c r="P239" s="2">
        <v>21030</v>
      </c>
      <c r="Q239" s="2">
        <v>1</v>
      </c>
      <c r="R239" t="s">
        <v>35</v>
      </c>
      <c r="S239" s="2">
        <v>3</v>
      </c>
      <c r="T239" s="2">
        <v>4</v>
      </c>
      <c r="U239">
        <v>80</v>
      </c>
      <c r="V239" s="2">
        <v>33</v>
      </c>
      <c r="W239">
        <v>2</v>
      </c>
      <c r="X239">
        <v>4</v>
      </c>
      <c r="Y239">
        <v>33</v>
      </c>
      <c r="Z239">
        <v>7</v>
      </c>
      <c r="AA239">
        <v>15</v>
      </c>
      <c r="AB239">
        <v>12</v>
      </c>
    </row>
    <row r="240" spans="1:28" x14ac:dyDescent="0.35">
      <c r="A240" s="2">
        <v>32</v>
      </c>
      <c r="B240" s="2" t="str" cm="1">
        <f t="array" ref="B240">_xlfn.IFS(HR_table[[#This Row],[Age]]&lt;=20, "Under 20yrs",HR_table[[#This Row],[Age]]&lt;=30,"(21-30)yrs",HR_table[[#This Row],[Age]]&lt;=40,"(31-40)yrs",HR_table[[#This Row],[Age]]&lt;=50,"(41-50)yrs",HR_table[[#This Row],[Age]]&lt;=60,"(51-60)yrs")</f>
        <v>(31-40)yrs</v>
      </c>
      <c r="C240" t="s">
        <v>43</v>
      </c>
      <c r="D240" t="s">
        <v>36</v>
      </c>
      <c r="E240" t="s">
        <v>37</v>
      </c>
      <c r="F240" t="s">
        <v>38</v>
      </c>
      <c r="G240" t="s">
        <v>57</v>
      </c>
      <c r="H240">
        <v>330</v>
      </c>
      <c r="I240" s="2">
        <v>4</v>
      </c>
      <c r="J240" s="2">
        <v>3</v>
      </c>
      <c r="K240" t="s">
        <v>39</v>
      </c>
      <c r="L240" s="2">
        <v>1</v>
      </c>
      <c r="M240" s="2">
        <v>2</v>
      </c>
      <c r="N240" t="s">
        <v>48</v>
      </c>
      <c r="O240" s="2">
        <v>3931</v>
      </c>
      <c r="P240" s="2">
        <v>20990</v>
      </c>
      <c r="Q240" s="2">
        <v>2</v>
      </c>
      <c r="R240" t="s">
        <v>43</v>
      </c>
      <c r="S240" s="2">
        <v>3</v>
      </c>
      <c r="T240" s="2">
        <v>1</v>
      </c>
      <c r="U240">
        <v>80</v>
      </c>
      <c r="V240" s="2">
        <v>6</v>
      </c>
      <c r="W240">
        <v>5</v>
      </c>
      <c r="X240">
        <v>3</v>
      </c>
      <c r="Y240">
        <v>4</v>
      </c>
      <c r="Z240">
        <v>3</v>
      </c>
      <c r="AA240">
        <v>1</v>
      </c>
      <c r="AB240">
        <v>2</v>
      </c>
    </row>
    <row r="241" spans="1:28" x14ac:dyDescent="0.35">
      <c r="A241" s="2">
        <v>32</v>
      </c>
      <c r="B241" s="2" t="str" cm="1">
        <f t="array" ref="B241">_xlfn.IFS(HR_table[[#This Row],[Age]]&lt;=20, "Under 20yrs",HR_table[[#This Row],[Age]]&lt;=30,"(21-30)yrs",HR_table[[#This Row],[Age]]&lt;=40,"(31-40)yrs",HR_table[[#This Row],[Age]]&lt;=50,"(41-50)yrs",HR_table[[#This Row],[Age]]&lt;=60,"(51-60)yrs")</f>
        <v>(31-40)yrs</v>
      </c>
      <c r="C241" t="s">
        <v>35</v>
      </c>
      <c r="D241" t="s">
        <v>36</v>
      </c>
      <c r="E241" t="s">
        <v>45</v>
      </c>
      <c r="F241" t="s">
        <v>38</v>
      </c>
      <c r="G241" t="s">
        <v>50</v>
      </c>
      <c r="H241">
        <v>331</v>
      </c>
      <c r="I241" s="2">
        <v>1</v>
      </c>
      <c r="J241" s="2">
        <v>4</v>
      </c>
      <c r="K241" t="s">
        <v>46</v>
      </c>
      <c r="L241" s="2">
        <v>1</v>
      </c>
      <c r="M241" s="2">
        <v>3</v>
      </c>
      <c r="N241" t="s">
        <v>41</v>
      </c>
      <c r="O241" s="2">
        <v>3730</v>
      </c>
      <c r="P241" s="2">
        <v>9571</v>
      </c>
      <c r="Q241" s="2">
        <v>0</v>
      </c>
      <c r="R241" t="s">
        <v>35</v>
      </c>
      <c r="S241" s="2">
        <v>3</v>
      </c>
      <c r="T241" s="2">
        <v>4</v>
      </c>
      <c r="U241">
        <v>80</v>
      </c>
      <c r="V241" s="2">
        <v>4</v>
      </c>
      <c r="W241">
        <v>2</v>
      </c>
      <c r="X241">
        <v>1</v>
      </c>
      <c r="Y241">
        <v>3</v>
      </c>
      <c r="Z241">
        <v>2</v>
      </c>
      <c r="AA241">
        <v>1</v>
      </c>
      <c r="AB241">
        <v>2</v>
      </c>
    </row>
    <row r="242" spans="1:28" x14ac:dyDescent="0.35">
      <c r="A242" s="2">
        <v>39</v>
      </c>
      <c r="B242" s="2" t="str" cm="1">
        <f t="array" ref="B242">_xlfn.IFS(HR_table[[#This Row],[Age]]&lt;=20, "Under 20yrs",HR_table[[#This Row],[Age]]&lt;=30,"(21-30)yrs",HR_table[[#This Row],[Age]]&lt;=40,"(31-40)yrs",HR_table[[#This Row],[Age]]&lt;=50,"(41-50)yrs",HR_table[[#This Row],[Age]]&lt;=60,"(51-60)yrs")</f>
        <v>(31-40)yrs</v>
      </c>
      <c r="C242" t="s">
        <v>43</v>
      </c>
      <c r="D242" t="s">
        <v>36</v>
      </c>
      <c r="E242" t="s">
        <v>45</v>
      </c>
      <c r="F242" t="s">
        <v>51</v>
      </c>
      <c r="G242" t="s">
        <v>50</v>
      </c>
      <c r="H242">
        <v>332</v>
      </c>
      <c r="I242" s="2">
        <v>1</v>
      </c>
      <c r="J242" s="2">
        <v>3</v>
      </c>
      <c r="K242" t="s">
        <v>39</v>
      </c>
      <c r="L242" s="2">
        <v>1</v>
      </c>
      <c r="M242" s="2">
        <v>3</v>
      </c>
      <c r="N242" t="s">
        <v>52</v>
      </c>
      <c r="O242" s="2">
        <v>2232</v>
      </c>
      <c r="P242" s="2">
        <v>15417</v>
      </c>
      <c r="Q242" s="2">
        <v>7</v>
      </c>
      <c r="R242" t="s">
        <v>43</v>
      </c>
      <c r="S242" s="2">
        <v>3</v>
      </c>
      <c r="T242" s="2">
        <v>3</v>
      </c>
      <c r="U242">
        <v>80</v>
      </c>
      <c r="V242" s="2">
        <v>7</v>
      </c>
      <c r="W242">
        <v>1</v>
      </c>
      <c r="X242">
        <v>3</v>
      </c>
      <c r="Y242">
        <v>3</v>
      </c>
      <c r="Z242">
        <v>2</v>
      </c>
      <c r="AA242">
        <v>1</v>
      </c>
      <c r="AB242">
        <v>2</v>
      </c>
    </row>
    <row r="243" spans="1:28" x14ac:dyDescent="0.35">
      <c r="A243" s="2">
        <v>32</v>
      </c>
      <c r="B243" s="2" t="str" cm="1">
        <f t="array" ref="B243">_xlfn.IFS(HR_table[[#This Row],[Age]]&lt;=20, "Under 20yrs",HR_table[[#This Row],[Age]]&lt;=30,"(21-30)yrs",HR_table[[#This Row],[Age]]&lt;=40,"(31-40)yrs",HR_table[[#This Row],[Age]]&lt;=50,"(41-50)yrs",HR_table[[#This Row],[Age]]&lt;=60,"(51-60)yrs")</f>
        <v>(31-40)yrs</v>
      </c>
      <c r="C243" t="s">
        <v>43</v>
      </c>
      <c r="D243" t="s">
        <v>55</v>
      </c>
      <c r="E243" t="s">
        <v>37</v>
      </c>
      <c r="F243" t="s">
        <v>59</v>
      </c>
      <c r="G243" t="s">
        <v>40</v>
      </c>
      <c r="H243">
        <v>333</v>
      </c>
      <c r="I243" s="2">
        <v>26</v>
      </c>
      <c r="J243" s="2">
        <v>3</v>
      </c>
      <c r="K243" t="s">
        <v>46</v>
      </c>
      <c r="L243" s="2">
        <v>2</v>
      </c>
      <c r="M243" s="2">
        <v>4</v>
      </c>
      <c r="N243" t="s">
        <v>48</v>
      </c>
      <c r="O243" s="2">
        <v>4465</v>
      </c>
      <c r="P243" s="2">
        <v>12069</v>
      </c>
      <c r="Q243" s="2">
        <v>0</v>
      </c>
      <c r="R243" t="s">
        <v>43</v>
      </c>
      <c r="S243" s="2">
        <v>3</v>
      </c>
      <c r="T243" s="2">
        <v>1</v>
      </c>
      <c r="U243">
        <v>80</v>
      </c>
      <c r="V243" s="2">
        <v>4</v>
      </c>
      <c r="W243">
        <v>2</v>
      </c>
      <c r="X243">
        <v>3</v>
      </c>
      <c r="Y243">
        <v>3</v>
      </c>
      <c r="Z243">
        <v>2</v>
      </c>
      <c r="AA243">
        <v>2</v>
      </c>
      <c r="AB243">
        <v>2</v>
      </c>
    </row>
    <row r="244" spans="1:28" x14ac:dyDescent="0.35">
      <c r="A244" s="2">
        <v>41</v>
      </c>
      <c r="B244" s="2" t="str" cm="1">
        <f t="array" ref="B244">_xlfn.IFS(HR_table[[#This Row],[Age]]&lt;=20, "Under 20yrs",HR_table[[#This Row],[Age]]&lt;=30,"(21-30)yrs",HR_table[[#This Row],[Age]]&lt;=40,"(31-40)yrs",HR_table[[#This Row],[Age]]&lt;=50,"(41-50)yrs",HR_table[[#This Row],[Age]]&lt;=60,"(51-60)yrs")</f>
        <v>(41-50)yrs</v>
      </c>
      <c r="C244" t="s">
        <v>43</v>
      </c>
      <c r="D244" t="s">
        <v>36</v>
      </c>
      <c r="E244" t="s">
        <v>45</v>
      </c>
      <c r="F244" t="s">
        <v>38</v>
      </c>
      <c r="G244" t="s">
        <v>47</v>
      </c>
      <c r="H244">
        <v>334</v>
      </c>
      <c r="I244" s="2">
        <v>19</v>
      </c>
      <c r="J244" s="2">
        <v>3</v>
      </c>
      <c r="K244" t="s">
        <v>46</v>
      </c>
      <c r="L244" s="2">
        <v>2</v>
      </c>
      <c r="M244" s="2">
        <v>1</v>
      </c>
      <c r="N244" t="s">
        <v>52</v>
      </c>
      <c r="O244" s="2">
        <v>3072</v>
      </c>
      <c r="P244" s="2">
        <v>19877</v>
      </c>
      <c r="Q244" s="2">
        <v>2</v>
      </c>
      <c r="R244" t="s">
        <v>43</v>
      </c>
      <c r="S244" s="2">
        <v>3</v>
      </c>
      <c r="T244" s="2">
        <v>1</v>
      </c>
      <c r="U244">
        <v>80</v>
      </c>
      <c r="V244" s="2">
        <v>17</v>
      </c>
      <c r="W244">
        <v>2</v>
      </c>
      <c r="X244">
        <v>2</v>
      </c>
      <c r="Y244">
        <v>1</v>
      </c>
      <c r="Z244">
        <v>0</v>
      </c>
      <c r="AA244">
        <v>0</v>
      </c>
      <c r="AB244">
        <v>0</v>
      </c>
    </row>
    <row r="245" spans="1:28" x14ac:dyDescent="0.35">
      <c r="A245" s="2">
        <v>40</v>
      </c>
      <c r="B245" s="2" t="str" cm="1">
        <f t="array" ref="B245">_xlfn.IFS(HR_table[[#This Row],[Age]]&lt;=20, "Under 20yrs",HR_table[[#This Row],[Age]]&lt;=30,"(21-30)yrs",HR_table[[#This Row],[Age]]&lt;=40,"(31-40)yrs",HR_table[[#This Row],[Age]]&lt;=50,"(41-50)yrs",HR_table[[#This Row],[Age]]&lt;=60,"(51-60)yrs")</f>
        <v>(31-40)yrs</v>
      </c>
      <c r="C245" t="s">
        <v>43</v>
      </c>
      <c r="D245" t="s">
        <v>36</v>
      </c>
      <c r="E245" t="s">
        <v>45</v>
      </c>
      <c r="F245" t="s">
        <v>60</v>
      </c>
      <c r="G245" t="s">
        <v>47</v>
      </c>
      <c r="H245">
        <v>335</v>
      </c>
      <c r="I245" s="2">
        <v>24</v>
      </c>
      <c r="J245" s="2">
        <v>1</v>
      </c>
      <c r="K245" t="s">
        <v>46</v>
      </c>
      <c r="L245" s="2">
        <v>2</v>
      </c>
      <c r="M245" s="2">
        <v>4</v>
      </c>
      <c r="N245" t="s">
        <v>52</v>
      </c>
      <c r="O245" s="2">
        <v>3319</v>
      </c>
      <c r="P245" s="2">
        <v>24447</v>
      </c>
      <c r="Q245" s="2">
        <v>1</v>
      </c>
      <c r="R245" t="s">
        <v>43</v>
      </c>
      <c r="S245" s="2">
        <v>3</v>
      </c>
      <c r="T245" s="2">
        <v>1</v>
      </c>
      <c r="U245">
        <v>80</v>
      </c>
      <c r="V245" s="2">
        <v>9</v>
      </c>
      <c r="W245">
        <v>3</v>
      </c>
      <c r="X245">
        <v>3</v>
      </c>
      <c r="Y245">
        <v>9</v>
      </c>
      <c r="Z245">
        <v>8</v>
      </c>
      <c r="AA245">
        <v>4</v>
      </c>
      <c r="AB245">
        <v>7</v>
      </c>
    </row>
    <row r="246" spans="1:28" x14ac:dyDescent="0.35">
      <c r="A246" s="2">
        <v>45</v>
      </c>
      <c r="B246" s="2" t="str" cm="1">
        <f t="array" ref="B246">_xlfn.IFS(HR_table[[#This Row],[Age]]&lt;=20, "Under 20yrs",HR_table[[#This Row],[Age]]&lt;=30,"(21-30)yrs",HR_table[[#This Row],[Age]]&lt;=40,"(31-40)yrs",HR_table[[#This Row],[Age]]&lt;=50,"(41-50)yrs",HR_table[[#This Row],[Age]]&lt;=60,"(51-60)yrs")</f>
        <v>(41-50)yrs</v>
      </c>
      <c r="C246" t="s">
        <v>43</v>
      </c>
      <c r="D246" t="s">
        <v>36</v>
      </c>
      <c r="E246" t="s">
        <v>45</v>
      </c>
      <c r="F246" t="s">
        <v>49</v>
      </c>
      <c r="G246" t="s">
        <v>56</v>
      </c>
      <c r="H246">
        <v>336</v>
      </c>
      <c r="I246" s="2">
        <v>1</v>
      </c>
      <c r="J246" s="2">
        <v>3</v>
      </c>
      <c r="K246" t="s">
        <v>46</v>
      </c>
      <c r="L246" s="2">
        <v>5</v>
      </c>
      <c r="M246" s="2">
        <v>4</v>
      </c>
      <c r="N246" t="s">
        <v>48</v>
      </c>
      <c r="O246" s="2">
        <v>19202</v>
      </c>
      <c r="P246" s="2">
        <v>15970</v>
      </c>
      <c r="Q246" s="2">
        <v>0</v>
      </c>
      <c r="R246" t="s">
        <v>43</v>
      </c>
      <c r="S246" s="2">
        <v>3</v>
      </c>
      <c r="T246" s="2">
        <v>3</v>
      </c>
      <c r="U246">
        <v>80</v>
      </c>
      <c r="V246" s="2">
        <v>25</v>
      </c>
      <c r="W246">
        <v>2</v>
      </c>
      <c r="X246">
        <v>3</v>
      </c>
      <c r="Y246">
        <v>24</v>
      </c>
      <c r="Z246">
        <v>0</v>
      </c>
      <c r="AA246">
        <v>1</v>
      </c>
      <c r="AB246">
        <v>7</v>
      </c>
    </row>
    <row r="247" spans="1:28" x14ac:dyDescent="0.35">
      <c r="A247" s="2">
        <v>31</v>
      </c>
      <c r="B247" s="2" t="str" cm="1">
        <f t="array" ref="B247">_xlfn.IFS(HR_table[[#This Row],[Age]]&lt;=20, "Under 20yrs",HR_table[[#This Row],[Age]]&lt;=30,"(21-30)yrs",HR_table[[#This Row],[Age]]&lt;=40,"(31-40)yrs",HR_table[[#This Row],[Age]]&lt;=50,"(41-50)yrs",HR_table[[#This Row],[Age]]&lt;=60,"(51-60)yrs")</f>
        <v>(31-40)yrs</v>
      </c>
      <c r="C247" t="s">
        <v>43</v>
      </c>
      <c r="D247" t="s">
        <v>44</v>
      </c>
      <c r="E247" t="s">
        <v>45</v>
      </c>
      <c r="F247" t="s">
        <v>51</v>
      </c>
      <c r="G247" t="s">
        <v>58</v>
      </c>
      <c r="H247">
        <v>337</v>
      </c>
      <c r="I247" s="2">
        <v>3</v>
      </c>
      <c r="J247" s="2">
        <v>2</v>
      </c>
      <c r="K247" t="s">
        <v>46</v>
      </c>
      <c r="L247" s="2">
        <v>3</v>
      </c>
      <c r="M247" s="2">
        <v>3</v>
      </c>
      <c r="N247" t="s">
        <v>52</v>
      </c>
      <c r="O247" s="2">
        <v>13675</v>
      </c>
      <c r="P247" s="2">
        <v>13523</v>
      </c>
      <c r="Q247" s="2">
        <v>9</v>
      </c>
      <c r="R247" t="s">
        <v>43</v>
      </c>
      <c r="S247" s="2">
        <v>3</v>
      </c>
      <c r="T247" s="2">
        <v>1</v>
      </c>
      <c r="U247">
        <v>80</v>
      </c>
      <c r="V247" s="2">
        <v>9</v>
      </c>
      <c r="W247">
        <v>3</v>
      </c>
      <c r="X247">
        <v>3</v>
      </c>
      <c r="Y247">
        <v>2</v>
      </c>
      <c r="Z247">
        <v>2</v>
      </c>
      <c r="AA247">
        <v>2</v>
      </c>
      <c r="AB247">
        <v>2</v>
      </c>
    </row>
    <row r="248" spans="1:28" x14ac:dyDescent="0.35">
      <c r="A248" s="2">
        <v>33</v>
      </c>
      <c r="B248" s="2" t="str" cm="1">
        <f t="array" ref="B248">_xlfn.IFS(HR_table[[#This Row],[Age]]&lt;=20, "Under 20yrs",HR_table[[#This Row],[Age]]&lt;=30,"(21-30)yrs",HR_table[[#This Row],[Age]]&lt;=40,"(31-40)yrs",HR_table[[#This Row],[Age]]&lt;=50,"(41-50)yrs",HR_table[[#This Row],[Age]]&lt;=60,"(51-60)yrs")</f>
        <v>(31-40)yrs</v>
      </c>
      <c r="C248" t="s">
        <v>43</v>
      </c>
      <c r="D248" t="s">
        <v>36</v>
      </c>
      <c r="E248" t="s">
        <v>45</v>
      </c>
      <c r="F248" t="s">
        <v>38</v>
      </c>
      <c r="G248" t="s">
        <v>47</v>
      </c>
      <c r="H248">
        <v>338</v>
      </c>
      <c r="I248" s="2">
        <v>5</v>
      </c>
      <c r="J248" s="2">
        <v>3</v>
      </c>
      <c r="K248" t="s">
        <v>39</v>
      </c>
      <c r="L248" s="2">
        <v>1</v>
      </c>
      <c r="M248" s="2">
        <v>4</v>
      </c>
      <c r="N248" t="s">
        <v>48</v>
      </c>
      <c r="O248" s="2">
        <v>2911</v>
      </c>
      <c r="P248" s="2">
        <v>14776</v>
      </c>
      <c r="Q248" s="2">
        <v>1</v>
      </c>
      <c r="R248" t="s">
        <v>43</v>
      </c>
      <c r="S248" s="2">
        <v>3</v>
      </c>
      <c r="T248" s="2">
        <v>3</v>
      </c>
      <c r="U248">
        <v>80</v>
      </c>
      <c r="V248" s="2">
        <v>2</v>
      </c>
      <c r="W248">
        <v>2</v>
      </c>
      <c r="X248">
        <v>2</v>
      </c>
      <c r="Y248">
        <v>2</v>
      </c>
      <c r="Z248">
        <v>2</v>
      </c>
      <c r="AA248">
        <v>0</v>
      </c>
      <c r="AB248">
        <v>2</v>
      </c>
    </row>
    <row r="249" spans="1:28" x14ac:dyDescent="0.35">
      <c r="A249" s="2">
        <v>34</v>
      </c>
      <c r="B249" s="2" t="str" cm="1">
        <f t="array" ref="B249">_xlfn.IFS(HR_table[[#This Row],[Age]]&lt;=20, "Under 20yrs",HR_table[[#This Row],[Age]]&lt;=30,"(21-30)yrs",HR_table[[#This Row],[Age]]&lt;=40,"(31-40)yrs",HR_table[[#This Row],[Age]]&lt;=50,"(41-50)yrs",HR_table[[#This Row],[Age]]&lt;=60,"(51-60)yrs")</f>
        <v>(31-40)yrs</v>
      </c>
      <c r="C249" t="s">
        <v>43</v>
      </c>
      <c r="D249" t="s">
        <v>36</v>
      </c>
      <c r="E249" t="s">
        <v>45</v>
      </c>
      <c r="F249" t="s">
        <v>38</v>
      </c>
      <c r="G249" t="s">
        <v>53</v>
      </c>
      <c r="H249">
        <v>339</v>
      </c>
      <c r="I249" s="2">
        <v>2</v>
      </c>
      <c r="J249" s="2">
        <v>4</v>
      </c>
      <c r="K249" t="s">
        <v>46</v>
      </c>
      <c r="L249" s="2">
        <v>2</v>
      </c>
      <c r="M249" s="2">
        <v>1</v>
      </c>
      <c r="N249" t="s">
        <v>48</v>
      </c>
      <c r="O249" s="2">
        <v>5957</v>
      </c>
      <c r="P249" s="2">
        <v>23687</v>
      </c>
      <c r="Q249" s="2">
        <v>6</v>
      </c>
      <c r="R249" t="s">
        <v>43</v>
      </c>
      <c r="S249" s="2">
        <v>3</v>
      </c>
      <c r="T249" s="2">
        <v>2</v>
      </c>
      <c r="U249">
        <v>80</v>
      </c>
      <c r="V249" s="2">
        <v>13</v>
      </c>
      <c r="W249">
        <v>3</v>
      </c>
      <c r="X249">
        <v>3</v>
      </c>
      <c r="Y249">
        <v>11</v>
      </c>
      <c r="Z249">
        <v>9</v>
      </c>
      <c r="AA249">
        <v>5</v>
      </c>
      <c r="AB249">
        <v>9</v>
      </c>
    </row>
    <row r="250" spans="1:28" x14ac:dyDescent="0.35">
      <c r="A250" s="2">
        <v>37</v>
      </c>
      <c r="B250" s="2" t="str" cm="1">
        <f t="array" ref="B250">_xlfn.IFS(HR_table[[#This Row],[Age]]&lt;=20, "Under 20yrs",HR_table[[#This Row],[Age]]&lt;=30,"(21-30)yrs",HR_table[[#This Row],[Age]]&lt;=40,"(31-40)yrs",HR_table[[#This Row],[Age]]&lt;=50,"(41-50)yrs",HR_table[[#This Row],[Age]]&lt;=60,"(51-60)yrs")</f>
        <v>(31-40)yrs</v>
      </c>
      <c r="C250" t="s">
        <v>43</v>
      </c>
      <c r="D250" t="s">
        <v>36</v>
      </c>
      <c r="E250" t="s">
        <v>45</v>
      </c>
      <c r="F250" t="s">
        <v>51</v>
      </c>
      <c r="G250" t="s">
        <v>47</v>
      </c>
      <c r="H250">
        <v>340</v>
      </c>
      <c r="I250" s="2">
        <v>1</v>
      </c>
      <c r="J250" s="2">
        <v>3</v>
      </c>
      <c r="K250" t="s">
        <v>39</v>
      </c>
      <c r="L250" s="2">
        <v>1</v>
      </c>
      <c r="M250" s="2">
        <v>1</v>
      </c>
      <c r="N250" t="s">
        <v>48</v>
      </c>
      <c r="O250" s="2">
        <v>3920</v>
      </c>
      <c r="P250" s="2">
        <v>18697</v>
      </c>
      <c r="Q250" s="2">
        <v>2</v>
      </c>
      <c r="R250" t="s">
        <v>43</v>
      </c>
      <c r="S250" s="2">
        <v>3</v>
      </c>
      <c r="T250" s="2">
        <v>1</v>
      </c>
      <c r="U250">
        <v>80</v>
      </c>
      <c r="V250" s="2">
        <v>17</v>
      </c>
      <c r="W250">
        <v>2</v>
      </c>
      <c r="X250">
        <v>2</v>
      </c>
      <c r="Y250">
        <v>3</v>
      </c>
      <c r="Z250">
        <v>1</v>
      </c>
      <c r="AA250">
        <v>0</v>
      </c>
      <c r="AB250">
        <v>2</v>
      </c>
    </row>
    <row r="251" spans="1:28" x14ac:dyDescent="0.35">
      <c r="A251" s="2">
        <v>45</v>
      </c>
      <c r="B251" s="2" t="str" cm="1">
        <f t="array" ref="B251">_xlfn.IFS(HR_table[[#This Row],[Age]]&lt;=20, "Under 20yrs",HR_table[[#This Row],[Age]]&lt;=30,"(21-30)yrs",HR_table[[#This Row],[Age]]&lt;=40,"(31-40)yrs",HR_table[[#This Row],[Age]]&lt;=50,"(41-50)yrs",HR_table[[#This Row],[Age]]&lt;=60,"(51-60)yrs")</f>
        <v>(41-50)yrs</v>
      </c>
      <c r="C251" t="s">
        <v>43</v>
      </c>
      <c r="D251" t="s">
        <v>44</v>
      </c>
      <c r="E251" t="s">
        <v>45</v>
      </c>
      <c r="F251" t="s">
        <v>38</v>
      </c>
      <c r="G251" t="s">
        <v>53</v>
      </c>
      <c r="H251">
        <v>341</v>
      </c>
      <c r="I251" s="2">
        <v>7</v>
      </c>
      <c r="J251" s="2">
        <v>1</v>
      </c>
      <c r="K251" t="s">
        <v>46</v>
      </c>
      <c r="L251" s="2">
        <v>2</v>
      </c>
      <c r="M251" s="2">
        <v>3</v>
      </c>
      <c r="N251" t="s">
        <v>48</v>
      </c>
      <c r="O251" s="2">
        <v>6434</v>
      </c>
      <c r="P251" s="2">
        <v>5118</v>
      </c>
      <c r="Q251" s="2">
        <v>4</v>
      </c>
      <c r="R251" t="s">
        <v>43</v>
      </c>
      <c r="S251" s="2">
        <v>3</v>
      </c>
      <c r="T251" s="2">
        <v>4</v>
      </c>
      <c r="U251">
        <v>80</v>
      </c>
      <c r="V251" s="2">
        <v>9</v>
      </c>
      <c r="W251">
        <v>1</v>
      </c>
      <c r="X251">
        <v>3</v>
      </c>
      <c r="Y251">
        <v>3</v>
      </c>
      <c r="Z251">
        <v>2</v>
      </c>
      <c r="AA251">
        <v>0</v>
      </c>
      <c r="AB251">
        <v>2</v>
      </c>
    </row>
    <row r="252" spans="1:28" x14ac:dyDescent="0.35">
      <c r="A252" s="2">
        <v>37</v>
      </c>
      <c r="B252" s="2" t="str" cm="1">
        <f t="array" ref="B252">_xlfn.IFS(HR_table[[#This Row],[Age]]&lt;=20, "Under 20yrs",HR_table[[#This Row],[Age]]&lt;=30,"(21-30)yrs",HR_table[[#This Row],[Age]]&lt;=40,"(31-40)yrs",HR_table[[#This Row],[Age]]&lt;=50,"(41-50)yrs",HR_table[[#This Row],[Age]]&lt;=60,"(51-60)yrs")</f>
        <v>(31-40)yrs</v>
      </c>
      <c r="C252" t="s">
        <v>35</v>
      </c>
      <c r="D252" t="s">
        <v>44</v>
      </c>
      <c r="E252" t="s">
        <v>45</v>
      </c>
      <c r="F252" t="s">
        <v>51</v>
      </c>
      <c r="G252" t="s">
        <v>53</v>
      </c>
      <c r="H252">
        <v>342</v>
      </c>
      <c r="I252" s="2">
        <v>10</v>
      </c>
      <c r="J252" s="2">
        <v>1</v>
      </c>
      <c r="K252" t="s">
        <v>46</v>
      </c>
      <c r="L252" s="2">
        <v>3</v>
      </c>
      <c r="M252" s="2">
        <v>3</v>
      </c>
      <c r="N252" t="s">
        <v>52</v>
      </c>
      <c r="O252" s="2">
        <v>10048</v>
      </c>
      <c r="P252" s="2">
        <v>22573</v>
      </c>
      <c r="Q252" s="2">
        <v>6</v>
      </c>
      <c r="R252" t="s">
        <v>43</v>
      </c>
      <c r="S252" s="2">
        <v>3</v>
      </c>
      <c r="T252" s="2">
        <v>2</v>
      </c>
      <c r="U252">
        <v>80</v>
      </c>
      <c r="V252" s="2">
        <v>17</v>
      </c>
      <c r="W252">
        <v>5</v>
      </c>
      <c r="X252">
        <v>3</v>
      </c>
      <c r="Y252">
        <v>1</v>
      </c>
      <c r="Z252">
        <v>0</v>
      </c>
      <c r="AA252">
        <v>0</v>
      </c>
      <c r="AB252">
        <v>0</v>
      </c>
    </row>
    <row r="253" spans="1:28" x14ac:dyDescent="0.35">
      <c r="A253" s="2">
        <v>39</v>
      </c>
      <c r="B253" s="2" t="str" cm="1">
        <f t="array" ref="B253">_xlfn.IFS(HR_table[[#This Row],[Age]]&lt;=20, "Under 20yrs",HR_table[[#This Row],[Age]]&lt;=30,"(21-30)yrs",HR_table[[#This Row],[Age]]&lt;=40,"(31-40)yrs",HR_table[[#This Row],[Age]]&lt;=50,"(41-50)yrs",HR_table[[#This Row],[Age]]&lt;=60,"(51-60)yrs")</f>
        <v>(31-40)yrs</v>
      </c>
      <c r="C253" t="s">
        <v>43</v>
      </c>
      <c r="D253" t="s">
        <v>44</v>
      </c>
      <c r="E253" t="s">
        <v>45</v>
      </c>
      <c r="F253" t="s">
        <v>60</v>
      </c>
      <c r="G253" t="s">
        <v>54</v>
      </c>
      <c r="H253">
        <v>343</v>
      </c>
      <c r="I253" s="2">
        <v>2</v>
      </c>
      <c r="J253" s="2">
        <v>3</v>
      </c>
      <c r="K253" t="s">
        <v>39</v>
      </c>
      <c r="L253" s="2">
        <v>3</v>
      </c>
      <c r="M253" s="2">
        <v>3</v>
      </c>
      <c r="N253" t="s">
        <v>41</v>
      </c>
      <c r="O253" s="2">
        <v>10938</v>
      </c>
      <c r="P253" s="2">
        <v>6420</v>
      </c>
      <c r="Q253" s="2">
        <v>0</v>
      </c>
      <c r="R253" t="s">
        <v>43</v>
      </c>
      <c r="S253" s="2">
        <v>4</v>
      </c>
      <c r="T253" s="2">
        <v>4</v>
      </c>
      <c r="U253">
        <v>80</v>
      </c>
      <c r="V253" s="2">
        <v>20</v>
      </c>
      <c r="W253">
        <v>1</v>
      </c>
      <c r="X253">
        <v>3</v>
      </c>
      <c r="Y253">
        <v>19</v>
      </c>
      <c r="Z253">
        <v>6</v>
      </c>
      <c r="AA253">
        <v>11</v>
      </c>
      <c r="AB253">
        <v>8</v>
      </c>
    </row>
    <row r="254" spans="1:28" x14ac:dyDescent="0.35">
      <c r="A254" s="2">
        <v>29</v>
      </c>
      <c r="B254" s="2" t="str" cm="1">
        <f t="array" ref="B254">_xlfn.IFS(HR_table[[#This Row],[Age]]&lt;=20, "Under 20yrs",HR_table[[#This Row],[Age]]&lt;=30,"(21-30)yrs",HR_table[[#This Row],[Age]]&lt;=40,"(31-40)yrs",HR_table[[#This Row],[Age]]&lt;=50,"(41-50)yrs",HR_table[[#This Row],[Age]]&lt;=60,"(51-60)yrs")</f>
        <v>(21-30)yrs</v>
      </c>
      <c r="C254" t="s">
        <v>43</v>
      </c>
      <c r="D254" t="s">
        <v>36</v>
      </c>
      <c r="E254" t="s">
        <v>45</v>
      </c>
      <c r="F254" t="s">
        <v>38</v>
      </c>
      <c r="G254" t="s">
        <v>47</v>
      </c>
      <c r="H254">
        <v>346</v>
      </c>
      <c r="I254" s="2">
        <v>15</v>
      </c>
      <c r="J254" s="2">
        <v>3</v>
      </c>
      <c r="K254" t="s">
        <v>46</v>
      </c>
      <c r="L254" s="2">
        <v>1</v>
      </c>
      <c r="M254" s="2">
        <v>4</v>
      </c>
      <c r="N254" t="s">
        <v>41</v>
      </c>
      <c r="O254" s="2">
        <v>2340</v>
      </c>
      <c r="P254" s="2">
        <v>22673</v>
      </c>
      <c r="Q254" s="2">
        <v>1</v>
      </c>
      <c r="R254" t="s">
        <v>43</v>
      </c>
      <c r="S254" s="2">
        <v>3</v>
      </c>
      <c r="T254" s="2">
        <v>1</v>
      </c>
      <c r="U254">
        <v>80</v>
      </c>
      <c r="V254" s="2">
        <v>6</v>
      </c>
      <c r="W254">
        <v>1</v>
      </c>
      <c r="X254">
        <v>3</v>
      </c>
      <c r="Y254">
        <v>6</v>
      </c>
      <c r="Z254">
        <v>5</v>
      </c>
      <c r="AA254">
        <v>1</v>
      </c>
      <c r="AB254">
        <v>5</v>
      </c>
    </row>
    <row r="255" spans="1:28" x14ac:dyDescent="0.35">
      <c r="A255" s="2">
        <v>42</v>
      </c>
      <c r="B255" s="2" t="str" cm="1">
        <f t="array" ref="B255">_xlfn.IFS(HR_table[[#This Row],[Age]]&lt;=20, "Under 20yrs",HR_table[[#This Row],[Age]]&lt;=30,"(21-30)yrs",HR_table[[#This Row],[Age]]&lt;=40,"(31-40)yrs",HR_table[[#This Row],[Age]]&lt;=50,"(41-50)yrs",HR_table[[#This Row],[Age]]&lt;=60,"(51-60)yrs")</f>
        <v>(41-50)yrs</v>
      </c>
      <c r="C255" t="s">
        <v>43</v>
      </c>
      <c r="D255" t="s">
        <v>36</v>
      </c>
      <c r="E255" t="s">
        <v>45</v>
      </c>
      <c r="F255" t="s">
        <v>38</v>
      </c>
      <c r="G255" t="s">
        <v>47</v>
      </c>
      <c r="H255">
        <v>347</v>
      </c>
      <c r="I255" s="2">
        <v>17</v>
      </c>
      <c r="J255" s="2">
        <v>4</v>
      </c>
      <c r="K255" t="s">
        <v>39</v>
      </c>
      <c r="L255" s="2">
        <v>2</v>
      </c>
      <c r="M255" s="2">
        <v>1</v>
      </c>
      <c r="N255" t="s">
        <v>41</v>
      </c>
      <c r="O255" s="2">
        <v>6545</v>
      </c>
      <c r="P255" s="2">
        <v>23016</v>
      </c>
      <c r="Q255" s="2">
        <v>3</v>
      </c>
      <c r="R255" t="s">
        <v>35</v>
      </c>
      <c r="S255" s="2">
        <v>3</v>
      </c>
      <c r="T255" s="2">
        <v>3</v>
      </c>
      <c r="U255">
        <v>80</v>
      </c>
      <c r="V255" s="2">
        <v>10</v>
      </c>
      <c r="W255">
        <v>1</v>
      </c>
      <c r="X255">
        <v>3</v>
      </c>
      <c r="Y255">
        <v>3</v>
      </c>
      <c r="Z255">
        <v>2</v>
      </c>
      <c r="AA255">
        <v>0</v>
      </c>
      <c r="AB255">
        <v>2</v>
      </c>
    </row>
    <row r="256" spans="1:28" x14ac:dyDescent="0.35">
      <c r="A256" s="2">
        <v>29</v>
      </c>
      <c r="B256" s="2" t="str" cm="1">
        <f t="array" ref="B256">_xlfn.IFS(HR_table[[#This Row],[Age]]&lt;=20, "Under 20yrs",HR_table[[#This Row],[Age]]&lt;=30,"(21-30)yrs",HR_table[[#This Row],[Age]]&lt;=40,"(31-40)yrs",HR_table[[#This Row],[Age]]&lt;=50,"(41-50)yrs",HR_table[[#This Row],[Age]]&lt;=60,"(51-60)yrs")</f>
        <v>(21-30)yrs</v>
      </c>
      <c r="C256" t="s">
        <v>43</v>
      </c>
      <c r="D256" t="s">
        <v>36</v>
      </c>
      <c r="E256" t="s">
        <v>37</v>
      </c>
      <c r="F256" t="s">
        <v>59</v>
      </c>
      <c r="G256" t="s">
        <v>40</v>
      </c>
      <c r="H256">
        <v>349</v>
      </c>
      <c r="I256" s="2">
        <v>20</v>
      </c>
      <c r="J256" s="2">
        <v>4</v>
      </c>
      <c r="K256" t="s">
        <v>46</v>
      </c>
      <c r="L256" s="2">
        <v>2</v>
      </c>
      <c r="M256" s="2">
        <v>4</v>
      </c>
      <c r="N256" t="s">
        <v>52</v>
      </c>
      <c r="O256" s="2">
        <v>6931</v>
      </c>
      <c r="P256" s="2">
        <v>10732</v>
      </c>
      <c r="Q256" s="2">
        <v>2</v>
      </c>
      <c r="R256" t="s">
        <v>43</v>
      </c>
      <c r="S256" s="2">
        <v>3</v>
      </c>
      <c r="T256" s="2">
        <v>4</v>
      </c>
      <c r="U256">
        <v>80</v>
      </c>
      <c r="V256" s="2">
        <v>10</v>
      </c>
      <c r="W256">
        <v>2</v>
      </c>
      <c r="X256">
        <v>3</v>
      </c>
      <c r="Y256">
        <v>3</v>
      </c>
      <c r="Z256">
        <v>2</v>
      </c>
      <c r="AA256">
        <v>0</v>
      </c>
      <c r="AB256">
        <v>2</v>
      </c>
    </row>
    <row r="257" spans="1:28" x14ac:dyDescent="0.35">
      <c r="A257" s="2">
        <v>25</v>
      </c>
      <c r="B257" s="2" t="str" cm="1">
        <f t="array" ref="B257">_xlfn.IFS(HR_table[[#This Row],[Age]]&lt;=20, "Under 20yrs",HR_table[[#This Row],[Age]]&lt;=30,"(21-30)yrs",HR_table[[#This Row],[Age]]&lt;=40,"(31-40)yrs",HR_table[[#This Row],[Age]]&lt;=50,"(41-50)yrs",HR_table[[#This Row],[Age]]&lt;=60,"(51-60)yrs")</f>
        <v>(21-30)yrs</v>
      </c>
      <c r="C257" t="s">
        <v>43</v>
      </c>
      <c r="D257" t="s">
        <v>36</v>
      </c>
      <c r="E257" t="s">
        <v>45</v>
      </c>
      <c r="F257" t="s">
        <v>38</v>
      </c>
      <c r="G257" t="s">
        <v>53</v>
      </c>
      <c r="H257">
        <v>350</v>
      </c>
      <c r="I257" s="2">
        <v>1</v>
      </c>
      <c r="J257" s="2">
        <v>1</v>
      </c>
      <c r="K257" t="s">
        <v>39</v>
      </c>
      <c r="L257" s="2">
        <v>2</v>
      </c>
      <c r="M257" s="2">
        <v>3</v>
      </c>
      <c r="N257" t="s">
        <v>48</v>
      </c>
      <c r="O257" s="2">
        <v>4898</v>
      </c>
      <c r="P257" s="2">
        <v>7505</v>
      </c>
      <c r="Q257" s="2">
        <v>0</v>
      </c>
      <c r="R257" t="s">
        <v>43</v>
      </c>
      <c r="S257" s="2">
        <v>3</v>
      </c>
      <c r="T257" s="2">
        <v>4</v>
      </c>
      <c r="U257">
        <v>80</v>
      </c>
      <c r="V257" s="2">
        <v>5</v>
      </c>
      <c r="W257">
        <v>3</v>
      </c>
      <c r="X257">
        <v>3</v>
      </c>
      <c r="Y257">
        <v>4</v>
      </c>
      <c r="Z257">
        <v>2</v>
      </c>
      <c r="AA257">
        <v>1</v>
      </c>
      <c r="AB257">
        <v>2</v>
      </c>
    </row>
    <row r="258" spans="1:28" x14ac:dyDescent="0.35">
      <c r="A258" s="2">
        <v>42</v>
      </c>
      <c r="B258" s="2" t="str" cm="1">
        <f t="array" ref="B258">_xlfn.IFS(HR_table[[#This Row],[Age]]&lt;=20, "Under 20yrs",HR_table[[#This Row],[Age]]&lt;=30,"(21-30)yrs",HR_table[[#This Row],[Age]]&lt;=40,"(31-40)yrs",HR_table[[#This Row],[Age]]&lt;=50,"(41-50)yrs",HR_table[[#This Row],[Age]]&lt;=60,"(51-60)yrs")</f>
        <v>(41-50)yrs</v>
      </c>
      <c r="C258" t="s">
        <v>43</v>
      </c>
      <c r="D258" t="s">
        <v>36</v>
      </c>
      <c r="E258" t="s">
        <v>45</v>
      </c>
      <c r="F258" t="s">
        <v>51</v>
      </c>
      <c r="G258" t="s">
        <v>50</v>
      </c>
      <c r="H258">
        <v>351</v>
      </c>
      <c r="I258" s="2">
        <v>2</v>
      </c>
      <c r="J258" s="2">
        <v>4</v>
      </c>
      <c r="K258" t="s">
        <v>39</v>
      </c>
      <c r="L258" s="2">
        <v>1</v>
      </c>
      <c r="M258" s="2">
        <v>1</v>
      </c>
      <c r="N258" t="s">
        <v>52</v>
      </c>
      <c r="O258" s="2">
        <v>2593</v>
      </c>
      <c r="P258" s="2">
        <v>8007</v>
      </c>
      <c r="Q258" s="2">
        <v>0</v>
      </c>
      <c r="R258" t="s">
        <v>35</v>
      </c>
      <c r="S258" s="2">
        <v>3</v>
      </c>
      <c r="T258" s="2">
        <v>3</v>
      </c>
      <c r="U258">
        <v>80</v>
      </c>
      <c r="V258" s="2">
        <v>10</v>
      </c>
      <c r="W258">
        <v>4</v>
      </c>
      <c r="X258">
        <v>3</v>
      </c>
      <c r="Y258">
        <v>9</v>
      </c>
      <c r="Z258">
        <v>6</v>
      </c>
      <c r="AA258">
        <v>7</v>
      </c>
      <c r="AB258">
        <v>8</v>
      </c>
    </row>
    <row r="259" spans="1:28" x14ac:dyDescent="0.35">
      <c r="A259" s="2">
        <v>40</v>
      </c>
      <c r="B259" s="2" t="str" cm="1">
        <f t="array" ref="B259">_xlfn.IFS(HR_table[[#This Row],[Age]]&lt;=20, "Under 20yrs",HR_table[[#This Row],[Age]]&lt;=30,"(21-30)yrs",HR_table[[#This Row],[Age]]&lt;=40,"(31-40)yrs",HR_table[[#This Row],[Age]]&lt;=50,"(41-50)yrs",HR_table[[#This Row],[Age]]&lt;=60,"(51-60)yrs")</f>
        <v>(31-40)yrs</v>
      </c>
      <c r="C259" t="s">
        <v>43</v>
      </c>
      <c r="D259" t="s">
        <v>36</v>
      </c>
      <c r="E259" t="s">
        <v>45</v>
      </c>
      <c r="F259" t="s">
        <v>51</v>
      </c>
      <c r="G259" t="s">
        <v>58</v>
      </c>
      <c r="H259">
        <v>352</v>
      </c>
      <c r="I259" s="2">
        <v>2</v>
      </c>
      <c r="J259" s="2">
        <v>1</v>
      </c>
      <c r="K259" t="s">
        <v>46</v>
      </c>
      <c r="L259" s="2">
        <v>5</v>
      </c>
      <c r="M259" s="2">
        <v>3</v>
      </c>
      <c r="N259" t="s">
        <v>52</v>
      </c>
      <c r="O259" s="2">
        <v>19436</v>
      </c>
      <c r="P259" s="2">
        <v>5949</v>
      </c>
      <c r="Q259" s="2">
        <v>0</v>
      </c>
      <c r="R259" t="s">
        <v>43</v>
      </c>
      <c r="S259" s="2">
        <v>3</v>
      </c>
      <c r="T259" s="2">
        <v>4</v>
      </c>
      <c r="U259">
        <v>80</v>
      </c>
      <c r="V259" s="2">
        <v>22</v>
      </c>
      <c r="W259">
        <v>5</v>
      </c>
      <c r="X259">
        <v>3</v>
      </c>
      <c r="Y259">
        <v>21</v>
      </c>
      <c r="Z259">
        <v>7</v>
      </c>
      <c r="AA259">
        <v>3</v>
      </c>
      <c r="AB259">
        <v>9</v>
      </c>
    </row>
    <row r="260" spans="1:28" x14ac:dyDescent="0.35">
      <c r="A260" s="2">
        <v>51</v>
      </c>
      <c r="B260" s="2" t="str" cm="1">
        <f t="array" ref="B260">_xlfn.IFS(HR_table[[#This Row],[Age]]&lt;=20, "Under 20yrs",HR_table[[#This Row],[Age]]&lt;=30,"(21-30)yrs",HR_table[[#This Row],[Age]]&lt;=40,"(31-40)yrs",HR_table[[#This Row],[Age]]&lt;=50,"(41-50)yrs",HR_table[[#This Row],[Age]]&lt;=60,"(51-60)yrs")</f>
        <v>(51-60)yrs</v>
      </c>
      <c r="C260" t="s">
        <v>43</v>
      </c>
      <c r="D260" t="s">
        <v>36</v>
      </c>
      <c r="E260" t="s">
        <v>45</v>
      </c>
      <c r="F260" t="s">
        <v>38</v>
      </c>
      <c r="G260" t="s">
        <v>47</v>
      </c>
      <c r="H260">
        <v>353</v>
      </c>
      <c r="I260" s="2">
        <v>1</v>
      </c>
      <c r="J260" s="2">
        <v>3</v>
      </c>
      <c r="K260" t="s">
        <v>46</v>
      </c>
      <c r="L260" s="2">
        <v>1</v>
      </c>
      <c r="M260" s="2">
        <v>4</v>
      </c>
      <c r="N260" t="s">
        <v>48</v>
      </c>
      <c r="O260" s="2">
        <v>2723</v>
      </c>
      <c r="P260" s="2">
        <v>23231</v>
      </c>
      <c r="Q260" s="2">
        <v>1</v>
      </c>
      <c r="R260" t="s">
        <v>43</v>
      </c>
      <c r="S260" s="2">
        <v>3</v>
      </c>
      <c r="T260" s="2">
        <v>2</v>
      </c>
      <c r="U260">
        <v>80</v>
      </c>
      <c r="V260" s="2">
        <v>1</v>
      </c>
      <c r="W260">
        <v>0</v>
      </c>
      <c r="X260">
        <v>2</v>
      </c>
      <c r="Y260">
        <v>1</v>
      </c>
      <c r="Z260">
        <v>0</v>
      </c>
      <c r="AA260">
        <v>0</v>
      </c>
      <c r="AB260">
        <v>0</v>
      </c>
    </row>
    <row r="261" spans="1:28" x14ac:dyDescent="0.35">
      <c r="A261" s="2">
        <v>31</v>
      </c>
      <c r="B261" s="2" t="str" cm="1">
        <f t="array" ref="B261">_xlfn.IFS(HR_table[[#This Row],[Age]]&lt;=20, "Under 20yrs",HR_table[[#This Row],[Age]]&lt;=30,"(21-30)yrs",HR_table[[#This Row],[Age]]&lt;=40,"(31-40)yrs",HR_table[[#This Row],[Age]]&lt;=50,"(41-50)yrs",HR_table[[#This Row],[Age]]&lt;=60,"(51-60)yrs")</f>
        <v>(31-40)yrs</v>
      </c>
      <c r="C261" t="s">
        <v>35</v>
      </c>
      <c r="D261" t="s">
        <v>44</v>
      </c>
      <c r="E261" t="s">
        <v>45</v>
      </c>
      <c r="F261" t="s">
        <v>51</v>
      </c>
      <c r="G261" t="s">
        <v>50</v>
      </c>
      <c r="H261">
        <v>355</v>
      </c>
      <c r="I261" s="2">
        <v>29</v>
      </c>
      <c r="J261" s="2">
        <v>3</v>
      </c>
      <c r="K261" t="s">
        <v>46</v>
      </c>
      <c r="L261" s="2">
        <v>1</v>
      </c>
      <c r="M261" s="2">
        <v>2</v>
      </c>
      <c r="N261" t="s">
        <v>41</v>
      </c>
      <c r="O261" s="2">
        <v>3479</v>
      </c>
      <c r="P261" s="2">
        <v>11652</v>
      </c>
      <c r="Q261" s="2">
        <v>0</v>
      </c>
      <c r="R261" t="s">
        <v>43</v>
      </c>
      <c r="S261" s="2">
        <v>3</v>
      </c>
      <c r="T261" s="2">
        <v>2</v>
      </c>
      <c r="U261">
        <v>80</v>
      </c>
      <c r="V261" s="2">
        <v>6</v>
      </c>
      <c r="W261">
        <v>2</v>
      </c>
      <c r="X261">
        <v>4</v>
      </c>
      <c r="Y261">
        <v>5</v>
      </c>
      <c r="Z261">
        <v>4</v>
      </c>
      <c r="AA261">
        <v>1</v>
      </c>
      <c r="AB261">
        <v>4</v>
      </c>
    </row>
    <row r="262" spans="1:28" x14ac:dyDescent="0.35">
      <c r="A262" s="2">
        <v>32</v>
      </c>
      <c r="B262" s="2" t="str" cm="1">
        <f t="array" ref="B262">_xlfn.IFS(HR_table[[#This Row],[Age]]&lt;=20, "Under 20yrs",HR_table[[#This Row],[Age]]&lt;=30,"(21-30)yrs",HR_table[[#This Row],[Age]]&lt;=40,"(31-40)yrs",HR_table[[#This Row],[Age]]&lt;=50,"(41-50)yrs",HR_table[[#This Row],[Age]]&lt;=60,"(51-60)yrs")</f>
        <v>(31-40)yrs</v>
      </c>
      <c r="C262" t="s">
        <v>43</v>
      </c>
      <c r="D262" t="s">
        <v>44</v>
      </c>
      <c r="E262" t="s">
        <v>45</v>
      </c>
      <c r="F262" t="s">
        <v>38</v>
      </c>
      <c r="G262" t="s">
        <v>50</v>
      </c>
      <c r="H262">
        <v>359</v>
      </c>
      <c r="I262" s="2">
        <v>7</v>
      </c>
      <c r="J262" s="2">
        <v>2</v>
      </c>
      <c r="K262" t="s">
        <v>46</v>
      </c>
      <c r="L262" s="2">
        <v>1</v>
      </c>
      <c r="M262" s="2">
        <v>2</v>
      </c>
      <c r="N262" t="s">
        <v>48</v>
      </c>
      <c r="O262" s="2">
        <v>2794</v>
      </c>
      <c r="P262" s="2">
        <v>26062</v>
      </c>
      <c r="Q262" s="2">
        <v>1</v>
      </c>
      <c r="R262" t="s">
        <v>43</v>
      </c>
      <c r="S262" s="2">
        <v>4</v>
      </c>
      <c r="T262" s="2">
        <v>3</v>
      </c>
      <c r="U262">
        <v>80</v>
      </c>
      <c r="V262" s="2">
        <v>5</v>
      </c>
      <c r="W262">
        <v>3</v>
      </c>
      <c r="X262">
        <v>1</v>
      </c>
      <c r="Y262">
        <v>5</v>
      </c>
      <c r="Z262">
        <v>1</v>
      </c>
      <c r="AA262">
        <v>0</v>
      </c>
      <c r="AB262">
        <v>3</v>
      </c>
    </row>
    <row r="263" spans="1:28" x14ac:dyDescent="0.35">
      <c r="A263" s="2">
        <v>38</v>
      </c>
      <c r="B263" s="2" t="str" cm="1">
        <f t="array" ref="B263">_xlfn.IFS(HR_table[[#This Row],[Age]]&lt;=20, "Under 20yrs",HR_table[[#This Row],[Age]]&lt;=30,"(21-30)yrs",HR_table[[#This Row],[Age]]&lt;=40,"(31-40)yrs",HR_table[[#This Row],[Age]]&lt;=50,"(41-50)yrs",HR_table[[#This Row],[Age]]&lt;=60,"(51-60)yrs")</f>
        <v>(31-40)yrs</v>
      </c>
      <c r="C263" t="s">
        <v>43</v>
      </c>
      <c r="D263" t="s">
        <v>55</v>
      </c>
      <c r="E263" t="s">
        <v>37</v>
      </c>
      <c r="F263" t="s">
        <v>38</v>
      </c>
      <c r="G263" t="s">
        <v>40</v>
      </c>
      <c r="H263">
        <v>361</v>
      </c>
      <c r="I263" s="2">
        <v>2</v>
      </c>
      <c r="J263" s="2">
        <v>4</v>
      </c>
      <c r="K263" t="s">
        <v>46</v>
      </c>
      <c r="L263" s="2">
        <v>2</v>
      </c>
      <c r="M263" s="2">
        <v>4</v>
      </c>
      <c r="N263" t="s">
        <v>48</v>
      </c>
      <c r="O263" s="2">
        <v>5249</v>
      </c>
      <c r="P263" s="2">
        <v>19682</v>
      </c>
      <c r="Q263" s="2">
        <v>3</v>
      </c>
      <c r="R263" t="s">
        <v>43</v>
      </c>
      <c r="S263" s="2">
        <v>3</v>
      </c>
      <c r="T263" s="2">
        <v>4</v>
      </c>
      <c r="U263">
        <v>80</v>
      </c>
      <c r="V263" s="2">
        <v>13</v>
      </c>
      <c r="W263">
        <v>0</v>
      </c>
      <c r="X263">
        <v>3</v>
      </c>
      <c r="Y263">
        <v>8</v>
      </c>
      <c r="Z263">
        <v>7</v>
      </c>
      <c r="AA263">
        <v>7</v>
      </c>
      <c r="AB263">
        <v>5</v>
      </c>
    </row>
    <row r="264" spans="1:28" x14ac:dyDescent="0.35">
      <c r="A264" s="2">
        <v>32</v>
      </c>
      <c r="B264" s="2" t="str" cm="1">
        <f t="array" ref="B264">_xlfn.IFS(HR_table[[#This Row],[Age]]&lt;=20, "Under 20yrs",HR_table[[#This Row],[Age]]&lt;=30,"(21-30)yrs",HR_table[[#This Row],[Age]]&lt;=40,"(31-40)yrs",HR_table[[#This Row],[Age]]&lt;=50,"(41-50)yrs",HR_table[[#This Row],[Age]]&lt;=60,"(51-60)yrs")</f>
        <v>(31-40)yrs</v>
      </c>
      <c r="C264" t="s">
        <v>43</v>
      </c>
      <c r="D264" t="s">
        <v>36</v>
      </c>
      <c r="E264" t="s">
        <v>45</v>
      </c>
      <c r="F264" t="s">
        <v>60</v>
      </c>
      <c r="G264" t="s">
        <v>50</v>
      </c>
      <c r="H264">
        <v>362</v>
      </c>
      <c r="I264" s="2">
        <v>2</v>
      </c>
      <c r="J264" s="2">
        <v>4</v>
      </c>
      <c r="K264" t="s">
        <v>46</v>
      </c>
      <c r="L264" s="2">
        <v>2</v>
      </c>
      <c r="M264" s="2">
        <v>1</v>
      </c>
      <c r="N264" t="s">
        <v>41</v>
      </c>
      <c r="O264" s="2">
        <v>2176</v>
      </c>
      <c r="P264" s="2">
        <v>19737</v>
      </c>
      <c r="Q264" s="2">
        <v>4</v>
      </c>
      <c r="R264" t="s">
        <v>43</v>
      </c>
      <c r="S264" s="2">
        <v>3</v>
      </c>
      <c r="T264" s="2">
        <v>4</v>
      </c>
      <c r="U264">
        <v>80</v>
      </c>
      <c r="V264" s="2">
        <v>9</v>
      </c>
      <c r="W264">
        <v>5</v>
      </c>
      <c r="X264">
        <v>3</v>
      </c>
      <c r="Y264">
        <v>6</v>
      </c>
      <c r="Z264">
        <v>2</v>
      </c>
      <c r="AA264">
        <v>0</v>
      </c>
      <c r="AB264">
        <v>4</v>
      </c>
    </row>
    <row r="265" spans="1:28" x14ac:dyDescent="0.35">
      <c r="A265" s="2">
        <v>46</v>
      </c>
      <c r="B265" s="2" t="str" cm="1">
        <f t="array" ref="B265">_xlfn.IFS(HR_table[[#This Row],[Age]]&lt;=20, "Under 20yrs",HR_table[[#This Row],[Age]]&lt;=30,"(21-30)yrs",HR_table[[#This Row],[Age]]&lt;=40,"(31-40)yrs",HR_table[[#This Row],[Age]]&lt;=50,"(41-50)yrs",HR_table[[#This Row],[Age]]&lt;=60,"(51-60)yrs")</f>
        <v>(41-50)yrs</v>
      </c>
      <c r="C265" t="s">
        <v>43</v>
      </c>
      <c r="D265" t="s">
        <v>36</v>
      </c>
      <c r="E265" t="s">
        <v>37</v>
      </c>
      <c r="F265" t="s">
        <v>60</v>
      </c>
      <c r="G265" t="s">
        <v>56</v>
      </c>
      <c r="H265">
        <v>363</v>
      </c>
      <c r="I265" s="2">
        <v>2</v>
      </c>
      <c r="J265" s="2">
        <v>3</v>
      </c>
      <c r="K265" t="s">
        <v>39</v>
      </c>
      <c r="L265" s="2">
        <v>4</v>
      </c>
      <c r="M265" s="2">
        <v>2</v>
      </c>
      <c r="N265" t="s">
        <v>48</v>
      </c>
      <c r="O265" s="2">
        <v>16872</v>
      </c>
      <c r="P265" s="2">
        <v>14977</v>
      </c>
      <c r="Q265" s="2">
        <v>3</v>
      </c>
      <c r="R265" t="s">
        <v>35</v>
      </c>
      <c r="S265" s="2">
        <v>3</v>
      </c>
      <c r="T265" s="2">
        <v>2</v>
      </c>
      <c r="U265">
        <v>80</v>
      </c>
      <c r="V265" s="2">
        <v>28</v>
      </c>
      <c r="W265">
        <v>2</v>
      </c>
      <c r="X265">
        <v>2</v>
      </c>
      <c r="Y265">
        <v>7</v>
      </c>
      <c r="Z265">
        <v>7</v>
      </c>
      <c r="AA265">
        <v>7</v>
      </c>
      <c r="AB265">
        <v>7</v>
      </c>
    </row>
    <row r="266" spans="1:28" x14ac:dyDescent="0.35">
      <c r="A266" s="2">
        <v>28</v>
      </c>
      <c r="B266" s="2" t="str" cm="1">
        <f t="array" ref="B266">_xlfn.IFS(HR_table[[#This Row],[Age]]&lt;=20, "Under 20yrs",HR_table[[#This Row],[Age]]&lt;=30,"(21-30)yrs",HR_table[[#This Row],[Age]]&lt;=40,"(31-40)yrs",HR_table[[#This Row],[Age]]&lt;=50,"(41-50)yrs",HR_table[[#This Row],[Age]]&lt;=60,"(51-60)yrs")</f>
        <v>(21-30)yrs</v>
      </c>
      <c r="C266" t="s">
        <v>35</v>
      </c>
      <c r="D266" t="s">
        <v>36</v>
      </c>
      <c r="E266" t="s">
        <v>45</v>
      </c>
      <c r="F266" t="s">
        <v>38</v>
      </c>
      <c r="G266" t="s">
        <v>50</v>
      </c>
      <c r="H266">
        <v>364</v>
      </c>
      <c r="I266" s="2">
        <v>2</v>
      </c>
      <c r="J266" s="2">
        <v>1</v>
      </c>
      <c r="K266" t="s">
        <v>46</v>
      </c>
      <c r="L266" s="2">
        <v>1</v>
      </c>
      <c r="M266" s="2">
        <v>3</v>
      </c>
      <c r="N266" t="s">
        <v>41</v>
      </c>
      <c r="O266" s="2">
        <v>3485</v>
      </c>
      <c r="P266" s="2">
        <v>14935</v>
      </c>
      <c r="Q266" s="2">
        <v>2</v>
      </c>
      <c r="R266" t="s">
        <v>43</v>
      </c>
      <c r="S266" s="2">
        <v>3</v>
      </c>
      <c r="T266" s="2">
        <v>3</v>
      </c>
      <c r="U266">
        <v>80</v>
      </c>
      <c r="V266" s="2">
        <v>5</v>
      </c>
      <c r="W266">
        <v>5</v>
      </c>
      <c r="X266">
        <v>1</v>
      </c>
      <c r="Y266">
        <v>0</v>
      </c>
      <c r="Z266">
        <v>0</v>
      </c>
      <c r="AA266">
        <v>0</v>
      </c>
      <c r="AB266">
        <v>0</v>
      </c>
    </row>
    <row r="267" spans="1:28" x14ac:dyDescent="0.35">
      <c r="A267" s="2">
        <v>29</v>
      </c>
      <c r="B267" s="2" t="str" cm="1">
        <f t="array" ref="B267">_xlfn.IFS(HR_table[[#This Row],[Age]]&lt;=20, "Under 20yrs",HR_table[[#This Row],[Age]]&lt;=30,"(21-30)yrs",HR_table[[#This Row],[Age]]&lt;=40,"(31-40)yrs",HR_table[[#This Row],[Age]]&lt;=50,"(41-50)yrs",HR_table[[#This Row],[Age]]&lt;=60,"(51-60)yrs")</f>
        <v>(21-30)yrs</v>
      </c>
      <c r="C267" t="s">
        <v>43</v>
      </c>
      <c r="D267" t="s">
        <v>36</v>
      </c>
      <c r="E267" t="s">
        <v>37</v>
      </c>
      <c r="F267" t="s">
        <v>51</v>
      </c>
      <c r="G267" t="s">
        <v>40</v>
      </c>
      <c r="H267">
        <v>366</v>
      </c>
      <c r="I267" s="2">
        <v>2</v>
      </c>
      <c r="J267" s="2">
        <v>1</v>
      </c>
      <c r="K267" t="s">
        <v>46</v>
      </c>
      <c r="L267" s="2">
        <v>2</v>
      </c>
      <c r="M267" s="2">
        <v>2</v>
      </c>
      <c r="N267" t="s">
        <v>48</v>
      </c>
      <c r="O267" s="2">
        <v>6644</v>
      </c>
      <c r="P267" s="2">
        <v>3687</v>
      </c>
      <c r="Q267" s="2">
        <v>2</v>
      </c>
      <c r="R267" t="s">
        <v>43</v>
      </c>
      <c r="S267" s="2">
        <v>3</v>
      </c>
      <c r="T267" s="2">
        <v>2</v>
      </c>
      <c r="U267">
        <v>80</v>
      </c>
      <c r="V267" s="2">
        <v>10</v>
      </c>
      <c r="W267">
        <v>2</v>
      </c>
      <c r="X267">
        <v>3</v>
      </c>
      <c r="Y267">
        <v>0</v>
      </c>
      <c r="Z267">
        <v>0</v>
      </c>
      <c r="AA267">
        <v>0</v>
      </c>
      <c r="AB267">
        <v>0</v>
      </c>
    </row>
    <row r="268" spans="1:28" x14ac:dyDescent="0.35">
      <c r="A268" s="2">
        <v>31</v>
      </c>
      <c r="B268" s="2" t="str" cm="1">
        <f t="array" ref="B268">_xlfn.IFS(HR_table[[#This Row],[Age]]&lt;=20, "Under 20yrs",HR_table[[#This Row],[Age]]&lt;=30,"(21-30)yrs",HR_table[[#This Row],[Age]]&lt;=40,"(31-40)yrs",HR_table[[#This Row],[Age]]&lt;=50,"(41-50)yrs",HR_table[[#This Row],[Age]]&lt;=60,"(51-60)yrs")</f>
        <v>(31-40)yrs</v>
      </c>
      <c r="C268" t="s">
        <v>43</v>
      </c>
      <c r="D268" t="s">
        <v>36</v>
      </c>
      <c r="E268" t="s">
        <v>45</v>
      </c>
      <c r="F268" t="s">
        <v>51</v>
      </c>
      <c r="G268" t="s">
        <v>54</v>
      </c>
      <c r="H268">
        <v>367</v>
      </c>
      <c r="I268" s="2">
        <v>23</v>
      </c>
      <c r="J268" s="2">
        <v>2</v>
      </c>
      <c r="K268" t="s">
        <v>46</v>
      </c>
      <c r="L268" s="2">
        <v>2</v>
      </c>
      <c r="M268" s="2">
        <v>4</v>
      </c>
      <c r="N268" t="s">
        <v>48</v>
      </c>
      <c r="O268" s="2">
        <v>5582</v>
      </c>
      <c r="P268" s="2">
        <v>14408</v>
      </c>
      <c r="Q268" s="2">
        <v>0</v>
      </c>
      <c r="R268" t="s">
        <v>43</v>
      </c>
      <c r="S268" s="2">
        <v>4</v>
      </c>
      <c r="T268" s="2">
        <v>2</v>
      </c>
      <c r="U268">
        <v>80</v>
      </c>
      <c r="V268" s="2">
        <v>10</v>
      </c>
      <c r="W268">
        <v>2</v>
      </c>
      <c r="X268">
        <v>3</v>
      </c>
      <c r="Y268">
        <v>9</v>
      </c>
      <c r="Z268">
        <v>0</v>
      </c>
      <c r="AA268">
        <v>7</v>
      </c>
      <c r="AB268">
        <v>8</v>
      </c>
    </row>
    <row r="269" spans="1:28" x14ac:dyDescent="0.35">
      <c r="A269" s="2">
        <v>25</v>
      </c>
      <c r="B269" s="2" t="str" cm="1">
        <f t="array" ref="B269">_xlfn.IFS(HR_table[[#This Row],[Age]]&lt;=20, "Under 20yrs",HR_table[[#This Row],[Age]]&lt;=30,"(21-30)yrs",HR_table[[#This Row],[Age]]&lt;=40,"(31-40)yrs",HR_table[[#This Row],[Age]]&lt;=50,"(41-50)yrs",HR_table[[#This Row],[Age]]&lt;=60,"(51-60)yrs")</f>
        <v>(21-30)yrs</v>
      </c>
      <c r="C269" t="s">
        <v>43</v>
      </c>
      <c r="D269" t="s">
        <v>55</v>
      </c>
      <c r="E269" t="s">
        <v>45</v>
      </c>
      <c r="F269" t="s">
        <v>38</v>
      </c>
      <c r="G269" t="s">
        <v>54</v>
      </c>
      <c r="H269">
        <v>369</v>
      </c>
      <c r="I269" s="2">
        <v>5</v>
      </c>
      <c r="J269" s="2">
        <v>2</v>
      </c>
      <c r="K269" t="s">
        <v>46</v>
      </c>
      <c r="L269" s="2">
        <v>2</v>
      </c>
      <c r="M269" s="2">
        <v>1</v>
      </c>
      <c r="N269" t="s">
        <v>52</v>
      </c>
      <c r="O269" s="2">
        <v>4000</v>
      </c>
      <c r="P269" s="2">
        <v>18384</v>
      </c>
      <c r="Q269" s="2">
        <v>1</v>
      </c>
      <c r="R269" t="s">
        <v>43</v>
      </c>
      <c r="S269" s="2">
        <v>3</v>
      </c>
      <c r="T269" s="2">
        <v>4</v>
      </c>
      <c r="U269">
        <v>80</v>
      </c>
      <c r="V269" s="2">
        <v>6</v>
      </c>
      <c r="W269">
        <v>2</v>
      </c>
      <c r="X269">
        <v>3</v>
      </c>
      <c r="Y269">
        <v>6</v>
      </c>
      <c r="Z269">
        <v>3</v>
      </c>
      <c r="AA269">
        <v>1</v>
      </c>
      <c r="AB269">
        <v>5</v>
      </c>
    </row>
    <row r="270" spans="1:28" x14ac:dyDescent="0.35">
      <c r="A270" s="2">
        <v>45</v>
      </c>
      <c r="B270" s="2" t="str" cm="1">
        <f t="array" ref="B270">_xlfn.IFS(HR_table[[#This Row],[Age]]&lt;=20, "Under 20yrs",HR_table[[#This Row],[Age]]&lt;=30,"(21-30)yrs",HR_table[[#This Row],[Age]]&lt;=40,"(31-40)yrs",HR_table[[#This Row],[Age]]&lt;=50,"(41-50)yrs",HR_table[[#This Row],[Age]]&lt;=60,"(51-60)yrs")</f>
        <v>(41-50)yrs</v>
      </c>
      <c r="C270" t="s">
        <v>43</v>
      </c>
      <c r="D270" t="s">
        <v>36</v>
      </c>
      <c r="E270" t="s">
        <v>45</v>
      </c>
      <c r="F270" t="s">
        <v>51</v>
      </c>
      <c r="G270" t="s">
        <v>54</v>
      </c>
      <c r="H270">
        <v>372</v>
      </c>
      <c r="I270" s="2">
        <v>20</v>
      </c>
      <c r="J270" s="2">
        <v>3</v>
      </c>
      <c r="K270" t="s">
        <v>46</v>
      </c>
      <c r="L270" s="2">
        <v>4</v>
      </c>
      <c r="M270" s="2">
        <v>4</v>
      </c>
      <c r="N270" t="s">
        <v>48</v>
      </c>
      <c r="O270" s="2">
        <v>13496</v>
      </c>
      <c r="P270" s="2">
        <v>7501</v>
      </c>
      <c r="Q270" s="2">
        <v>0</v>
      </c>
      <c r="R270" t="s">
        <v>35</v>
      </c>
      <c r="S270" s="2">
        <v>3</v>
      </c>
      <c r="T270" s="2">
        <v>2</v>
      </c>
      <c r="U270">
        <v>80</v>
      </c>
      <c r="V270" s="2">
        <v>21</v>
      </c>
      <c r="W270">
        <v>2</v>
      </c>
      <c r="X270">
        <v>3</v>
      </c>
      <c r="Y270">
        <v>20</v>
      </c>
      <c r="Z270">
        <v>7</v>
      </c>
      <c r="AA270">
        <v>4</v>
      </c>
      <c r="AB270">
        <v>10</v>
      </c>
    </row>
    <row r="271" spans="1:28" x14ac:dyDescent="0.35">
      <c r="A271" s="2">
        <v>36</v>
      </c>
      <c r="B271" s="2" t="str" cm="1">
        <f t="array" ref="B271">_xlfn.IFS(HR_table[[#This Row],[Age]]&lt;=20, "Under 20yrs",HR_table[[#This Row],[Age]]&lt;=30,"(21-30)yrs",HR_table[[#This Row],[Age]]&lt;=40,"(31-40)yrs",HR_table[[#This Row],[Age]]&lt;=50,"(41-50)yrs",HR_table[[#This Row],[Age]]&lt;=60,"(51-60)yrs")</f>
        <v>(31-40)yrs</v>
      </c>
      <c r="C271" t="s">
        <v>43</v>
      </c>
      <c r="D271" t="s">
        <v>36</v>
      </c>
      <c r="E271" t="s">
        <v>45</v>
      </c>
      <c r="F271" t="s">
        <v>38</v>
      </c>
      <c r="G271" t="s">
        <v>50</v>
      </c>
      <c r="H271">
        <v>373</v>
      </c>
      <c r="I271" s="2">
        <v>6</v>
      </c>
      <c r="J271" s="2">
        <v>4</v>
      </c>
      <c r="K271" t="s">
        <v>46</v>
      </c>
      <c r="L271" s="2">
        <v>1</v>
      </c>
      <c r="M271" s="2">
        <v>4</v>
      </c>
      <c r="N271" t="s">
        <v>48</v>
      </c>
      <c r="O271" s="2">
        <v>3210</v>
      </c>
      <c r="P271" s="2">
        <v>20251</v>
      </c>
      <c r="Q271" s="2">
        <v>0</v>
      </c>
      <c r="R271" t="s">
        <v>43</v>
      </c>
      <c r="S271" s="2">
        <v>3</v>
      </c>
      <c r="T271" s="2">
        <v>3</v>
      </c>
      <c r="U271">
        <v>80</v>
      </c>
      <c r="V271" s="2">
        <v>16</v>
      </c>
      <c r="W271">
        <v>4</v>
      </c>
      <c r="X271">
        <v>3</v>
      </c>
      <c r="Y271">
        <v>15</v>
      </c>
      <c r="Z271">
        <v>13</v>
      </c>
      <c r="AA271">
        <v>10</v>
      </c>
      <c r="AB271">
        <v>11</v>
      </c>
    </row>
    <row r="272" spans="1:28" x14ac:dyDescent="0.35">
      <c r="A272" s="2">
        <v>55</v>
      </c>
      <c r="B272" s="2" t="str" cm="1">
        <f t="array" ref="B272">_xlfn.IFS(HR_table[[#This Row],[Age]]&lt;=20, "Under 20yrs",HR_table[[#This Row],[Age]]&lt;=30,"(21-30)yrs",HR_table[[#This Row],[Age]]&lt;=40,"(31-40)yrs",HR_table[[#This Row],[Age]]&lt;=50,"(41-50)yrs",HR_table[[#This Row],[Age]]&lt;=60,"(51-60)yrs")</f>
        <v>(51-60)yrs</v>
      </c>
      <c r="C272" t="s">
        <v>43</v>
      </c>
      <c r="D272" t="s">
        <v>36</v>
      </c>
      <c r="E272" t="s">
        <v>45</v>
      </c>
      <c r="F272" t="s">
        <v>51</v>
      </c>
      <c r="G272" t="s">
        <v>56</v>
      </c>
      <c r="H272">
        <v>374</v>
      </c>
      <c r="I272" s="2">
        <v>1</v>
      </c>
      <c r="J272" s="2">
        <v>4</v>
      </c>
      <c r="K272" t="s">
        <v>46</v>
      </c>
      <c r="L272" s="2">
        <v>5</v>
      </c>
      <c r="M272" s="2">
        <v>1</v>
      </c>
      <c r="N272" t="s">
        <v>41</v>
      </c>
      <c r="O272" s="2">
        <v>19045</v>
      </c>
      <c r="P272" s="2">
        <v>18938</v>
      </c>
      <c r="Q272" s="2">
        <v>0</v>
      </c>
      <c r="R272" t="s">
        <v>35</v>
      </c>
      <c r="S272" s="2">
        <v>3</v>
      </c>
      <c r="T272" s="2">
        <v>3</v>
      </c>
      <c r="U272">
        <v>80</v>
      </c>
      <c r="V272" s="2">
        <v>37</v>
      </c>
      <c r="W272">
        <v>2</v>
      </c>
      <c r="X272">
        <v>3</v>
      </c>
      <c r="Y272">
        <v>36</v>
      </c>
      <c r="Z272">
        <v>10</v>
      </c>
      <c r="AA272">
        <v>4</v>
      </c>
      <c r="AB272">
        <v>13</v>
      </c>
    </row>
    <row r="273" spans="1:28" x14ac:dyDescent="0.35">
      <c r="A273" s="2">
        <v>47</v>
      </c>
      <c r="B273" s="2" t="str" cm="1">
        <f t="array" ref="B273">_xlfn.IFS(HR_table[[#This Row],[Age]]&lt;=20, "Under 20yrs",HR_table[[#This Row],[Age]]&lt;=30,"(21-30)yrs",HR_table[[#This Row],[Age]]&lt;=40,"(31-40)yrs",HR_table[[#This Row],[Age]]&lt;=50,"(41-50)yrs",HR_table[[#This Row],[Age]]&lt;=60,"(51-60)yrs")</f>
        <v>(41-50)yrs</v>
      </c>
      <c r="C273" t="s">
        <v>35</v>
      </c>
      <c r="D273" t="s">
        <v>55</v>
      </c>
      <c r="E273" t="s">
        <v>45</v>
      </c>
      <c r="F273" t="s">
        <v>38</v>
      </c>
      <c r="G273" t="s">
        <v>56</v>
      </c>
      <c r="H273">
        <v>376</v>
      </c>
      <c r="I273" s="2">
        <v>29</v>
      </c>
      <c r="J273" s="2">
        <v>1</v>
      </c>
      <c r="K273" t="s">
        <v>46</v>
      </c>
      <c r="L273" s="2">
        <v>3</v>
      </c>
      <c r="M273" s="2">
        <v>2</v>
      </c>
      <c r="N273" t="s">
        <v>48</v>
      </c>
      <c r="O273" s="2">
        <v>11849</v>
      </c>
      <c r="P273" s="2">
        <v>10268</v>
      </c>
      <c r="Q273" s="2">
        <v>1</v>
      </c>
      <c r="R273" t="s">
        <v>35</v>
      </c>
      <c r="S273" s="2">
        <v>3</v>
      </c>
      <c r="T273" s="2">
        <v>4</v>
      </c>
      <c r="U273">
        <v>80</v>
      </c>
      <c r="V273" s="2">
        <v>10</v>
      </c>
      <c r="W273">
        <v>2</v>
      </c>
      <c r="X273">
        <v>2</v>
      </c>
      <c r="Y273">
        <v>10</v>
      </c>
      <c r="Z273">
        <v>7</v>
      </c>
      <c r="AA273">
        <v>9</v>
      </c>
      <c r="AB273">
        <v>9</v>
      </c>
    </row>
    <row r="274" spans="1:28" x14ac:dyDescent="0.35">
      <c r="A274" s="2">
        <v>28</v>
      </c>
      <c r="B274" s="2" t="str" cm="1">
        <f t="array" ref="B274">_xlfn.IFS(HR_table[[#This Row],[Age]]&lt;=20, "Under 20yrs",HR_table[[#This Row],[Age]]&lt;=30,"(21-30)yrs",HR_table[[#This Row],[Age]]&lt;=40,"(31-40)yrs",HR_table[[#This Row],[Age]]&lt;=50,"(41-50)yrs",HR_table[[#This Row],[Age]]&lt;=60,"(51-60)yrs")</f>
        <v>(21-30)yrs</v>
      </c>
      <c r="C274" t="s">
        <v>43</v>
      </c>
      <c r="D274" t="s">
        <v>36</v>
      </c>
      <c r="E274" t="s">
        <v>45</v>
      </c>
      <c r="F274" t="s">
        <v>51</v>
      </c>
      <c r="G274" t="s">
        <v>47</v>
      </c>
      <c r="H274">
        <v>377</v>
      </c>
      <c r="I274" s="2">
        <v>9</v>
      </c>
      <c r="J274" s="2">
        <v>4</v>
      </c>
      <c r="K274" t="s">
        <v>46</v>
      </c>
      <c r="L274" s="2">
        <v>1</v>
      </c>
      <c r="M274" s="2">
        <v>4</v>
      </c>
      <c r="N274" t="s">
        <v>48</v>
      </c>
      <c r="O274" s="2">
        <v>2070</v>
      </c>
      <c r="P274" s="2">
        <v>2613</v>
      </c>
      <c r="Q274" s="2">
        <v>1</v>
      </c>
      <c r="R274" t="s">
        <v>43</v>
      </c>
      <c r="S274" s="2">
        <v>4</v>
      </c>
      <c r="T274" s="2">
        <v>4</v>
      </c>
      <c r="U274">
        <v>80</v>
      </c>
      <c r="V274" s="2">
        <v>5</v>
      </c>
      <c r="W274">
        <v>3</v>
      </c>
      <c r="X274">
        <v>2</v>
      </c>
      <c r="Y274">
        <v>5</v>
      </c>
      <c r="Z274">
        <v>2</v>
      </c>
      <c r="AA274">
        <v>0</v>
      </c>
      <c r="AB274">
        <v>4</v>
      </c>
    </row>
    <row r="275" spans="1:28" x14ac:dyDescent="0.35">
      <c r="A275" s="2">
        <v>37</v>
      </c>
      <c r="B275" s="2" t="str" cm="1">
        <f t="array" ref="B275">_xlfn.IFS(HR_table[[#This Row],[Age]]&lt;=20, "Under 20yrs",HR_table[[#This Row],[Age]]&lt;=30,"(21-30)yrs",HR_table[[#This Row],[Age]]&lt;=40,"(31-40)yrs",HR_table[[#This Row],[Age]]&lt;=50,"(41-50)yrs",HR_table[[#This Row],[Age]]&lt;=60,"(51-60)yrs")</f>
        <v>(31-40)yrs</v>
      </c>
      <c r="C275" t="s">
        <v>43</v>
      </c>
      <c r="D275" t="s">
        <v>36</v>
      </c>
      <c r="E275" t="s">
        <v>37</v>
      </c>
      <c r="F275" t="s">
        <v>51</v>
      </c>
      <c r="G275" t="s">
        <v>40</v>
      </c>
      <c r="H275">
        <v>378</v>
      </c>
      <c r="I275" s="2">
        <v>6</v>
      </c>
      <c r="J275" s="2">
        <v>3</v>
      </c>
      <c r="K275" t="s">
        <v>46</v>
      </c>
      <c r="L275" s="2">
        <v>2</v>
      </c>
      <c r="M275" s="2">
        <v>4</v>
      </c>
      <c r="N275" t="s">
        <v>48</v>
      </c>
      <c r="O275" s="2">
        <v>6502</v>
      </c>
      <c r="P275" s="2">
        <v>22825</v>
      </c>
      <c r="Q275" s="2">
        <v>4</v>
      </c>
      <c r="R275" t="s">
        <v>43</v>
      </c>
      <c r="S275" s="2">
        <v>3</v>
      </c>
      <c r="T275" s="2">
        <v>2</v>
      </c>
      <c r="U275">
        <v>80</v>
      </c>
      <c r="V275" s="2">
        <v>7</v>
      </c>
      <c r="W275">
        <v>5</v>
      </c>
      <c r="X275">
        <v>4</v>
      </c>
      <c r="Y275">
        <v>5</v>
      </c>
      <c r="Z275">
        <v>4</v>
      </c>
      <c r="AA275">
        <v>0</v>
      </c>
      <c r="AB275">
        <v>1</v>
      </c>
    </row>
    <row r="276" spans="1:28" x14ac:dyDescent="0.35">
      <c r="A276" s="2">
        <v>21</v>
      </c>
      <c r="B276" s="2" t="str" cm="1">
        <f t="array" ref="B276">_xlfn.IFS(HR_table[[#This Row],[Age]]&lt;=20, "Under 20yrs",HR_table[[#This Row],[Age]]&lt;=30,"(21-30)yrs",HR_table[[#This Row],[Age]]&lt;=40,"(31-40)yrs",HR_table[[#This Row],[Age]]&lt;=50,"(41-50)yrs",HR_table[[#This Row],[Age]]&lt;=60,"(51-60)yrs")</f>
        <v>(21-30)yrs</v>
      </c>
      <c r="C276" t="s">
        <v>43</v>
      </c>
      <c r="D276" t="s">
        <v>36</v>
      </c>
      <c r="E276" t="s">
        <v>45</v>
      </c>
      <c r="F276" t="s">
        <v>51</v>
      </c>
      <c r="G276" t="s">
        <v>47</v>
      </c>
      <c r="H276">
        <v>379</v>
      </c>
      <c r="I276" s="2">
        <v>3</v>
      </c>
      <c r="J276" s="2">
        <v>4</v>
      </c>
      <c r="K276" t="s">
        <v>46</v>
      </c>
      <c r="L276" s="2">
        <v>1</v>
      </c>
      <c r="M276" s="2">
        <v>3</v>
      </c>
      <c r="N276" t="s">
        <v>41</v>
      </c>
      <c r="O276" s="2">
        <v>3230</v>
      </c>
      <c r="P276" s="2">
        <v>10531</v>
      </c>
      <c r="Q276" s="2">
        <v>1</v>
      </c>
      <c r="R276" t="s">
        <v>43</v>
      </c>
      <c r="S276" s="2">
        <v>3</v>
      </c>
      <c r="T276" s="2">
        <v>1</v>
      </c>
      <c r="U276">
        <v>80</v>
      </c>
      <c r="V276" s="2">
        <v>3</v>
      </c>
      <c r="W276">
        <v>4</v>
      </c>
      <c r="X276">
        <v>4</v>
      </c>
      <c r="Y276">
        <v>3</v>
      </c>
      <c r="Z276">
        <v>2</v>
      </c>
      <c r="AA276">
        <v>1</v>
      </c>
      <c r="AB276">
        <v>0</v>
      </c>
    </row>
    <row r="277" spans="1:28" x14ac:dyDescent="0.35">
      <c r="A277" s="2">
        <v>37</v>
      </c>
      <c r="B277" s="2" t="str" cm="1">
        <f t="array" ref="B277">_xlfn.IFS(HR_table[[#This Row],[Age]]&lt;=20, "Under 20yrs",HR_table[[#This Row],[Age]]&lt;=30,"(21-30)yrs",HR_table[[#This Row],[Age]]&lt;=40,"(31-40)yrs",HR_table[[#This Row],[Age]]&lt;=50,"(41-50)yrs",HR_table[[#This Row],[Age]]&lt;=60,"(51-60)yrs")</f>
        <v>(31-40)yrs</v>
      </c>
      <c r="C277" t="s">
        <v>43</v>
      </c>
      <c r="D277" t="s">
        <v>55</v>
      </c>
      <c r="E277" t="s">
        <v>45</v>
      </c>
      <c r="F277" t="s">
        <v>51</v>
      </c>
      <c r="G277" t="s">
        <v>58</v>
      </c>
      <c r="H277">
        <v>380</v>
      </c>
      <c r="I277" s="2">
        <v>1</v>
      </c>
      <c r="J277" s="2">
        <v>1</v>
      </c>
      <c r="K277" t="s">
        <v>39</v>
      </c>
      <c r="L277" s="2">
        <v>3</v>
      </c>
      <c r="M277" s="2">
        <v>4</v>
      </c>
      <c r="N277" t="s">
        <v>52</v>
      </c>
      <c r="O277" s="2">
        <v>13603</v>
      </c>
      <c r="P277" s="2">
        <v>11677</v>
      </c>
      <c r="Q277" s="2">
        <v>2</v>
      </c>
      <c r="R277" t="s">
        <v>35</v>
      </c>
      <c r="S277" s="2">
        <v>3</v>
      </c>
      <c r="T277" s="2">
        <v>1</v>
      </c>
      <c r="U277">
        <v>80</v>
      </c>
      <c r="V277" s="2">
        <v>15</v>
      </c>
      <c r="W277">
        <v>2</v>
      </c>
      <c r="X277">
        <v>3</v>
      </c>
      <c r="Y277">
        <v>5</v>
      </c>
      <c r="Z277">
        <v>2</v>
      </c>
      <c r="AA277">
        <v>0</v>
      </c>
      <c r="AB277">
        <v>2</v>
      </c>
    </row>
    <row r="278" spans="1:28" x14ac:dyDescent="0.35">
      <c r="A278" s="2">
        <v>35</v>
      </c>
      <c r="B278" s="2" t="str" cm="1">
        <f t="array" ref="B278">_xlfn.IFS(HR_table[[#This Row],[Age]]&lt;=20, "Under 20yrs",HR_table[[#This Row],[Age]]&lt;=30,"(21-30)yrs",HR_table[[#This Row],[Age]]&lt;=40,"(31-40)yrs",HR_table[[#This Row],[Age]]&lt;=50,"(41-50)yrs",HR_table[[#This Row],[Age]]&lt;=60,"(51-60)yrs")</f>
        <v>(31-40)yrs</v>
      </c>
      <c r="C278" t="s">
        <v>43</v>
      </c>
      <c r="D278" t="s">
        <v>36</v>
      </c>
      <c r="E278" t="s">
        <v>45</v>
      </c>
      <c r="F278" t="s">
        <v>38</v>
      </c>
      <c r="G278" t="s">
        <v>56</v>
      </c>
      <c r="H278">
        <v>381</v>
      </c>
      <c r="I278" s="2">
        <v>22</v>
      </c>
      <c r="J278" s="2">
        <v>2</v>
      </c>
      <c r="K278" t="s">
        <v>39</v>
      </c>
      <c r="L278" s="2">
        <v>3</v>
      </c>
      <c r="M278" s="2">
        <v>2</v>
      </c>
      <c r="N278" t="s">
        <v>52</v>
      </c>
      <c r="O278" s="2">
        <v>11996</v>
      </c>
      <c r="P278" s="2">
        <v>19100</v>
      </c>
      <c r="Q278" s="2">
        <v>7</v>
      </c>
      <c r="R278" t="s">
        <v>43</v>
      </c>
      <c r="S278" s="2">
        <v>3</v>
      </c>
      <c r="T278" s="2">
        <v>2</v>
      </c>
      <c r="U278">
        <v>80</v>
      </c>
      <c r="V278" s="2">
        <v>10</v>
      </c>
      <c r="W278">
        <v>6</v>
      </c>
      <c r="X278">
        <v>2</v>
      </c>
      <c r="Y278">
        <v>7</v>
      </c>
      <c r="Z278">
        <v>7</v>
      </c>
      <c r="AA278">
        <v>6</v>
      </c>
      <c r="AB278">
        <v>2</v>
      </c>
    </row>
    <row r="279" spans="1:28" x14ac:dyDescent="0.35">
      <c r="A279" s="2">
        <v>38</v>
      </c>
      <c r="B279" s="2" t="str" cm="1">
        <f t="array" ref="B279">_xlfn.IFS(HR_table[[#This Row],[Age]]&lt;=20, "Under 20yrs",HR_table[[#This Row],[Age]]&lt;=30,"(21-30)yrs",HR_table[[#This Row],[Age]]&lt;=40,"(31-40)yrs",HR_table[[#This Row],[Age]]&lt;=50,"(41-50)yrs",HR_table[[#This Row],[Age]]&lt;=60,"(51-60)yrs")</f>
        <v>(31-40)yrs</v>
      </c>
      <c r="C279" t="s">
        <v>43</v>
      </c>
      <c r="D279" t="s">
        <v>36</v>
      </c>
      <c r="E279" t="s">
        <v>37</v>
      </c>
      <c r="F279" t="s">
        <v>51</v>
      </c>
      <c r="G279" t="s">
        <v>40</v>
      </c>
      <c r="H279">
        <v>382</v>
      </c>
      <c r="I279" s="2">
        <v>7</v>
      </c>
      <c r="J279" s="2">
        <v>1</v>
      </c>
      <c r="K279" t="s">
        <v>39</v>
      </c>
      <c r="L279" s="2">
        <v>2</v>
      </c>
      <c r="M279" s="2">
        <v>1</v>
      </c>
      <c r="N279" t="s">
        <v>52</v>
      </c>
      <c r="O279" s="2">
        <v>5605</v>
      </c>
      <c r="P279" s="2">
        <v>19191</v>
      </c>
      <c r="Q279" s="2">
        <v>1</v>
      </c>
      <c r="R279" t="s">
        <v>35</v>
      </c>
      <c r="S279" s="2">
        <v>4</v>
      </c>
      <c r="T279" s="2">
        <v>3</v>
      </c>
      <c r="U279">
        <v>80</v>
      </c>
      <c r="V279" s="2">
        <v>8</v>
      </c>
      <c r="W279">
        <v>3</v>
      </c>
      <c r="X279">
        <v>3</v>
      </c>
      <c r="Y279">
        <v>8</v>
      </c>
      <c r="Z279">
        <v>0</v>
      </c>
      <c r="AA279">
        <v>7</v>
      </c>
      <c r="AB279">
        <v>7</v>
      </c>
    </row>
    <row r="280" spans="1:28" x14ac:dyDescent="0.35">
      <c r="A280" s="2">
        <v>26</v>
      </c>
      <c r="B280" s="2" t="str" cm="1">
        <f t="array" ref="B280">_xlfn.IFS(HR_table[[#This Row],[Age]]&lt;=20, "Under 20yrs",HR_table[[#This Row],[Age]]&lt;=30,"(21-30)yrs",HR_table[[#This Row],[Age]]&lt;=40,"(31-40)yrs",HR_table[[#This Row],[Age]]&lt;=50,"(41-50)yrs",HR_table[[#This Row],[Age]]&lt;=60,"(51-60)yrs")</f>
        <v>(21-30)yrs</v>
      </c>
      <c r="C280" t="s">
        <v>43</v>
      </c>
      <c r="D280" t="s">
        <v>44</v>
      </c>
      <c r="E280" t="s">
        <v>45</v>
      </c>
      <c r="F280" t="s">
        <v>38</v>
      </c>
      <c r="G280" t="s">
        <v>53</v>
      </c>
      <c r="H280">
        <v>384</v>
      </c>
      <c r="I280" s="2">
        <v>1</v>
      </c>
      <c r="J280" s="2">
        <v>3</v>
      </c>
      <c r="K280" t="s">
        <v>39</v>
      </c>
      <c r="L280" s="2">
        <v>2</v>
      </c>
      <c r="M280" s="2">
        <v>2</v>
      </c>
      <c r="N280" t="s">
        <v>52</v>
      </c>
      <c r="O280" s="2">
        <v>6397</v>
      </c>
      <c r="P280" s="2">
        <v>26767</v>
      </c>
      <c r="Q280" s="2">
        <v>1</v>
      </c>
      <c r="R280" t="s">
        <v>43</v>
      </c>
      <c r="S280" s="2">
        <v>4</v>
      </c>
      <c r="T280" s="2">
        <v>1</v>
      </c>
      <c r="U280">
        <v>80</v>
      </c>
      <c r="V280" s="2">
        <v>6</v>
      </c>
      <c r="W280">
        <v>6</v>
      </c>
      <c r="X280">
        <v>1</v>
      </c>
      <c r="Y280">
        <v>6</v>
      </c>
      <c r="Z280">
        <v>5</v>
      </c>
      <c r="AA280">
        <v>1</v>
      </c>
      <c r="AB280">
        <v>4</v>
      </c>
    </row>
    <row r="281" spans="1:28" x14ac:dyDescent="0.35">
      <c r="A281" s="2">
        <v>50</v>
      </c>
      <c r="B281" s="2" t="str" cm="1">
        <f t="array" ref="B281">_xlfn.IFS(HR_table[[#This Row],[Age]]&lt;=20, "Under 20yrs",HR_table[[#This Row],[Age]]&lt;=30,"(21-30)yrs",HR_table[[#This Row],[Age]]&lt;=40,"(31-40)yrs",HR_table[[#This Row],[Age]]&lt;=50,"(41-50)yrs",HR_table[[#This Row],[Age]]&lt;=60,"(51-60)yrs")</f>
        <v>(41-50)yrs</v>
      </c>
      <c r="C281" t="s">
        <v>43</v>
      </c>
      <c r="D281" t="s">
        <v>36</v>
      </c>
      <c r="E281" t="s">
        <v>45</v>
      </c>
      <c r="F281" t="s">
        <v>38</v>
      </c>
      <c r="G281" t="s">
        <v>58</v>
      </c>
      <c r="H281">
        <v>385</v>
      </c>
      <c r="I281" s="2">
        <v>4</v>
      </c>
      <c r="J281" s="2">
        <v>1</v>
      </c>
      <c r="K281" t="s">
        <v>46</v>
      </c>
      <c r="L281" s="2">
        <v>5</v>
      </c>
      <c r="M281" s="2">
        <v>2</v>
      </c>
      <c r="N281" t="s">
        <v>52</v>
      </c>
      <c r="O281" s="2">
        <v>19144</v>
      </c>
      <c r="P281" s="2">
        <v>15815</v>
      </c>
      <c r="Q281" s="2">
        <v>3</v>
      </c>
      <c r="R281" t="s">
        <v>43</v>
      </c>
      <c r="S281" s="2">
        <v>3</v>
      </c>
      <c r="T281" s="2">
        <v>1</v>
      </c>
      <c r="U281">
        <v>80</v>
      </c>
      <c r="V281" s="2">
        <v>28</v>
      </c>
      <c r="W281">
        <v>4</v>
      </c>
      <c r="X281">
        <v>2</v>
      </c>
      <c r="Y281">
        <v>10</v>
      </c>
      <c r="Z281">
        <v>4</v>
      </c>
      <c r="AA281">
        <v>1</v>
      </c>
      <c r="AB281">
        <v>6</v>
      </c>
    </row>
    <row r="282" spans="1:28" x14ac:dyDescent="0.35">
      <c r="A282" s="2">
        <v>53</v>
      </c>
      <c r="B282" s="2" t="str" cm="1">
        <f t="array" ref="B282">_xlfn.IFS(HR_table[[#This Row],[Age]]&lt;=20, "Under 20yrs",HR_table[[#This Row],[Age]]&lt;=30,"(21-30)yrs",HR_table[[#This Row],[Age]]&lt;=40,"(31-40)yrs",HR_table[[#This Row],[Age]]&lt;=50,"(41-50)yrs",HR_table[[#This Row],[Age]]&lt;=60,"(51-60)yrs")</f>
        <v>(51-60)yrs</v>
      </c>
      <c r="C282" t="s">
        <v>43</v>
      </c>
      <c r="D282" t="s">
        <v>36</v>
      </c>
      <c r="E282" t="s">
        <v>45</v>
      </c>
      <c r="F282" t="s">
        <v>51</v>
      </c>
      <c r="G282" t="s">
        <v>58</v>
      </c>
      <c r="H282">
        <v>386</v>
      </c>
      <c r="I282" s="2">
        <v>3</v>
      </c>
      <c r="J282" s="2">
        <v>3</v>
      </c>
      <c r="K282" t="s">
        <v>46</v>
      </c>
      <c r="L282" s="2">
        <v>4</v>
      </c>
      <c r="M282" s="2">
        <v>3</v>
      </c>
      <c r="N282" t="s">
        <v>48</v>
      </c>
      <c r="O282" s="2">
        <v>17584</v>
      </c>
      <c r="P282" s="2">
        <v>21016</v>
      </c>
      <c r="Q282" s="2">
        <v>3</v>
      </c>
      <c r="R282" t="s">
        <v>35</v>
      </c>
      <c r="S282" s="2">
        <v>3</v>
      </c>
      <c r="T282" s="2">
        <v>4</v>
      </c>
      <c r="U282">
        <v>80</v>
      </c>
      <c r="V282" s="2">
        <v>21</v>
      </c>
      <c r="W282">
        <v>5</v>
      </c>
      <c r="X282">
        <v>2</v>
      </c>
      <c r="Y282">
        <v>5</v>
      </c>
      <c r="Z282">
        <v>3</v>
      </c>
      <c r="AA282">
        <v>1</v>
      </c>
      <c r="AB282">
        <v>3</v>
      </c>
    </row>
    <row r="283" spans="1:28" x14ac:dyDescent="0.35">
      <c r="A283" s="2">
        <v>42</v>
      </c>
      <c r="B283" s="2" t="str" cm="1">
        <f t="array" ref="B283">_xlfn.IFS(HR_table[[#This Row],[Age]]&lt;=20, "Under 20yrs",HR_table[[#This Row],[Age]]&lt;=30,"(21-30)yrs",HR_table[[#This Row],[Age]]&lt;=40,"(31-40)yrs",HR_table[[#This Row],[Age]]&lt;=50,"(41-50)yrs",HR_table[[#This Row],[Age]]&lt;=60,"(51-60)yrs")</f>
        <v>(41-50)yrs</v>
      </c>
      <c r="C283" t="s">
        <v>43</v>
      </c>
      <c r="D283" t="s">
        <v>36</v>
      </c>
      <c r="E283" t="s">
        <v>37</v>
      </c>
      <c r="F283" t="s">
        <v>38</v>
      </c>
      <c r="G283" t="s">
        <v>40</v>
      </c>
      <c r="H283">
        <v>387</v>
      </c>
      <c r="I283" s="2">
        <v>1</v>
      </c>
      <c r="J283" s="2">
        <v>2</v>
      </c>
      <c r="K283" t="s">
        <v>46</v>
      </c>
      <c r="L283" s="2">
        <v>2</v>
      </c>
      <c r="M283" s="2">
        <v>3</v>
      </c>
      <c r="N283" t="s">
        <v>48</v>
      </c>
      <c r="O283" s="2">
        <v>4907</v>
      </c>
      <c r="P283" s="2">
        <v>24532</v>
      </c>
      <c r="Q283" s="2">
        <v>1</v>
      </c>
      <c r="R283" t="s">
        <v>43</v>
      </c>
      <c r="S283" s="2">
        <v>4</v>
      </c>
      <c r="T283" s="2">
        <v>3</v>
      </c>
      <c r="U283">
        <v>80</v>
      </c>
      <c r="V283" s="2">
        <v>20</v>
      </c>
      <c r="W283">
        <v>3</v>
      </c>
      <c r="X283">
        <v>3</v>
      </c>
      <c r="Y283">
        <v>20</v>
      </c>
      <c r="Z283">
        <v>16</v>
      </c>
      <c r="AA283">
        <v>11</v>
      </c>
      <c r="AB283">
        <v>6</v>
      </c>
    </row>
    <row r="284" spans="1:28" x14ac:dyDescent="0.35">
      <c r="A284" s="2">
        <v>29</v>
      </c>
      <c r="B284" s="2" t="str" cm="1">
        <f t="array" ref="B284">_xlfn.IFS(HR_table[[#This Row],[Age]]&lt;=20, "Under 20yrs",HR_table[[#This Row],[Age]]&lt;=30,"(21-30)yrs",HR_table[[#This Row],[Age]]&lt;=40,"(31-40)yrs",HR_table[[#This Row],[Age]]&lt;=50,"(41-50)yrs",HR_table[[#This Row],[Age]]&lt;=60,"(51-60)yrs")</f>
        <v>(21-30)yrs</v>
      </c>
      <c r="C284" t="s">
        <v>43</v>
      </c>
      <c r="D284" t="s">
        <v>44</v>
      </c>
      <c r="E284" t="s">
        <v>37</v>
      </c>
      <c r="F284" t="s">
        <v>38</v>
      </c>
      <c r="G284" t="s">
        <v>40</v>
      </c>
      <c r="H284">
        <v>388</v>
      </c>
      <c r="I284" s="2">
        <v>2</v>
      </c>
      <c r="J284" s="2">
        <v>2</v>
      </c>
      <c r="K284" t="s">
        <v>46</v>
      </c>
      <c r="L284" s="2">
        <v>2</v>
      </c>
      <c r="M284" s="2">
        <v>4</v>
      </c>
      <c r="N284" t="s">
        <v>41</v>
      </c>
      <c r="O284" s="2">
        <v>4554</v>
      </c>
      <c r="P284" s="2">
        <v>20260</v>
      </c>
      <c r="Q284" s="2">
        <v>1</v>
      </c>
      <c r="R284" t="s">
        <v>43</v>
      </c>
      <c r="S284" s="2">
        <v>3</v>
      </c>
      <c r="T284" s="2">
        <v>1</v>
      </c>
      <c r="U284">
        <v>80</v>
      </c>
      <c r="V284" s="2">
        <v>10</v>
      </c>
      <c r="W284">
        <v>3</v>
      </c>
      <c r="X284">
        <v>2</v>
      </c>
      <c r="Y284">
        <v>10</v>
      </c>
      <c r="Z284">
        <v>7</v>
      </c>
      <c r="AA284">
        <v>0</v>
      </c>
      <c r="AB284">
        <v>9</v>
      </c>
    </row>
    <row r="285" spans="1:28" x14ac:dyDescent="0.35">
      <c r="A285" s="2">
        <v>55</v>
      </c>
      <c r="B285" s="2" t="str" cm="1">
        <f t="array" ref="B285">_xlfn.IFS(HR_table[[#This Row],[Age]]&lt;=20, "Under 20yrs",HR_table[[#This Row],[Age]]&lt;=30,"(21-30)yrs",HR_table[[#This Row],[Age]]&lt;=40,"(31-40)yrs",HR_table[[#This Row],[Age]]&lt;=50,"(41-50)yrs",HR_table[[#This Row],[Age]]&lt;=60,"(51-60)yrs")</f>
        <v>(51-60)yrs</v>
      </c>
      <c r="C285" t="s">
        <v>43</v>
      </c>
      <c r="D285" t="s">
        <v>36</v>
      </c>
      <c r="E285" t="s">
        <v>45</v>
      </c>
      <c r="F285" t="s">
        <v>60</v>
      </c>
      <c r="G285" t="s">
        <v>50</v>
      </c>
      <c r="H285">
        <v>389</v>
      </c>
      <c r="I285" s="2">
        <v>20</v>
      </c>
      <c r="J285" s="2">
        <v>2</v>
      </c>
      <c r="K285" t="s">
        <v>46</v>
      </c>
      <c r="L285" s="2">
        <v>2</v>
      </c>
      <c r="M285" s="2">
        <v>4</v>
      </c>
      <c r="N285" t="s">
        <v>48</v>
      </c>
      <c r="O285" s="2">
        <v>5415</v>
      </c>
      <c r="P285" s="2">
        <v>15972</v>
      </c>
      <c r="Q285" s="2">
        <v>3</v>
      </c>
      <c r="R285" t="s">
        <v>35</v>
      </c>
      <c r="S285" s="2">
        <v>3</v>
      </c>
      <c r="T285" s="2">
        <v>4</v>
      </c>
      <c r="U285">
        <v>80</v>
      </c>
      <c r="V285" s="2">
        <v>12</v>
      </c>
      <c r="W285">
        <v>4</v>
      </c>
      <c r="X285">
        <v>3</v>
      </c>
      <c r="Y285">
        <v>10</v>
      </c>
      <c r="Z285">
        <v>7</v>
      </c>
      <c r="AA285">
        <v>0</v>
      </c>
      <c r="AB285">
        <v>8</v>
      </c>
    </row>
    <row r="286" spans="1:28" x14ac:dyDescent="0.35">
      <c r="A286" s="2">
        <v>26</v>
      </c>
      <c r="B286" s="2" t="str" cm="1">
        <f t="array" ref="B286">_xlfn.IFS(HR_table[[#This Row],[Age]]&lt;=20, "Under 20yrs",HR_table[[#This Row],[Age]]&lt;=30,"(21-30)yrs",HR_table[[#This Row],[Age]]&lt;=40,"(31-40)yrs",HR_table[[#This Row],[Age]]&lt;=50,"(41-50)yrs",HR_table[[#This Row],[Age]]&lt;=60,"(51-60)yrs")</f>
        <v>(21-30)yrs</v>
      </c>
      <c r="C286" t="s">
        <v>43</v>
      </c>
      <c r="D286" t="s">
        <v>44</v>
      </c>
      <c r="E286" t="s">
        <v>45</v>
      </c>
      <c r="F286" t="s">
        <v>51</v>
      </c>
      <c r="G286" t="s">
        <v>54</v>
      </c>
      <c r="H286">
        <v>390</v>
      </c>
      <c r="I286" s="2">
        <v>11</v>
      </c>
      <c r="J286" s="2">
        <v>1</v>
      </c>
      <c r="K286" t="s">
        <v>46</v>
      </c>
      <c r="L286" s="2">
        <v>2</v>
      </c>
      <c r="M286" s="2">
        <v>1</v>
      </c>
      <c r="N286" t="s">
        <v>48</v>
      </c>
      <c r="O286" s="2">
        <v>4741</v>
      </c>
      <c r="P286" s="2">
        <v>22722</v>
      </c>
      <c r="Q286" s="2">
        <v>1</v>
      </c>
      <c r="R286" t="s">
        <v>35</v>
      </c>
      <c r="S286" s="2">
        <v>3</v>
      </c>
      <c r="T286" s="2">
        <v>3</v>
      </c>
      <c r="U286">
        <v>80</v>
      </c>
      <c r="V286" s="2">
        <v>5</v>
      </c>
      <c r="W286">
        <v>3</v>
      </c>
      <c r="X286">
        <v>3</v>
      </c>
      <c r="Y286">
        <v>5</v>
      </c>
      <c r="Z286">
        <v>3</v>
      </c>
      <c r="AA286">
        <v>3</v>
      </c>
      <c r="AB286">
        <v>3</v>
      </c>
    </row>
    <row r="287" spans="1:28" x14ac:dyDescent="0.35">
      <c r="A287" s="2">
        <v>37</v>
      </c>
      <c r="B287" s="2" t="str" cm="1">
        <f t="array" ref="B287">_xlfn.IFS(HR_table[[#This Row],[Age]]&lt;=20, "Under 20yrs",HR_table[[#This Row],[Age]]&lt;=30,"(21-30)yrs",HR_table[[#This Row],[Age]]&lt;=40,"(31-40)yrs",HR_table[[#This Row],[Age]]&lt;=50,"(41-50)yrs",HR_table[[#This Row],[Age]]&lt;=60,"(51-60)yrs")</f>
        <v>(31-40)yrs</v>
      </c>
      <c r="C287" t="s">
        <v>43</v>
      </c>
      <c r="D287" t="s">
        <v>36</v>
      </c>
      <c r="E287" t="s">
        <v>45</v>
      </c>
      <c r="F287" t="s">
        <v>38</v>
      </c>
      <c r="G287" t="s">
        <v>47</v>
      </c>
      <c r="H287">
        <v>391</v>
      </c>
      <c r="I287" s="2">
        <v>1</v>
      </c>
      <c r="J287" s="2">
        <v>4</v>
      </c>
      <c r="K287" t="s">
        <v>39</v>
      </c>
      <c r="L287" s="2">
        <v>1</v>
      </c>
      <c r="M287" s="2">
        <v>4</v>
      </c>
      <c r="N287" t="s">
        <v>41</v>
      </c>
      <c r="O287" s="2">
        <v>2115</v>
      </c>
      <c r="P287" s="2">
        <v>15881</v>
      </c>
      <c r="Q287" s="2">
        <v>1</v>
      </c>
      <c r="R287" t="s">
        <v>43</v>
      </c>
      <c r="S287" s="2">
        <v>3</v>
      </c>
      <c r="T287" s="2">
        <v>2</v>
      </c>
      <c r="U287">
        <v>80</v>
      </c>
      <c r="V287" s="2">
        <v>17</v>
      </c>
      <c r="W287">
        <v>3</v>
      </c>
      <c r="X287">
        <v>3</v>
      </c>
      <c r="Y287">
        <v>17</v>
      </c>
      <c r="Z287">
        <v>12</v>
      </c>
      <c r="AA287">
        <v>5</v>
      </c>
      <c r="AB287">
        <v>7</v>
      </c>
    </row>
    <row r="288" spans="1:28" x14ac:dyDescent="0.35">
      <c r="A288" s="2">
        <v>44</v>
      </c>
      <c r="B288" s="2" t="str" cm="1">
        <f t="array" ref="B288">_xlfn.IFS(HR_table[[#This Row],[Age]]&lt;=20, "Under 20yrs",HR_table[[#This Row],[Age]]&lt;=30,"(21-30)yrs",HR_table[[#This Row],[Age]]&lt;=40,"(31-40)yrs",HR_table[[#This Row],[Age]]&lt;=50,"(41-50)yrs",HR_table[[#This Row],[Age]]&lt;=60,"(51-60)yrs")</f>
        <v>(41-50)yrs</v>
      </c>
      <c r="C288" t="s">
        <v>35</v>
      </c>
      <c r="D288" t="s">
        <v>44</v>
      </c>
      <c r="E288" t="s">
        <v>45</v>
      </c>
      <c r="F288" t="s">
        <v>38</v>
      </c>
      <c r="G288" t="s">
        <v>50</v>
      </c>
      <c r="H288">
        <v>392</v>
      </c>
      <c r="I288" s="2">
        <v>24</v>
      </c>
      <c r="J288" s="2">
        <v>4</v>
      </c>
      <c r="K288" t="s">
        <v>46</v>
      </c>
      <c r="L288" s="2">
        <v>1</v>
      </c>
      <c r="M288" s="2">
        <v>3</v>
      </c>
      <c r="N288" t="s">
        <v>52</v>
      </c>
      <c r="O288" s="2">
        <v>3161</v>
      </c>
      <c r="P288" s="2">
        <v>19920</v>
      </c>
      <c r="Q288" s="2">
        <v>3</v>
      </c>
      <c r="R288" t="s">
        <v>35</v>
      </c>
      <c r="S288" s="2">
        <v>4</v>
      </c>
      <c r="T288" s="2">
        <v>4</v>
      </c>
      <c r="U288">
        <v>80</v>
      </c>
      <c r="V288" s="2">
        <v>19</v>
      </c>
      <c r="W288">
        <v>0</v>
      </c>
      <c r="X288">
        <v>1</v>
      </c>
      <c r="Y288">
        <v>1</v>
      </c>
      <c r="Z288">
        <v>0</v>
      </c>
      <c r="AA288">
        <v>0</v>
      </c>
      <c r="AB288">
        <v>0</v>
      </c>
    </row>
    <row r="289" spans="1:28" x14ac:dyDescent="0.35">
      <c r="A289" s="2">
        <v>38</v>
      </c>
      <c r="B289" s="2" t="str" cm="1">
        <f t="array" ref="B289">_xlfn.IFS(HR_table[[#This Row],[Age]]&lt;=20, "Under 20yrs",HR_table[[#This Row],[Age]]&lt;=30,"(21-30)yrs",HR_table[[#This Row],[Age]]&lt;=40,"(31-40)yrs",HR_table[[#This Row],[Age]]&lt;=50,"(41-50)yrs",HR_table[[#This Row],[Age]]&lt;=60,"(51-60)yrs")</f>
        <v>(31-40)yrs</v>
      </c>
      <c r="C289" t="s">
        <v>43</v>
      </c>
      <c r="D289" t="s">
        <v>36</v>
      </c>
      <c r="E289" t="s">
        <v>45</v>
      </c>
      <c r="F289" t="s">
        <v>38</v>
      </c>
      <c r="G289" t="s">
        <v>54</v>
      </c>
      <c r="H289">
        <v>393</v>
      </c>
      <c r="I289" s="2">
        <v>23</v>
      </c>
      <c r="J289" s="2">
        <v>4</v>
      </c>
      <c r="K289" t="s">
        <v>46</v>
      </c>
      <c r="L289" s="2">
        <v>2</v>
      </c>
      <c r="M289" s="2">
        <v>4</v>
      </c>
      <c r="N289" t="s">
        <v>52</v>
      </c>
      <c r="O289" s="2">
        <v>5745</v>
      </c>
      <c r="P289" s="2">
        <v>18899</v>
      </c>
      <c r="Q289" s="2">
        <v>9</v>
      </c>
      <c r="R289" t="s">
        <v>43</v>
      </c>
      <c r="S289" s="2">
        <v>3</v>
      </c>
      <c r="T289" s="2">
        <v>2</v>
      </c>
      <c r="U289">
        <v>80</v>
      </c>
      <c r="V289" s="2">
        <v>10</v>
      </c>
      <c r="W289">
        <v>2</v>
      </c>
      <c r="X289">
        <v>3</v>
      </c>
      <c r="Y289">
        <v>2</v>
      </c>
      <c r="Z289">
        <v>2</v>
      </c>
      <c r="AA289">
        <v>1</v>
      </c>
      <c r="AB289">
        <v>2</v>
      </c>
    </row>
    <row r="290" spans="1:28" x14ac:dyDescent="0.35">
      <c r="A290" s="2">
        <v>26</v>
      </c>
      <c r="B290" s="2" t="str" cm="1">
        <f t="array" ref="B290">_xlfn.IFS(HR_table[[#This Row],[Age]]&lt;=20, "Under 20yrs",HR_table[[#This Row],[Age]]&lt;=30,"(21-30)yrs",HR_table[[#This Row],[Age]]&lt;=40,"(31-40)yrs",HR_table[[#This Row],[Age]]&lt;=50,"(41-50)yrs",HR_table[[#This Row],[Age]]&lt;=60,"(51-60)yrs")</f>
        <v>(21-30)yrs</v>
      </c>
      <c r="C290" t="s">
        <v>35</v>
      </c>
      <c r="D290" t="s">
        <v>36</v>
      </c>
      <c r="E290" t="s">
        <v>45</v>
      </c>
      <c r="F290" t="s">
        <v>51</v>
      </c>
      <c r="G290" t="s">
        <v>50</v>
      </c>
      <c r="H290">
        <v>394</v>
      </c>
      <c r="I290" s="2">
        <v>16</v>
      </c>
      <c r="J290" s="2">
        <v>1</v>
      </c>
      <c r="K290" t="s">
        <v>46</v>
      </c>
      <c r="L290" s="2">
        <v>1</v>
      </c>
      <c r="M290" s="2">
        <v>2</v>
      </c>
      <c r="N290" t="s">
        <v>52</v>
      </c>
      <c r="O290" s="2">
        <v>2373</v>
      </c>
      <c r="P290" s="2">
        <v>14180</v>
      </c>
      <c r="Q290" s="2">
        <v>2</v>
      </c>
      <c r="R290" t="s">
        <v>35</v>
      </c>
      <c r="S290" s="2">
        <v>3</v>
      </c>
      <c r="T290" s="2">
        <v>4</v>
      </c>
      <c r="U290">
        <v>80</v>
      </c>
      <c r="V290" s="2">
        <v>5</v>
      </c>
      <c r="W290">
        <v>2</v>
      </c>
      <c r="X290">
        <v>3</v>
      </c>
      <c r="Y290">
        <v>3</v>
      </c>
      <c r="Z290">
        <v>2</v>
      </c>
      <c r="AA290">
        <v>0</v>
      </c>
      <c r="AB290">
        <v>2</v>
      </c>
    </row>
    <row r="291" spans="1:28" x14ac:dyDescent="0.35">
      <c r="A291" s="2">
        <v>28</v>
      </c>
      <c r="B291" s="2" t="str" cm="1">
        <f t="array" ref="B291">_xlfn.IFS(HR_table[[#This Row],[Age]]&lt;=20, "Under 20yrs",HR_table[[#This Row],[Age]]&lt;=30,"(21-30)yrs",HR_table[[#This Row],[Age]]&lt;=40,"(31-40)yrs",HR_table[[#This Row],[Age]]&lt;=50,"(41-50)yrs",HR_table[[#This Row],[Age]]&lt;=60,"(51-60)yrs")</f>
        <v>(21-30)yrs</v>
      </c>
      <c r="C291" t="s">
        <v>43</v>
      </c>
      <c r="D291" t="s">
        <v>36</v>
      </c>
      <c r="E291" t="s">
        <v>45</v>
      </c>
      <c r="F291" t="s">
        <v>38</v>
      </c>
      <c r="G291" t="s">
        <v>47</v>
      </c>
      <c r="H291">
        <v>395</v>
      </c>
      <c r="I291" s="2">
        <v>8</v>
      </c>
      <c r="J291" s="2">
        <v>4</v>
      </c>
      <c r="K291" t="s">
        <v>39</v>
      </c>
      <c r="L291" s="2">
        <v>1</v>
      </c>
      <c r="M291" s="2">
        <v>4</v>
      </c>
      <c r="N291" t="s">
        <v>41</v>
      </c>
      <c r="O291" s="2">
        <v>3310</v>
      </c>
      <c r="P291" s="2">
        <v>4488</v>
      </c>
      <c r="Q291" s="2">
        <v>1</v>
      </c>
      <c r="R291" t="s">
        <v>43</v>
      </c>
      <c r="S291" s="2">
        <v>4</v>
      </c>
      <c r="T291" s="2">
        <v>4</v>
      </c>
      <c r="U291">
        <v>80</v>
      </c>
      <c r="V291" s="2">
        <v>5</v>
      </c>
      <c r="W291">
        <v>3</v>
      </c>
      <c r="X291">
        <v>3</v>
      </c>
      <c r="Y291">
        <v>5</v>
      </c>
      <c r="Z291">
        <v>3</v>
      </c>
      <c r="AA291">
        <v>0</v>
      </c>
      <c r="AB291">
        <v>2</v>
      </c>
    </row>
    <row r="292" spans="1:28" x14ac:dyDescent="0.35">
      <c r="A292" s="2">
        <v>49</v>
      </c>
      <c r="B292" s="2" t="str" cm="1">
        <f t="array" ref="B292">_xlfn.IFS(HR_table[[#This Row],[Age]]&lt;=20, "Under 20yrs",HR_table[[#This Row],[Age]]&lt;=30,"(21-30)yrs",HR_table[[#This Row],[Age]]&lt;=40,"(31-40)yrs",HR_table[[#This Row],[Age]]&lt;=50,"(41-50)yrs",HR_table[[#This Row],[Age]]&lt;=60,"(51-60)yrs")</f>
        <v>(41-50)yrs</v>
      </c>
      <c r="C292" t="s">
        <v>43</v>
      </c>
      <c r="D292" t="s">
        <v>44</v>
      </c>
      <c r="E292" t="s">
        <v>45</v>
      </c>
      <c r="F292" t="s">
        <v>38</v>
      </c>
      <c r="G292" t="s">
        <v>58</v>
      </c>
      <c r="H292">
        <v>396</v>
      </c>
      <c r="I292" s="2">
        <v>10</v>
      </c>
      <c r="J292" s="2">
        <v>3</v>
      </c>
      <c r="K292" t="s">
        <v>39</v>
      </c>
      <c r="L292" s="2">
        <v>5</v>
      </c>
      <c r="M292" s="2">
        <v>1</v>
      </c>
      <c r="N292" t="s">
        <v>41</v>
      </c>
      <c r="O292" s="2">
        <v>18665</v>
      </c>
      <c r="P292" s="2">
        <v>25594</v>
      </c>
      <c r="Q292" s="2">
        <v>9</v>
      </c>
      <c r="R292" t="s">
        <v>35</v>
      </c>
      <c r="S292" s="2">
        <v>3</v>
      </c>
      <c r="T292" s="2">
        <v>4</v>
      </c>
      <c r="U292">
        <v>80</v>
      </c>
      <c r="V292" s="2">
        <v>22</v>
      </c>
      <c r="W292">
        <v>4</v>
      </c>
      <c r="X292">
        <v>3</v>
      </c>
      <c r="Y292">
        <v>3</v>
      </c>
      <c r="Z292">
        <v>2</v>
      </c>
      <c r="AA292">
        <v>1</v>
      </c>
      <c r="AB292">
        <v>2</v>
      </c>
    </row>
    <row r="293" spans="1:28" x14ac:dyDescent="0.35">
      <c r="A293" s="2">
        <v>36</v>
      </c>
      <c r="B293" s="2" t="str" cm="1">
        <f t="array" ref="B293">_xlfn.IFS(HR_table[[#This Row],[Age]]&lt;=20, "Under 20yrs",HR_table[[#This Row],[Age]]&lt;=30,"(21-30)yrs",HR_table[[#This Row],[Age]]&lt;=40,"(31-40)yrs",HR_table[[#This Row],[Age]]&lt;=50,"(41-50)yrs",HR_table[[#This Row],[Age]]&lt;=60,"(51-60)yrs")</f>
        <v>(31-40)yrs</v>
      </c>
      <c r="C293" t="s">
        <v>43</v>
      </c>
      <c r="D293" t="s">
        <v>36</v>
      </c>
      <c r="E293" t="s">
        <v>45</v>
      </c>
      <c r="F293" t="s">
        <v>60</v>
      </c>
      <c r="G293" t="s">
        <v>47</v>
      </c>
      <c r="H293">
        <v>397</v>
      </c>
      <c r="I293" s="2">
        <v>3</v>
      </c>
      <c r="J293" s="2">
        <v>3</v>
      </c>
      <c r="K293" t="s">
        <v>46</v>
      </c>
      <c r="L293" s="2">
        <v>2</v>
      </c>
      <c r="M293" s="2">
        <v>2</v>
      </c>
      <c r="N293" t="s">
        <v>41</v>
      </c>
      <c r="O293" s="2">
        <v>4485</v>
      </c>
      <c r="P293" s="2">
        <v>26285</v>
      </c>
      <c r="Q293" s="2">
        <v>4</v>
      </c>
      <c r="R293" t="s">
        <v>43</v>
      </c>
      <c r="S293" s="2">
        <v>3</v>
      </c>
      <c r="T293" s="2">
        <v>4</v>
      </c>
      <c r="U293">
        <v>80</v>
      </c>
      <c r="V293" s="2">
        <v>10</v>
      </c>
      <c r="W293">
        <v>2</v>
      </c>
      <c r="X293">
        <v>3</v>
      </c>
      <c r="Y293">
        <v>8</v>
      </c>
      <c r="Z293">
        <v>0</v>
      </c>
      <c r="AA293">
        <v>7</v>
      </c>
      <c r="AB293">
        <v>7</v>
      </c>
    </row>
    <row r="294" spans="1:28" x14ac:dyDescent="0.35">
      <c r="A294" s="2">
        <v>31</v>
      </c>
      <c r="B294" s="2" t="str" cm="1">
        <f t="array" ref="B294">_xlfn.IFS(HR_table[[#This Row],[Age]]&lt;=20, "Under 20yrs",HR_table[[#This Row],[Age]]&lt;=30,"(21-30)yrs",HR_table[[#This Row],[Age]]&lt;=40,"(31-40)yrs",HR_table[[#This Row],[Age]]&lt;=50,"(41-50)yrs",HR_table[[#This Row],[Age]]&lt;=60,"(51-60)yrs")</f>
        <v>(31-40)yrs</v>
      </c>
      <c r="C294" t="s">
        <v>43</v>
      </c>
      <c r="D294" t="s">
        <v>44</v>
      </c>
      <c r="E294" t="s">
        <v>37</v>
      </c>
      <c r="F294" t="s">
        <v>59</v>
      </c>
      <c r="G294" t="s">
        <v>57</v>
      </c>
      <c r="H294">
        <v>399</v>
      </c>
      <c r="I294" s="2">
        <v>5</v>
      </c>
      <c r="J294" s="2">
        <v>4</v>
      </c>
      <c r="K294" t="s">
        <v>39</v>
      </c>
      <c r="L294" s="2">
        <v>1</v>
      </c>
      <c r="M294" s="2">
        <v>2</v>
      </c>
      <c r="N294" t="s">
        <v>52</v>
      </c>
      <c r="O294" s="2">
        <v>2789</v>
      </c>
      <c r="P294" s="2">
        <v>3909</v>
      </c>
      <c r="Q294" s="2">
        <v>1</v>
      </c>
      <c r="R294" t="s">
        <v>43</v>
      </c>
      <c r="S294" s="2">
        <v>3</v>
      </c>
      <c r="T294" s="2">
        <v>3</v>
      </c>
      <c r="U294">
        <v>80</v>
      </c>
      <c r="V294" s="2">
        <v>2</v>
      </c>
      <c r="W294">
        <v>5</v>
      </c>
      <c r="X294">
        <v>2</v>
      </c>
      <c r="Y294">
        <v>2</v>
      </c>
      <c r="Z294">
        <v>2</v>
      </c>
      <c r="AA294">
        <v>2</v>
      </c>
      <c r="AB294">
        <v>2</v>
      </c>
    </row>
    <row r="295" spans="1:28" x14ac:dyDescent="0.35">
      <c r="A295" s="2">
        <v>26</v>
      </c>
      <c r="B295" s="2" t="str" cm="1">
        <f t="array" ref="B295">_xlfn.IFS(HR_table[[#This Row],[Age]]&lt;=20, "Under 20yrs",HR_table[[#This Row],[Age]]&lt;=30,"(21-30)yrs",HR_table[[#This Row],[Age]]&lt;=40,"(31-40)yrs",HR_table[[#This Row],[Age]]&lt;=50,"(41-50)yrs",HR_table[[#This Row],[Age]]&lt;=60,"(51-60)yrs")</f>
        <v>(21-30)yrs</v>
      </c>
      <c r="C295" t="s">
        <v>35</v>
      </c>
      <c r="D295" t="s">
        <v>36</v>
      </c>
      <c r="E295" t="s">
        <v>37</v>
      </c>
      <c r="F295" t="s">
        <v>59</v>
      </c>
      <c r="G295" t="s">
        <v>40</v>
      </c>
      <c r="H295">
        <v>401</v>
      </c>
      <c r="I295" s="2">
        <v>4</v>
      </c>
      <c r="J295" s="2">
        <v>4</v>
      </c>
      <c r="K295" t="s">
        <v>46</v>
      </c>
      <c r="L295" s="2">
        <v>2</v>
      </c>
      <c r="M295" s="2">
        <v>4</v>
      </c>
      <c r="N295" t="s">
        <v>41</v>
      </c>
      <c r="O295" s="2">
        <v>5828</v>
      </c>
      <c r="P295" s="2">
        <v>8450</v>
      </c>
      <c r="Q295" s="2">
        <v>1</v>
      </c>
      <c r="R295" t="s">
        <v>35</v>
      </c>
      <c r="S295" s="2">
        <v>3</v>
      </c>
      <c r="T295" s="2">
        <v>2</v>
      </c>
      <c r="U295">
        <v>80</v>
      </c>
      <c r="V295" s="2">
        <v>8</v>
      </c>
      <c r="W295">
        <v>0</v>
      </c>
      <c r="X295">
        <v>3</v>
      </c>
      <c r="Y295">
        <v>8</v>
      </c>
      <c r="Z295">
        <v>7</v>
      </c>
      <c r="AA295">
        <v>7</v>
      </c>
      <c r="AB295">
        <v>4</v>
      </c>
    </row>
    <row r="296" spans="1:28" x14ac:dyDescent="0.35">
      <c r="A296" s="2">
        <v>37</v>
      </c>
      <c r="B296" s="2" t="str" cm="1">
        <f t="array" ref="B296">_xlfn.IFS(HR_table[[#This Row],[Age]]&lt;=20, "Under 20yrs",HR_table[[#This Row],[Age]]&lt;=30,"(21-30)yrs",HR_table[[#This Row],[Age]]&lt;=40,"(31-40)yrs",HR_table[[#This Row],[Age]]&lt;=50,"(41-50)yrs",HR_table[[#This Row],[Age]]&lt;=60,"(51-60)yrs")</f>
        <v>(31-40)yrs</v>
      </c>
      <c r="C296" t="s">
        <v>43</v>
      </c>
      <c r="D296" t="s">
        <v>44</v>
      </c>
      <c r="E296" t="s">
        <v>45</v>
      </c>
      <c r="F296" t="s">
        <v>51</v>
      </c>
      <c r="G296" t="s">
        <v>47</v>
      </c>
      <c r="H296">
        <v>403</v>
      </c>
      <c r="I296" s="2">
        <v>9</v>
      </c>
      <c r="J296" s="2">
        <v>2</v>
      </c>
      <c r="K296" t="s">
        <v>46</v>
      </c>
      <c r="L296" s="2">
        <v>1</v>
      </c>
      <c r="M296" s="2">
        <v>4</v>
      </c>
      <c r="N296" t="s">
        <v>48</v>
      </c>
      <c r="O296" s="2">
        <v>2326</v>
      </c>
      <c r="P296" s="2">
        <v>11411</v>
      </c>
      <c r="Q296" s="2">
        <v>1</v>
      </c>
      <c r="R296" t="s">
        <v>35</v>
      </c>
      <c r="S296" s="2">
        <v>3</v>
      </c>
      <c r="T296" s="2">
        <v>3</v>
      </c>
      <c r="U296">
        <v>80</v>
      </c>
      <c r="V296" s="2">
        <v>4</v>
      </c>
      <c r="W296">
        <v>3</v>
      </c>
      <c r="X296">
        <v>2</v>
      </c>
      <c r="Y296">
        <v>4</v>
      </c>
      <c r="Z296">
        <v>2</v>
      </c>
      <c r="AA296">
        <v>1</v>
      </c>
      <c r="AB296">
        <v>2</v>
      </c>
    </row>
    <row r="297" spans="1:28" x14ac:dyDescent="0.35">
      <c r="A297" s="2">
        <v>42</v>
      </c>
      <c r="B297" s="2" t="str" cm="1">
        <f t="array" ref="B297">_xlfn.IFS(HR_table[[#This Row],[Age]]&lt;=20, "Under 20yrs",HR_table[[#This Row],[Age]]&lt;=30,"(21-30)yrs",HR_table[[#This Row],[Age]]&lt;=40,"(31-40)yrs",HR_table[[#This Row],[Age]]&lt;=50,"(41-50)yrs",HR_table[[#This Row],[Age]]&lt;=60,"(51-60)yrs")</f>
        <v>(41-50)yrs</v>
      </c>
      <c r="C297" t="s">
        <v>43</v>
      </c>
      <c r="D297" t="s">
        <v>44</v>
      </c>
      <c r="E297" t="s">
        <v>37</v>
      </c>
      <c r="F297" t="s">
        <v>59</v>
      </c>
      <c r="G297" t="s">
        <v>40</v>
      </c>
      <c r="H297">
        <v>404</v>
      </c>
      <c r="I297" s="2">
        <v>26</v>
      </c>
      <c r="J297" s="2">
        <v>3</v>
      </c>
      <c r="K297" t="s">
        <v>39</v>
      </c>
      <c r="L297" s="2">
        <v>4</v>
      </c>
      <c r="M297" s="2">
        <v>2</v>
      </c>
      <c r="N297" t="s">
        <v>48</v>
      </c>
      <c r="O297" s="2">
        <v>13525</v>
      </c>
      <c r="P297" s="2">
        <v>14864</v>
      </c>
      <c r="Q297" s="2">
        <v>5</v>
      </c>
      <c r="R297" t="s">
        <v>43</v>
      </c>
      <c r="S297" s="2">
        <v>3</v>
      </c>
      <c r="T297" s="2">
        <v>4</v>
      </c>
      <c r="U297">
        <v>80</v>
      </c>
      <c r="V297" s="2">
        <v>23</v>
      </c>
      <c r="W297">
        <v>2</v>
      </c>
      <c r="X297">
        <v>4</v>
      </c>
      <c r="Y297">
        <v>20</v>
      </c>
      <c r="Z297">
        <v>4</v>
      </c>
      <c r="AA297">
        <v>4</v>
      </c>
      <c r="AB297">
        <v>8</v>
      </c>
    </row>
    <row r="298" spans="1:28" x14ac:dyDescent="0.35">
      <c r="A298" s="2">
        <v>18</v>
      </c>
      <c r="B298" s="2" t="str" cm="1">
        <f t="array" ref="B298">_xlfn.IFS(HR_table[[#This Row],[Age]]&lt;=20, "Under 20yrs",HR_table[[#This Row],[Age]]&lt;=30,"(21-30)yrs",HR_table[[#This Row],[Age]]&lt;=40,"(31-40)yrs",HR_table[[#This Row],[Age]]&lt;=50,"(41-50)yrs",HR_table[[#This Row],[Age]]&lt;=60,"(51-60)yrs")</f>
        <v>Under 20yrs</v>
      </c>
      <c r="C298" t="s">
        <v>35</v>
      </c>
      <c r="D298" t="s">
        <v>36</v>
      </c>
      <c r="E298" t="s">
        <v>45</v>
      </c>
      <c r="F298" t="s">
        <v>38</v>
      </c>
      <c r="G298" t="s">
        <v>50</v>
      </c>
      <c r="H298">
        <v>405</v>
      </c>
      <c r="I298" s="2">
        <v>3</v>
      </c>
      <c r="J298" s="2">
        <v>3</v>
      </c>
      <c r="K298" t="s">
        <v>46</v>
      </c>
      <c r="L298" s="2">
        <v>1</v>
      </c>
      <c r="M298" s="2">
        <v>3</v>
      </c>
      <c r="N298" t="s">
        <v>41</v>
      </c>
      <c r="O298" s="2">
        <v>1420</v>
      </c>
      <c r="P298" s="2">
        <v>25233</v>
      </c>
      <c r="Q298" s="2">
        <v>1</v>
      </c>
      <c r="R298" t="s">
        <v>43</v>
      </c>
      <c r="S298" s="2">
        <v>3</v>
      </c>
      <c r="T298" s="2">
        <v>3</v>
      </c>
      <c r="U298">
        <v>80</v>
      </c>
      <c r="V298" s="2">
        <v>0</v>
      </c>
      <c r="W298">
        <v>2</v>
      </c>
      <c r="X298">
        <v>3</v>
      </c>
      <c r="Y298">
        <v>0</v>
      </c>
      <c r="Z298">
        <v>0</v>
      </c>
      <c r="AA298">
        <v>0</v>
      </c>
      <c r="AB298">
        <v>0</v>
      </c>
    </row>
    <row r="299" spans="1:28" x14ac:dyDescent="0.35">
      <c r="A299" s="2">
        <v>35</v>
      </c>
      <c r="B299" s="2" t="str" cm="1">
        <f t="array" ref="B299">_xlfn.IFS(HR_table[[#This Row],[Age]]&lt;=20, "Under 20yrs",HR_table[[#This Row],[Age]]&lt;=30,"(21-30)yrs",HR_table[[#This Row],[Age]]&lt;=40,"(31-40)yrs",HR_table[[#This Row],[Age]]&lt;=50,"(41-50)yrs",HR_table[[#This Row],[Age]]&lt;=60,"(51-60)yrs")</f>
        <v>(31-40)yrs</v>
      </c>
      <c r="C299" t="s">
        <v>43</v>
      </c>
      <c r="D299" t="s">
        <v>36</v>
      </c>
      <c r="E299" t="s">
        <v>37</v>
      </c>
      <c r="F299" t="s">
        <v>59</v>
      </c>
      <c r="G299" t="s">
        <v>40</v>
      </c>
      <c r="H299">
        <v>406</v>
      </c>
      <c r="I299" s="2">
        <v>16</v>
      </c>
      <c r="J299" s="2">
        <v>3</v>
      </c>
      <c r="K299" t="s">
        <v>46</v>
      </c>
      <c r="L299" s="2">
        <v>3</v>
      </c>
      <c r="M299" s="2">
        <v>2</v>
      </c>
      <c r="N299" t="s">
        <v>48</v>
      </c>
      <c r="O299" s="2">
        <v>8020</v>
      </c>
      <c r="P299" s="2">
        <v>5100</v>
      </c>
      <c r="Q299" s="2">
        <v>0</v>
      </c>
      <c r="R299" t="s">
        <v>43</v>
      </c>
      <c r="S299" s="2">
        <v>3</v>
      </c>
      <c r="T299" s="2">
        <v>3</v>
      </c>
      <c r="U299">
        <v>80</v>
      </c>
      <c r="V299" s="2">
        <v>12</v>
      </c>
      <c r="W299">
        <v>3</v>
      </c>
      <c r="X299">
        <v>2</v>
      </c>
      <c r="Y299">
        <v>11</v>
      </c>
      <c r="Z299">
        <v>9</v>
      </c>
      <c r="AA299">
        <v>6</v>
      </c>
      <c r="AB299">
        <v>9</v>
      </c>
    </row>
    <row r="300" spans="1:28" x14ac:dyDescent="0.35">
      <c r="A300" s="2">
        <v>36</v>
      </c>
      <c r="B300" s="2" t="str" cm="1">
        <f t="array" ref="B300">_xlfn.IFS(HR_table[[#This Row],[Age]]&lt;=20, "Under 20yrs",HR_table[[#This Row],[Age]]&lt;=30,"(21-30)yrs",HR_table[[#This Row],[Age]]&lt;=40,"(31-40)yrs",HR_table[[#This Row],[Age]]&lt;=50,"(41-50)yrs",HR_table[[#This Row],[Age]]&lt;=60,"(51-60)yrs")</f>
        <v>(31-40)yrs</v>
      </c>
      <c r="C300" t="s">
        <v>43</v>
      </c>
      <c r="D300" t="s">
        <v>44</v>
      </c>
      <c r="E300" t="s">
        <v>45</v>
      </c>
      <c r="F300" t="s">
        <v>38</v>
      </c>
      <c r="G300" t="s">
        <v>50</v>
      </c>
      <c r="H300">
        <v>407</v>
      </c>
      <c r="I300" s="2">
        <v>18</v>
      </c>
      <c r="J300" s="2">
        <v>3</v>
      </c>
      <c r="K300" t="s">
        <v>46</v>
      </c>
      <c r="L300" s="2">
        <v>1</v>
      </c>
      <c r="M300" s="2">
        <v>4</v>
      </c>
      <c r="N300" t="s">
        <v>48</v>
      </c>
      <c r="O300" s="2">
        <v>3688</v>
      </c>
      <c r="P300" s="2">
        <v>7122</v>
      </c>
      <c r="Q300" s="2">
        <v>4</v>
      </c>
      <c r="R300" t="s">
        <v>43</v>
      </c>
      <c r="S300" s="2">
        <v>3</v>
      </c>
      <c r="T300" s="2">
        <v>4</v>
      </c>
      <c r="U300">
        <v>80</v>
      </c>
      <c r="V300" s="2">
        <v>4</v>
      </c>
      <c r="W300">
        <v>2</v>
      </c>
      <c r="X300">
        <v>3</v>
      </c>
      <c r="Y300">
        <v>1</v>
      </c>
      <c r="Z300">
        <v>0</v>
      </c>
      <c r="AA300">
        <v>0</v>
      </c>
      <c r="AB300">
        <v>0</v>
      </c>
    </row>
    <row r="301" spans="1:28" x14ac:dyDescent="0.35">
      <c r="A301" s="2">
        <v>51</v>
      </c>
      <c r="B301" s="2" t="str" cm="1">
        <f t="array" ref="B301">_xlfn.IFS(HR_table[[#This Row],[Age]]&lt;=20, "Under 20yrs",HR_table[[#This Row],[Age]]&lt;=30,"(21-30)yrs",HR_table[[#This Row],[Age]]&lt;=40,"(31-40)yrs",HR_table[[#This Row],[Age]]&lt;=50,"(41-50)yrs",HR_table[[#This Row],[Age]]&lt;=60,"(51-60)yrs")</f>
        <v>(51-60)yrs</v>
      </c>
      <c r="C301" t="s">
        <v>43</v>
      </c>
      <c r="D301" t="s">
        <v>36</v>
      </c>
      <c r="E301" t="s">
        <v>45</v>
      </c>
      <c r="F301" t="s">
        <v>51</v>
      </c>
      <c r="G301" t="s">
        <v>53</v>
      </c>
      <c r="H301">
        <v>408</v>
      </c>
      <c r="I301" s="2">
        <v>2</v>
      </c>
      <c r="J301" s="2">
        <v>4</v>
      </c>
      <c r="K301" t="s">
        <v>46</v>
      </c>
      <c r="L301" s="2">
        <v>2</v>
      </c>
      <c r="M301" s="2">
        <v>2</v>
      </c>
      <c r="N301" t="s">
        <v>52</v>
      </c>
      <c r="O301" s="2">
        <v>5482</v>
      </c>
      <c r="P301" s="2">
        <v>16321</v>
      </c>
      <c r="Q301" s="2">
        <v>5</v>
      </c>
      <c r="R301" t="s">
        <v>43</v>
      </c>
      <c r="S301" s="2">
        <v>3</v>
      </c>
      <c r="T301" s="2">
        <v>4</v>
      </c>
      <c r="U301">
        <v>80</v>
      </c>
      <c r="V301" s="2">
        <v>13</v>
      </c>
      <c r="W301">
        <v>3</v>
      </c>
      <c r="X301">
        <v>3</v>
      </c>
      <c r="Y301">
        <v>4</v>
      </c>
      <c r="Z301">
        <v>1</v>
      </c>
      <c r="AA301">
        <v>1</v>
      </c>
      <c r="AB301">
        <v>2</v>
      </c>
    </row>
    <row r="302" spans="1:28" x14ac:dyDescent="0.35">
      <c r="A302" s="2">
        <v>41</v>
      </c>
      <c r="B302" s="2" t="str" cm="1">
        <f t="array" ref="B302">_xlfn.IFS(HR_table[[#This Row],[Age]]&lt;=20, "Under 20yrs",HR_table[[#This Row],[Age]]&lt;=30,"(21-30)yrs",HR_table[[#This Row],[Age]]&lt;=40,"(31-40)yrs",HR_table[[#This Row],[Age]]&lt;=50,"(41-50)yrs",HR_table[[#This Row],[Age]]&lt;=60,"(51-60)yrs")</f>
        <v>(41-50)yrs</v>
      </c>
      <c r="C302" t="s">
        <v>43</v>
      </c>
      <c r="D302" t="s">
        <v>36</v>
      </c>
      <c r="E302" t="s">
        <v>37</v>
      </c>
      <c r="F302" t="s">
        <v>38</v>
      </c>
      <c r="G302" t="s">
        <v>56</v>
      </c>
      <c r="H302">
        <v>410</v>
      </c>
      <c r="I302" s="2">
        <v>2</v>
      </c>
      <c r="J302" s="2">
        <v>4</v>
      </c>
      <c r="K302" t="s">
        <v>46</v>
      </c>
      <c r="L302" s="2">
        <v>4</v>
      </c>
      <c r="M302" s="2">
        <v>2</v>
      </c>
      <c r="N302" t="s">
        <v>41</v>
      </c>
      <c r="O302" s="2">
        <v>16015</v>
      </c>
      <c r="P302" s="2">
        <v>15896</v>
      </c>
      <c r="Q302" s="2">
        <v>1</v>
      </c>
      <c r="R302" t="s">
        <v>43</v>
      </c>
      <c r="S302" s="2">
        <v>3</v>
      </c>
      <c r="T302" s="2">
        <v>2</v>
      </c>
      <c r="U302">
        <v>80</v>
      </c>
      <c r="V302" s="2">
        <v>22</v>
      </c>
      <c r="W302">
        <v>2</v>
      </c>
      <c r="X302">
        <v>3</v>
      </c>
      <c r="Y302">
        <v>22</v>
      </c>
      <c r="Z302">
        <v>10</v>
      </c>
      <c r="AA302">
        <v>0</v>
      </c>
      <c r="AB302">
        <v>4</v>
      </c>
    </row>
    <row r="303" spans="1:28" x14ac:dyDescent="0.35">
      <c r="A303" s="2">
        <v>18</v>
      </c>
      <c r="B303" s="2" t="str" cm="1">
        <f t="array" ref="B303">_xlfn.IFS(HR_table[[#This Row],[Age]]&lt;=20, "Under 20yrs",HR_table[[#This Row],[Age]]&lt;=30,"(21-30)yrs",HR_table[[#This Row],[Age]]&lt;=40,"(31-40)yrs",HR_table[[#This Row],[Age]]&lt;=50,"(41-50)yrs",HR_table[[#This Row],[Age]]&lt;=60,"(51-60)yrs")</f>
        <v>Under 20yrs</v>
      </c>
      <c r="C303" t="s">
        <v>43</v>
      </c>
      <c r="D303" t="s">
        <v>36</v>
      </c>
      <c r="E303" t="s">
        <v>37</v>
      </c>
      <c r="F303" t="s">
        <v>51</v>
      </c>
      <c r="G303" t="s">
        <v>57</v>
      </c>
      <c r="H303">
        <v>411</v>
      </c>
      <c r="I303" s="2">
        <v>10</v>
      </c>
      <c r="J303" s="2">
        <v>4</v>
      </c>
      <c r="K303" t="s">
        <v>39</v>
      </c>
      <c r="L303" s="2">
        <v>1</v>
      </c>
      <c r="M303" s="2">
        <v>3</v>
      </c>
      <c r="N303" t="s">
        <v>41</v>
      </c>
      <c r="O303" s="2">
        <v>1200</v>
      </c>
      <c r="P303" s="2">
        <v>9724</v>
      </c>
      <c r="Q303" s="2">
        <v>1</v>
      </c>
      <c r="R303" t="s">
        <v>43</v>
      </c>
      <c r="S303" s="2">
        <v>3</v>
      </c>
      <c r="T303" s="2">
        <v>1</v>
      </c>
      <c r="U303">
        <v>80</v>
      </c>
      <c r="V303" s="2">
        <v>0</v>
      </c>
      <c r="W303">
        <v>2</v>
      </c>
      <c r="X303">
        <v>3</v>
      </c>
      <c r="Y303">
        <v>0</v>
      </c>
      <c r="Z303">
        <v>0</v>
      </c>
      <c r="AA303">
        <v>0</v>
      </c>
      <c r="AB303">
        <v>0</v>
      </c>
    </row>
    <row r="304" spans="1:28" x14ac:dyDescent="0.35">
      <c r="A304" s="2">
        <v>28</v>
      </c>
      <c r="B304" s="2" t="str" cm="1">
        <f t="array" ref="B304">_xlfn.IFS(HR_table[[#This Row],[Age]]&lt;=20, "Under 20yrs",HR_table[[#This Row],[Age]]&lt;=30,"(21-30)yrs",HR_table[[#This Row],[Age]]&lt;=40,"(31-40)yrs",HR_table[[#This Row],[Age]]&lt;=50,"(41-50)yrs",HR_table[[#This Row],[Age]]&lt;=60,"(51-60)yrs")</f>
        <v>(21-30)yrs</v>
      </c>
      <c r="C304" t="s">
        <v>43</v>
      </c>
      <c r="D304" t="s">
        <v>36</v>
      </c>
      <c r="E304" t="s">
        <v>45</v>
      </c>
      <c r="F304" t="s">
        <v>51</v>
      </c>
      <c r="G304" t="s">
        <v>54</v>
      </c>
      <c r="H304">
        <v>412</v>
      </c>
      <c r="I304" s="2">
        <v>16</v>
      </c>
      <c r="J304" s="2">
        <v>2</v>
      </c>
      <c r="K304" t="s">
        <v>46</v>
      </c>
      <c r="L304" s="2">
        <v>2</v>
      </c>
      <c r="M304" s="2">
        <v>1</v>
      </c>
      <c r="N304" t="s">
        <v>41</v>
      </c>
      <c r="O304" s="2">
        <v>5661</v>
      </c>
      <c r="P304" s="2">
        <v>4824</v>
      </c>
      <c r="Q304" s="2">
        <v>0</v>
      </c>
      <c r="R304" t="s">
        <v>43</v>
      </c>
      <c r="S304" s="2">
        <v>3</v>
      </c>
      <c r="T304" s="2">
        <v>3</v>
      </c>
      <c r="U304">
        <v>80</v>
      </c>
      <c r="V304" s="2">
        <v>9</v>
      </c>
      <c r="W304">
        <v>2</v>
      </c>
      <c r="X304">
        <v>3</v>
      </c>
      <c r="Y304">
        <v>8</v>
      </c>
      <c r="Z304">
        <v>3</v>
      </c>
      <c r="AA304">
        <v>0</v>
      </c>
      <c r="AB304">
        <v>7</v>
      </c>
    </row>
    <row r="305" spans="1:28" x14ac:dyDescent="0.35">
      <c r="A305" s="2">
        <v>31</v>
      </c>
      <c r="B305" s="2" t="str" cm="1">
        <f t="array" ref="B305">_xlfn.IFS(HR_table[[#This Row],[Age]]&lt;=20, "Under 20yrs",HR_table[[#This Row],[Age]]&lt;=30,"(21-30)yrs",HR_table[[#This Row],[Age]]&lt;=40,"(31-40)yrs",HR_table[[#This Row],[Age]]&lt;=50,"(41-50)yrs",HR_table[[#This Row],[Age]]&lt;=60,"(51-60)yrs")</f>
        <v>(31-40)yrs</v>
      </c>
      <c r="C305" t="s">
        <v>43</v>
      </c>
      <c r="D305" t="s">
        <v>36</v>
      </c>
      <c r="E305" t="s">
        <v>37</v>
      </c>
      <c r="F305" t="s">
        <v>60</v>
      </c>
      <c r="G305" t="s">
        <v>40</v>
      </c>
      <c r="H305">
        <v>416</v>
      </c>
      <c r="I305" s="2">
        <v>7</v>
      </c>
      <c r="J305" s="2">
        <v>2</v>
      </c>
      <c r="K305" t="s">
        <v>46</v>
      </c>
      <c r="L305" s="2">
        <v>2</v>
      </c>
      <c r="M305" s="2">
        <v>4</v>
      </c>
      <c r="N305" t="s">
        <v>48</v>
      </c>
      <c r="O305" s="2">
        <v>6929</v>
      </c>
      <c r="P305" s="2">
        <v>12241</v>
      </c>
      <c r="Q305" s="2">
        <v>4</v>
      </c>
      <c r="R305" t="s">
        <v>43</v>
      </c>
      <c r="S305" s="2">
        <v>3</v>
      </c>
      <c r="T305" s="2">
        <v>2</v>
      </c>
      <c r="U305">
        <v>80</v>
      </c>
      <c r="V305" s="2">
        <v>10</v>
      </c>
      <c r="W305">
        <v>3</v>
      </c>
      <c r="X305">
        <v>2</v>
      </c>
      <c r="Y305">
        <v>8</v>
      </c>
      <c r="Z305">
        <v>7</v>
      </c>
      <c r="AA305">
        <v>7</v>
      </c>
      <c r="AB305">
        <v>7</v>
      </c>
    </row>
    <row r="306" spans="1:28" x14ac:dyDescent="0.35">
      <c r="A306" s="2">
        <v>39</v>
      </c>
      <c r="B306" s="2" t="str" cm="1">
        <f t="array" ref="B306">_xlfn.IFS(HR_table[[#This Row],[Age]]&lt;=20, "Under 20yrs",HR_table[[#This Row],[Age]]&lt;=30,"(21-30)yrs",HR_table[[#This Row],[Age]]&lt;=40,"(31-40)yrs",HR_table[[#This Row],[Age]]&lt;=50,"(41-50)yrs",HR_table[[#This Row],[Age]]&lt;=60,"(51-60)yrs")</f>
        <v>(31-40)yrs</v>
      </c>
      <c r="C306" t="s">
        <v>43</v>
      </c>
      <c r="D306" t="s">
        <v>36</v>
      </c>
      <c r="E306" t="s">
        <v>45</v>
      </c>
      <c r="F306" t="s">
        <v>51</v>
      </c>
      <c r="G306" t="s">
        <v>54</v>
      </c>
      <c r="H306">
        <v>417</v>
      </c>
      <c r="I306" s="2">
        <v>1</v>
      </c>
      <c r="J306" s="2">
        <v>3</v>
      </c>
      <c r="K306" t="s">
        <v>46</v>
      </c>
      <c r="L306" s="2">
        <v>3</v>
      </c>
      <c r="M306" s="2">
        <v>4</v>
      </c>
      <c r="N306" t="s">
        <v>52</v>
      </c>
      <c r="O306" s="2">
        <v>9613</v>
      </c>
      <c r="P306" s="2">
        <v>10942</v>
      </c>
      <c r="Q306" s="2">
        <v>0</v>
      </c>
      <c r="R306" t="s">
        <v>43</v>
      </c>
      <c r="S306" s="2">
        <v>3</v>
      </c>
      <c r="T306" s="2">
        <v>1</v>
      </c>
      <c r="U306">
        <v>80</v>
      </c>
      <c r="V306" s="2">
        <v>19</v>
      </c>
      <c r="W306">
        <v>5</v>
      </c>
      <c r="X306">
        <v>2</v>
      </c>
      <c r="Y306">
        <v>18</v>
      </c>
      <c r="Z306">
        <v>10</v>
      </c>
      <c r="AA306">
        <v>3</v>
      </c>
      <c r="AB306">
        <v>7</v>
      </c>
    </row>
    <row r="307" spans="1:28" x14ac:dyDescent="0.35">
      <c r="A307" s="2">
        <v>36</v>
      </c>
      <c r="B307" s="2" t="str" cm="1">
        <f t="array" ref="B307">_xlfn.IFS(HR_table[[#This Row],[Age]]&lt;=20, "Under 20yrs",HR_table[[#This Row],[Age]]&lt;=30,"(21-30)yrs",HR_table[[#This Row],[Age]]&lt;=40,"(31-40)yrs",HR_table[[#This Row],[Age]]&lt;=50,"(41-50)yrs",HR_table[[#This Row],[Age]]&lt;=60,"(51-60)yrs")</f>
        <v>(31-40)yrs</v>
      </c>
      <c r="C307" t="s">
        <v>43</v>
      </c>
      <c r="D307" t="s">
        <v>55</v>
      </c>
      <c r="E307" t="s">
        <v>45</v>
      </c>
      <c r="F307" t="s">
        <v>38</v>
      </c>
      <c r="G307" t="s">
        <v>50</v>
      </c>
      <c r="H307">
        <v>419</v>
      </c>
      <c r="I307" s="2">
        <v>24</v>
      </c>
      <c r="J307" s="2">
        <v>2</v>
      </c>
      <c r="K307" t="s">
        <v>39</v>
      </c>
      <c r="L307" s="2">
        <v>2</v>
      </c>
      <c r="M307" s="2">
        <v>2</v>
      </c>
      <c r="N307" t="s">
        <v>48</v>
      </c>
      <c r="O307" s="2">
        <v>5674</v>
      </c>
      <c r="P307" s="2">
        <v>6927</v>
      </c>
      <c r="Q307" s="2">
        <v>7</v>
      </c>
      <c r="R307" t="s">
        <v>43</v>
      </c>
      <c r="S307" s="2">
        <v>3</v>
      </c>
      <c r="T307" s="2">
        <v>3</v>
      </c>
      <c r="U307">
        <v>80</v>
      </c>
      <c r="V307" s="2">
        <v>11</v>
      </c>
      <c r="W307">
        <v>3</v>
      </c>
      <c r="X307">
        <v>3</v>
      </c>
      <c r="Y307">
        <v>9</v>
      </c>
      <c r="Z307">
        <v>8</v>
      </c>
      <c r="AA307">
        <v>0</v>
      </c>
      <c r="AB307">
        <v>8</v>
      </c>
    </row>
    <row r="308" spans="1:28" x14ac:dyDescent="0.35">
      <c r="A308" s="2">
        <v>32</v>
      </c>
      <c r="B308" s="2" t="str" cm="1">
        <f t="array" ref="B308">_xlfn.IFS(HR_table[[#This Row],[Age]]&lt;=20, "Under 20yrs",HR_table[[#This Row],[Age]]&lt;=30,"(21-30)yrs",HR_table[[#This Row],[Age]]&lt;=40,"(31-40)yrs",HR_table[[#This Row],[Age]]&lt;=50,"(41-50)yrs",HR_table[[#This Row],[Age]]&lt;=60,"(51-60)yrs")</f>
        <v>(31-40)yrs</v>
      </c>
      <c r="C308" t="s">
        <v>43</v>
      </c>
      <c r="D308" t="s">
        <v>36</v>
      </c>
      <c r="E308" t="s">
        <v>37</v>
      </c>
      <c r="F308" t="s">
        <v>38</v>
      </c>
      <c r="G308" t="s">
        <v>40</v>
      </c>
      <c r="H308">
        <v>420</v>
      </c>
      <c r="I308" s="2">
        <v>7</v>
      </c>
      <c r="J308" s="2">
        <v>4</v>
      </c>
      <c r="K308" t="s">
        <v>46</v>
      </c>
      <c r="L308" s="2">
        <v>2</v>
      </c>
      <c r="M308" s="2">
        <v>3</v>
      </c>
      <c r="N308" t="s">
        <v>48</v>
      </c>
      <c r="O308" s="2">
        <v>5484</v>
      </c>
      <c r="P308" s="2">
        <v>16985</v>
      </c>
      <c r="Q308" s="2">
        <v>1</v>
      </c>
      <c r="R308" t="s">
        <v>43</v>
      </c>
      <c r="S308" s="2">
        <v>3</v>
      </c>
      <c r="T308" s="2">
        <v>3</v>
      </c>
      <c r="U308">
        <v>80</v>
      </c>
      <c r="V308" s="2">
        <v>13</v>
      </c>
      <c r="W308">
        <v>3</v>
      </c>
      <c r="X308">
        <v>2</v>
      </c>
      <c r="Y308">
        <v>13</v>
      </c>
      <c r="Z308">
        <v>8</v>
      </c>
      <c r="AA308">
        <v>4</v>
      </c>
      <c r="AB308">
        <v>8</v>
      </c>
    </row>
    <row r="309" spans="1:28" x14ac:dyDescent="0.35">
      <c r="A309" s="2">
        <v>38</v>
      </c>
      <c r="B309" s="2" t="str" cm="1">
        <f t="array" ref="B309">_xlfn.IFS(HR_table[[#This Row],[Age]]&lt;=20, "Under 20yrs",HR_table[[#This Row],[Age]]&lt;=30,"(21-30)yrs",HR_table[[#This Row],[Age]]&lt;=40,"(31-40)yrs",HR_table[[#This Row],[Age]]&lt;=50,"(41-50)yrs",HR_table[[#This Row],[Age]]&lt;=60,"(51-60)yrs")</f>
        <v>(31-40)yrs</v>
      </c>
      <c r="C309" t="s">
        <v>43</v>
      </c>
      <c r="D309" t="s">
        <v>36</v>
      </c>
      <c r="E309" t="s">
        <v>45</v>
      </c>
      <c r="F309" t="s">
        <v>38</v>
      </c>
      <c r="G309" t="s">
        <v>58</v>
      </c>
      <c r="H309">
        <v>421</v>
      </c>
      <c r="I309" s="2">
        <v>25</v>
      </c>
      <c r="J309" s="2">
        <v>1</v>
      </c>
      <c r="K309" t="s">
        <v>39</v>
      </c>
      <c r="L309" s="2">
        <v>3</v>
      </c>
      <c r="M309" s="2">
        <v>2</v>
      </c>
      <c r="N309" t="s">
        <v>48</v>
      </c>
      <c r="O309" s="2">
        <v>12061</v>
      </c>
      <c r="P309" s="2">
        <v>26707</v>
      </c>
      <c r="Q309" s="2">
        <v>3</v>
      </c>
      <c r="R309" t="s">
        <v>43</v>
      </c>
      <c r="S309" s="2">
        <v>3</v>
      </c>
      <c r="T309" s="2">
        <v>3</v>
      </c>
      <c r="U309">
        <v>80</v>
      </c>
      <c r="V309" s="2">
        <v>19</v>
      </c>
      <c r="W309">
        <v>2</v>
      </c>
      <c r="X309">
        <v>3</v>
      </c>
      <c r="Y309">
        <v>10</v>
      </c>
      <c r="Z309">
        <v>8</v>
      </c>
      <c r="AA309">
        <v>0</v>
      </c>
      <c r="AB309">
        <v>1</v>
      </c>
    </row>
    <row r="310" spans="1:28" x14ac:dyDescent="0.35">
      <c r="A310" s="2">
        <v>58</v>
      </c>
      <c r="B310" s="2" t="str" cm="1">
        <f t="array" ref="B310">_xlfn.IFS(HR_table[[#This Row],[Age]]&lt;=20, "Under 20yrs",HR_table[[#This Row],[Age]]&lt;=30,"(21-30)yrs",HR_table[[#This Row],[Age]]&lt;=40,"(31-40)yrs",HR_table[[#This Row],[Age]]&lt;=50,"(41-50)yrs",HR_table[[#This Row],[Age]]&lt;=60,"(51-60)yrs")</f>
        <v>(51-60)yrs</v>
      </c>
      <c r="C310" t="s">
        <v>43</v>
      </c>
      <c r="D310" t="s">
        <v>55</v>
      </c>
      <c r="E310" t="s">
        <v>45</v>
      </c>
      <c r="F310" t="s">
        <v>38</v>
      </c>
      <c r="G310" t="s">
        <v>54</v>
      </c>
      <c r="H310">
        <v>422</v>
      </c>
      <c r="I310" s="2">
        <v>1</v>
      </c>
      <c r="J310" s="2">
        <v>4</v>
      </c>
      <c r="K310" t="s">
        <v>46</v>
      </c>
      <c r="L310" s="2">
        <v>2</v>
      </c>
      <c r="M310" s="2">
        <v>3</v>
      </c>
      <c r="N310" t="s">
        <v>52</v>
      </c>
      <c r="O310" s="2">
        <v>5660</v>
      </c>
      <c r="P310" s="2">
        <v>17056</v>
      </c>
      <c r="Q310" s="2">
        <v>2</v>
      </c>
      <c r="R310" t="s">
        <v>35</v>
      </c>
      <c r="S310" s="2">
        <v>3</v>
      </c>
      <c r="T310" s="2">
        <v>4</v>
      </c>
      <c r="U310">
        <v>80</v>
      </c>
      <c r="V310" s="2">
        <v>12</v>
      </c>
      <c r="W310">
        <v>2</v>
      </c>
      <c r="X310">
        <v>3</v>
      </c>
      <c r="Y310">
        <v>5</v>
      </c>
      <c r="Z310">
        <v>3</v>
      </c>
      <c r="AA310">
        <v>1</v>
      </c>
      <c r="AB310">
        <v>2</v>
      </c>
    </row>
    <row r="311" spans="1:28" x14ac:dyDescent="0.35">
      <c r="A311" s="2">
        <v>31</v>
      </c>
      <c r="B311" s="2" t="str" cm="1">
        <f t="array" ref="B311">_xlfn.IFS(HR_table[[#This Row],[Age]]&lt;=20, "Under 20yrs",HR_table[[#This Row],[Age]]&lt;=30,"(21-30)yrs",HR_table[[#This Row],[Age]]&lt;=40,"(31-40)yrs",HR_table[[#This Row],[Age]]&lt;=50,"(41-50)yrs",HR_table[[#This Row],[Age]]&lt;=60,"(51-60)yrs")</f>
        <v>(31-40)yrs</v>
      </c>
      <c r="C311" t="s">
        <v>43</v>
      </c>
      <c r="D311" t="s">
        <v>36</v>
      </c>
      <c r="E311" t="s">
        <v>45</v>
      </c>
      <c r="F311" t="s">
        <v>60</v>
      </c>
      <c r="G311" t="s">
        <v>47</v>
      </c>
      <c r="H311">
        <v>423</v>
      </c>
      <c r="I311" s="2">
        <v>5</v>
      </c>
      <c r="J311" s="2">
        <v>3</v>
      </c>
      <c r="K311" t="s">
        <v>46</v>
      </c>
      <c r="L311" s="2">
        <v>1</v>
      </c>
      <c r="M311" s="2">
        <v>4</v>
      </c>
      <c r="N311" t="s">
        <v>48</v>
      </c>
      <c r="O311" s="2">
        <v>4821</v>
      </c>
      <c r="P311" s="2">
        <v>10077</v>
      </c>
      <c r="Q311" s="2">
        <v>0</v>
      </c>
      <c r="R311" t="s">
        <v>35</v>
      </c>
      <c r="S311" s="2">
        <v>3</v>
      </c>
      <c r="T311" s="2">
        <v>3</v>
      </c>
      <c r="U311">
        <v>80</v>
      </c>
      <c r="V311" s="2">
        <v>6</v>
      </c>
      <c r="W311">
        <v>4</v>
      </c>
      <c r="X311">
        <v>3</v>
      </c>
      <c r="Y311">
        <v>5</v>
      </c>
      <c r="Z311">
        <v>2</v>
      </c>
      <c r="AA311">
        <v>0</v>
      </c>
      <c r="AB311">
        <v>3</v>
      </c>
    </row>
    <row r="312" spans="1:28" x14ac:dyDescent="0.35">
      <c r="A312" s="2">
        <v>31</v>
      </c>
      <c r="B312" s="2" t="str" cm="1">
        <f t="array" ref="B312">_xlfn.IFS(HR_table[[#This Row],[Age]]&lt;=20, "Under 20yrs",HR_table[[#This Row],[Age]]&lt;=30,"(21-30)yrs",HR_table[[#This Row],[Age]]&lt;=40,"(31-40)yrs",HR_table[[#This Row],[Age]]&lt;=50,"(41-50)yrs",HR_table[[#This Row],[Age]]&lt;=60,"(51-60)yrs")</f>
        <v>(31-40)yrs</v>
      </c>
      <c r="C312" t="s">
        <v>43</v>
      </c>
      <c r="D312" t="s">
        <v>36</v>
      </c>
      <c r="E312" t="s">
        <v>61</v>
      </c>
      <c r="F312" t="s">
        <v>61</v>
      </c>
      <c r="G312" t="s">
        <v>61</v>
      </c>
      <c r="H312">
        <v>424</v>
      </c>
      <c r="I312" s="2">
        <v>2</v>
      </c>
      <c r="J312" s="2">
        <v>1</v>
      </c>
      <c r="K312" t="s">
        <v>46</v>
      </c>
      <c r="L312" s="2">
        <v>2</v>
      </c>
      <c r="M312" s="2">
        <v>1</v>
      </c>
      <c r="N312" t="s">
        <v>48</v>
      </c>
      <c r="O312" s="2">
        <v>6410</v>
      </c>
      <c r="P312" s="2">
        <v>17822</v>
      </c>
      <c r="Q312" s="2">
        <v>3</v>
      </c>
      <c r="R312" t="s">
        <v>43</v>
      </c>
      <c r="S312" s="2">
        <v>3</v>
      </c>
      <c r="T312" s="2">
        <v>4</v>
      </c>
      <c r="U312">
        <v>80</v>
      </c>
      <c r="V312" s="2">
        <v>9</v>
      </c>
      <c r="W312">
        <v>1</v>
      </c>
      <c r="X312">
        <v>3</v>
      </c>
      <c r="Y312">
        <v>2</v>
      </c>
      <c r="Z312">
        <v>2</v>
      </c>
      <c r="AA312">
        <v>1</v>
      </c>
      <c r="AB312">
        <v>0</v>
      </c>
    </row>
    <row r="313" spans="1:28" x14ac:dyDescent="0.35">
      <c r="A313" s="2">
        <v>45</v>
      </c>
      <c r="B313" s="2" t="str" cm="1">
        <f t="array" ref="B313">_xlfn.IFS(HR_table[[#This Row],[Age]]&lt;=20, "Under 20yrs",HR_table[[#This Row],[Age]]&lt;=30,"(21-30)yrs",HR_table[[#This Row],[Age]]&lt;=40,"(31-40)yrs",HR_table[[#This Row],[Age]]&lt;=50,"(41-50)yrs",HR_table[[#This Row],[Age]]&lt;=60,"(51-60)yrs")</f>
        <v>(41-50)yrs</v>
      </c>
      <c r="C313" t="s">
        <v>43</v>
      </c>
      <c r="D313" t="s">
        <v>44</v>
      </c>
      <c r="E313" t="s">
        <v>45</v>
      </c>
      <c r="F313" t="s">
        <v>38</v>
      </c>
      <c r="G313" t="s">
        <v>50</v>
      </c>
      <c r="H313">
        <v>425</v>
      </c>
      <c r="I313" s="2">
        <v>7</v>
      </c>
      <c r="J313" s="2">
        <v>1</v>
      </c>
      <c r="K313" t="s">
        <v>46</v>
      </c>
      <c r="L313" s="2">
        <v>3</v>
      </c>
      <c r="M313" s="2">
        <v>1</v>
      </c>
      <c r="N313" t="s">
        <v>52</v>
      </c>
      <c r="O313" s="2">
        <v>5210</v>
      </c>
      <c r="P313" s="2">
        <v>20308</v>
      </c>
      <c r="Q313" s="2">
        <v>1</v>
      </c>
      <c r="R313" t="s">
        <v>43</v>
      </c>
      <c r="S313" s="2">
        <v>3</v>
      </c>
      <c r="T313" s="2">
        <v>1</v>
      </c>
      <c r="U313">
        <v>80</v>
      </c>
      <c r="V313" s="2">
        <v>24</v>
      </c>
      <c r="W313">
        <v>2</v>
      </c>
      <c r="X313">
        <v>3</v>
      </c>
      <c r="Y313">
        <v>24</v>
      </c>
      <c r="Z313">
        <v>9</v>
      </c>
      <c r="AA313">
        <v>9</v>
      </c>
      <c r="AB313">
        <v>11</v>
      </c>
    </row>
    <row r="314" spans="1:28" x14ac:dyDescent="0.35">
      <c r="A314" s="2">
        <v>31</v>
      </c>
      <c r="B314" s="2" t="str" cm="1">
        <f t="array" ref="B314">_xlfn.IFS(HR_table[[#This Row],[Age]]&lt;=20, "Under 20yrs",HR_table[[#This Row],[Age]]&lt;=30,"(21-30)yrs",HR_table[[#This Row],[Age]]&lt;=40,"(31-40)yrs",HR_table[[#This Row],[Age]]&lt;=50,"(41-50)yrs",HR_table[[#This Row],[Age]]&lt;=60,"(51-60)yrs")</f>
        <v>(31-40)yrs</v>
      </c>
      <c r="C314" t="s">
        <v>43</v>
      </c>
      <c r="D314" t="s">
        <v>36</v>
      </c>
      <c r="E314" t="s">
        <v>45</v>
      </c>
      <c r="F314" t="s">
        <v>38</v>
      </c>
      <c r="G314" t="s">
        <v>47</v>
      </c>
      <c r="H314">
        <v>426</v>
      </c>
      <c r="I314" s="2">
        <v>2</v>
      </c>
      <c r="J314" s="2">
        <v>3</v>
      </c>
      <c r="K314" t="s">
        <v>46</v>
      </c>
      <c r="L314" s="2">
        <v>1</v>
      </c>
      <c r="M314" s="2">
        <v>4</v>
      </c>
      <c r="N314" t="s">
        <v>52</v>
      </c>
      <c r="O314" s="2">
        <v>2695</v>
      </c>
      <c r="P314" s="2">
        <v>7747</v>
      </c>
      <c r="Q314" s="2">
        <v>0</v>
      </c>
      <c r="R314" t="s">
        <v>35</v>
      </c>
      <c r="S314" s="2">
        <v>3</v>
      </c>
      <c r="T314" s="2">
        <v>2</v>
      </c>
      <c r="U314">
        <v>80</v>
      </c>
      <c r="V314" s="2">
        <v>3</v>
      </c>
      <c r="W314">
        <v>2</v>
      </c>
      <c r="X314">
        <v>1</v>
      </c>
      <c r="Y314">
        <v>2</v>
      </c>
      <c r="Z314">
        <v>2</v>
      </c>
      <c r="AA314">
        <v>2</v>
      </c>
      <c r="AB314">
        <v>2</v>
      </c>
    </row>
    <row r="315" spans="1:28" x14ac:dyDescent="0.35">
      <c r="A315" s="2">
        <v>33</v>
      </c>
      <c r="B315" s="2" t="str" cm="1">
        <f t="array" ref="B315">_xlfn.IFS(HR_table[[#This Row],[Age]]&lt;=20, "Under 20yrs",HR_table[[#This Row],[Age]]&lt;=30,"(21-30)yrs",HR_table[[#This Row],[Age]]&lt;=40,"(31-40)yrs",HR_table[[#This Row],[Age]]&lt;=50,"(41-50)yrs",HR_table[[#This Row],[Age]]&lt;=60,"(51-60)yrs")</f>
        <v>(31-40)yrs</v>
      </c>
      <c r="C315" t="s">
        <v>43</v>
      </c>
      <c r="D315" t="s">
        <v>44</v>
      </c>
      <c r="E315" t="s">
        <v>45</v>
      </c>
      <c r="F315" t="s">
        <v>38</v>
      </c>
      <c r="G315" t="s">
        <v>56</v>
      </c>
      <c r="H315">
        <v>428</v>
      </c>
      <c r="I315" s="2">
        <v>5</v>
      </c>
      <c r="J315" s="2">
        <v>4</v>
      </c>
      <c r="K315" t="s">
        <v>39</v>
      </c>
      <c r="L315" s="2">
        <v>3</v>
      </c>
      <c r="M315" s="2">
        <v>2</v>
      </c>
      <c r="N315" t="s">
        <v>48</v>
      </c>
      <c r="O315" s="2">
        <v>11878</v>
      </c>
      <c r="P315" s="2">
        <v>23364</v>
      </c>
      <c r="Q315" s="2">
        <v>6</v>
      </c>
      <c r="R315" t="s">
        <v>43</v>
      </c>
      <c r="S315" s="2">
        <v>3</v>
      </c>
      <c r="T315" s="2">
        <v>2</v>
      </c>
      <c r="U315">
        <v>80</v>
      </c>
      <c r="V315" s="2">
        <v>12</v>
      </c>
      <c r="W315">
        <v>2</v>
      </c>
      <c r="X315">
        <v>3</v>
      </c>
      <c r="Y315">
        <v>10</v>
      </c>
      <c r="Z315">
        <v>6</v>
      </c>
      <c r="AA315">
        <v>8</v>
      </c>
      <c r="AB315">
        <v>8</v>
      </c>
    </row>
    <row r="316" spans="1:28" x14ac:dyDescent="0.35">
      <c r="A316" s="2">
        <v>39</v>
      </c>
      <c r="B316" s="2" t="str" cm="1">
        <f t="array" ref="B316">_xlfn.IFS(HR_table[[#This Row],[Age]]&lt;=20, "Under 20yrs",HR_table[[#This Row],[Age]]&lt;=30,"(21-30)yrs",HR_table[[#This Row],[Age]]&lt;=40,"(31-40)yrs",HR_table[[#This Row],[Age]]&lt;=50,"(41-50)yrs",HR_table[[#This Row],[Age]]&lt;=60,"(51-60)yrs")</f>
        <v>(31-40)yrs</v>
      </c>
      <c r="C316" t="s">
        <v>43</v>
      </c>
      <c r="D316" t="s">
        <v>36</v>
      </c>
      <c r="E316" t="s">
        <v>45</v>
      </c>
      <c r="F316" t="s">
        <v>51</v>
      </c>
      <c r="G316" t="s">
        <v>56</v>
      </c>
      <c r="H316">
        <v>429</v>
      </c>
      <c r="I316" s="2">
        <v>10</v>
      </c>
      <c r="J316" s="2">
        <v>3</v>
      </c>
      <c r="K316" t="s">
        <v>46</v>
      </c>
      <c r="L316" s="2">
        <v>4</v>
      </c>
      <c r="M316" s="2">
        <v>1</v>
      </c>
      <c r="N316" t="s">
        <v>48</v>
      </c>
      <c r="O316" s="2">
        <v>17068</v>
      </c>
      <c r="P316" s="2">
        <v>5355</v>
      </c>
      <c r="Q316" s="2">
        <v>1</v>
      </c>
      <c r="R316" t="s">
        <v>35</v>
      </c>
      <c r="S316" s="2">
        <v>3</v>
      </c>
      <c r="T316" s="2">
        <v>4</v>
      </c>
      <c r="U316">
        <v>80</v>
      </c>
      <c r="V316" s="2">
        <v>21</v>
      </c>
      <c r="W316">
        <v>3</v>
      </c>
      <c r="X316">
        <v>3</v>
      </c>
      <c r="Y316">
        <v>21</v>
      </c>
      <c r="Z316">
        <v>9</v>
      </c>
      <c r="AA316">
        <v>11</v>
      </c>
      <c r="AB316">
        <v>10</v>
      </c>
    </row>
    <row r="317" spans="1:28" x14ac:dyDescent="0.35">
      <c r="A317" s="2">
        <v>43</v>
      </c>
      <c r="B317" s="2" t="str" cm="1">
        <f t="array" ref="B317">_xlfn.IFS(HR_table[[#This Row],[Age]]&lt;=20, "Under 20yrs",HR_table[[#This Row],[Age]]&lt;=30,"(21-30)yrs",HR_table[[#This Row],[Age]]&lt;=40,"(31-40)yrs",HR_table[[#This Row],[Age]]&lt;=50,"(41-50)yrs",HR_table[[#This Row],[Age]]&lt;=60,"(51-60)yrs")</f>
        <v>(41-50)yrs</v>
      </c>
      <c r="C317" t="s">
        <v>43</v>
      </c>
      <c r="D317" t="s">
        <v>44</v>
      </c>
      <c r="E317" t="s">
        <v>45</v>
      </c>
      <c r="F317" t="s">
        <v>38</v>
      </c>
      <c r="G317" t="s">
        <v>50</v>
      </c>
      <c r="H317">
        <v>430</v>
      </c>
      <c r="I317" s="2">
        <v>10</v>
      </c>
      <c r="J317" s="2">
        <v>3</v>
      </c>
      <c r="K317" t="s">
        <v>39</v>
      </c>
      <c r="L317" s="2">
        <v>1</v>
      </c>
      <c r="M317" s="2">
        <v>4</v>
      </c>
      <c r="N317" t="s">
        <v>41</v>
      </c>
      <c r="O317" s="2">
        <v>2455</v>
      </c>
      <c r="P317" s="2">
        <v>10675</v>
      </c>
      <c r="Q317" s="2">
        <v>0</v>
      </c>
      <c r="R317" t="s">
        <v>43</v>
      </c>
      <c r="S317" s="2">
        <v>3</v>
      </c>
      <c r="T317" s="2">
        <v>1</v>
      </c>
      <c r="U317">
        <v>80</v>
      </c>
      <c r="V317" s="2">
        <v>9</v>
      </c>
      <c r="W317">
        <v>5</v>
      </c>
      <c r="X317">
        <v>3</v>
      </c>
      <c r="Y317">
        <v>8</v>
      </c>
      <c r="Z317">
        <v>7</v>
      </c>
      <c r="AA317">
        <v>1</v>
      </c>
      <c r="AB317">
        <v>7</v>
      </c>
    </row>
    <row r="318" spans="1:28" x14ac:dyDescent="0.35">
      <c r="A318" s="2">
        <v>49</v>
      </c>
      <c r="B318" s="2" t="str" cm="1">
        <f t="array" ref="B318">_xlfn.IFS(HR_table[[#This Row],[Age]]&lt;=20, "Under 20yrs",HR_table[[#This Row],[Age]]&lt;=30,"(21-30)yrs",HR_table[[#This Row],[Age]]&lt;=40,"(31-40)yrs",HR_table[[#This Row],[Age]]&lt;=50,"(41-50)yrs",HR_table[[#This Row],[Age]]&lt;=60,"(51-60)yrs")</f>
        <v>(41-50)yrs</v>
      </c>
      <c r="C318" t="s">
        <v>43</v>
      </c>
      <c r="D318" t="s">
        <v>36</v>
      </c>
      <c r="E318" t="s">
        <v>45</v>
      </c>
      <c r="F318" t="s">
        <v>60</v>
      </c>
      <c r="G318" t="s">
        <v>54</v>
      </c>
      <c r="H318">
        <v>431</v>
      </c>
      <c r="I318" s="2">
        <v>1</v>
      </c>
      <c r="J318" s="2">
        <v>3</v>
      </c>
      <c r="K318" t="s">
        <v>39</v>
      </c>
      <c r="L318" s="2">
        <v>4</v>
      </c>
      <c r="M318" s="2">
        <v>3</v>
      </c>
      <c r="N318" t="s">
        <v>41</v>
      </c>
      <c r="O318" s="2">
        <v>13964</v>
      </c>
      <c r="P318" s="2">
        <v>17810</v>
      </c>
      <c r="Q318" s="2">
        <v>7</v>
      </c>
      <c r="R318" t="s">
        <v>35</v>
      </c>
      <c r="S318" s="2">
        <v>3</v>
      </c>
      <c r="T318" s="2">
        <v>4</v>
      </c>
      <c r="U318">
        <v>80</v>
      </c>
      <c r="V318" s="2">
        <v>25</v>
      </c>
      <c r="W318">
        <v>2</v>
      </c>
      <c r="X318">
        <v>3</v>
      </c>
      <c r="Y318">
        <v>7</v>
      </c>
      <c r="Z318">
        <v>1</v>
      </c>
      <c r="AA318">
        <v>0</v>
      </c>
      <c r="AB318">
        <v>7</v>
      </c>
    </row>
    <row r="319" spans="1:28" x14ac:dyDescent="0.35">
      <c r="A319" s="2">
        <v>52</v>
      </c>
      <c r="B319" s="2" t="str" cm="1">
        <f t="array" ref="B319">_xlfn.IFS(HR_table[[#This Row],[Age]]&lt;=20, "Under 20yrs",HR_table[[#This Row],[Age]]&lt;=30,"(21-30)yrs",HR_table[[#This Row],[Age]]&lt;=40,"(31-40)yrs",HR_table[[#This Row],[Age]]&lt;=50,"(41-50)yrs",HR_table[[#This Row],[Age]]&lt;=60,"(51-60)yrs")</f>
        <v>(51-60)yrs</v>
      </c>
      <c r="C319" t="s">
        <v>35</v>
      </c>
      <c r="D319" t="s">
        <v>36</v>
      </c>
      <c r="E319" t="s">
        <v>45</v>
      </c>
      <c r="F319" t="s">
        <v>51</v>
      </c>
      <c r="G319" t="s">
        <v>47</v>
      </c>
      <c r="H319">
        <v>433</v>
      </c>
      <c r="I319" s="2">
        <v>8</v>
      </c>
      <c r="J319" s="2">
        <v>3</v>
      </c>
      <c r="K319" t="s">
        <v>46</v>
      </c>
      <c r="L319" s="2">
        <v>2</v>
      </c>
      <c r="M319" s="2">
        <v>2</v>
      </c>
      <c r="N319" t="s">
        <v>48</v>
      </c>
      <c r="O319" s="2">
        <v>4941</v>
      </c>
      <c r="P319" s="2">
        <v>17747</v>
      </c>
      <c r="Q319" s="2">
        <v>2</v>
      </c>
      <c r="R319" t="s">
        <v>43</v>
      </c>
      <c r="S319" s="2">
        <v>3</v>
      </c>
      <c r="T319" s="2">
        <v>1</v>
      </c>
      <c r="U319">
        <v>80</v>
      </c>
      <c r="V319" s="2">
        <v>11</v>
      </c>
      <c r="W319">
        <v>3</v>
      </c>
      <c r="X319">
        <v>2</v>
      </c>
      <c r="Y319">
        <v>8</v>
      </c>
      <c r="Z319">
        <v>2</v>
      </c>
      <c r="AA319">
        <v>7</v>
      </c>
      <c r="AB319">
        <v>7</v>
      </c>
    </row>
    <row r="320" spans="1:28" x14ac:dyDescent="0.35">
      <c r="A320" s="2">
        <v>27</v>
      </c>
      <c r="B320" s="2" t="str" cm="1">
        <f t="array" ref="B320">_xlfn.IFS(HR_table[[#This Row],[Age]]&lt;=20, "Under 20yrs",HR_table[[#This Row],[Age]]&lt;=30,"(21-30)yrs",HR_table[[#This Row],[Age]]&lt;=40,"(31-40)yrs",HR_table[[#This Row],[Age]]&lt;=50,"(41-50)yrs",HR_table[[#This Row],[Age]]&lt;=60,"(51-60)yrs")</f>
        <v>(21-30)yrs</v>
      </c>
      <c r="C320" t="s">
        <v>43</v>
      </c>
      <c r="D320" t="s">
        <v>36</v>
      </c>
      <c r="E320" t="s">
        <v>45</v>
      </c>
      <c r="F320" t="s">
        <v>38</v>
      </c>
      <c r="G320" t="s">
        <v>47</v>
      </c>
      <c r="H320">
        <v>434</v>
      </c>
      <c r="I320" s="2">
        <v>5</v>
      </c>
      <c r="J320" s="2">
        <v>3</v>
      </c>
      <c r="K320" t="s">
        <v>39</v>
      </c>
      <c r="L320" s="2">
        <v>1</v>
      </c>
      <c r="M320" s="2">
        <v>2</v>
      </c>
      <c r="N320" t="s">
        <v>41</v>
      </c>
      <c r="O320" s="2">
        <v>2478</v>
      </c>
      <c r="P320" s="2">
        <v>20938</v>
      </c>
      <c r="Q320" s="2">
        <v>1</v>
      </c>
      <c r="R320" t="s">
        <v>35</v>
      </c>
      <c r="S320" s="2">
        <v>3</v>
      </c>
      <c r="T320" s="2">
        <v>2</v>
      </c>
      <c r="U320">
        <v>80</v>
      </c>
      <c r="V320" s="2">
        <v>4</v>
      </c>
      <c r="W320">
        <v>2</v>
      </c>
      <c r="X320">
        <v>2</v>
      </c>
      <c r="Y320">
        <v>4</v>
      </c>
      <c r="Z320">
        <v>3</v>
      </c>
      <c r="AA320">
        <v>1</v>
      </c>
      <c r="AB320">
        <v>2</v>
      </c>
    </row>
    <row r="321" spans="1:28" x14ac:dyDescent="0.35">
      <c r="A321" s="2">
        <v>32</v>
      </c>
      <c r="B321" s="2" t="str" cm="1">
        <f t="array" ref="B321">_xlfn.IFS(HR_table[[#This Row],[Age]]&lt;=20, "Under 20yrs",HR_table[[#This Row],[Age]]&lt;=30,"(21-30)yrs",HR_table[[#This Row],[Age]]&lt;=40,"(31-40)yrs",HR_table[[#This Row],[Age]]&lt;=50,"(41-50)yrs",HR_table[[#This Row],[Age]]&lt;=60,"(51-60)yrs")</f>
        <v>(31-40)yrs</v>
      </c>
      <c r="C321" t="s">
        <v>43</v>
      </c>
      <c r="D321" t="s">
        <v>36</v>
      </c>
      <c r="E321" t="s">
        <v>37</v>
      </c>
      <c r="F321" t="s">
        <v>60</v>
      </c>
      <c r="G321" t="s">
        <v>40</v>
      </c>
      <c r="H321">
        <v>436</v>
      </c>
      <c r="I321" s="2">
        <v>8</v>
      </c>
      <c r="J321" s="2">
        <v>3</v>
      </c>
      <c r="K321" t="s">
        <v>39</v>
      </c>
      <c r="L321" s="2">
        <v>2</v>
      </c>
      <c r="M321" s="2">
        <v>2</v>
      </c>
      <c r="N321" t="s">
        <v>48</v>
      </c>
      <c r="O321" s="2">
        <v>5228</v>
      </c>
      <c r="P321" s="2">
        <v>24624</v>
      </c>
      <c r="Q321" s="2">
        <v>1</v>
      </c>
      <c r="R321" t="s">
        <v>35</v>
      </c>
      <c r="S321" s="2">
        <v>3</v>
      </c>
      <c r="T321" s="2">
        <v>4</v>
      </c>
      <c r="U321">
        <v>80</v>
      </c>
      <c r="V321" s="2">
        <v>13</v>
      </c>
      <c r="W321">
        <v>2</v>
      </c>
      <c r="X321">
        <v>3</v>
      </c>
      <c r="Y321">
        <v>13</v>
      </c>
      <c r="Z321">
        <v>12</v>
      </c>
      <c r="AA321">
        <v>11</v>
      </c>
      <c r="AB321">
        <v>9</v>
      </c>
    </row>
    <row r="322" spans="1:28" x14ac:dyDescent="0.35">
      <c r="A322" s="2">
        <v>27</v>
      </c>
      <c r="B322" s="2" t="str" cm="1">
        <f t="array" ref="B322">_xlfn.IFS(HR_table[[#This Row],[Age]]&lt;=20, "Under 20yrs",HR_table[[#This Row],[Age]]&lt;=30,"(21-30)yrs",HR_table[[#This Row],[Age]]&lt;=40,"(31-40)yrs",HR_table[[#This Row],[Age]]&lt;=50,"(41-50)yrs",HR_table[[#This Row],[Age]]&lt;=60,"(51-60)yrs")</f>
        <v>(21-30)yrs</v>
      </c>
      <c r="C322" t="s">
        <v>43</v>
      </c>
      <c r="D322" t="s">
        <v>36</v>
      </c>
      <c r="E322" t="s">
        <v>37</v>
      </c>
      <c r="F322" t="s">
        <v>38</v>
      </c>
      <c r="G322" t="s">
        <v>40</v>
      </c>
      <c r="H322">
        <v>437</v>
      </c>
      <c r="I322" s="2">
        <v>2</v>
      </c>
      <c r="J322" s="2">
        <v>4</v>
      </c>
      <c r="K322" t="s">
        <v>46</v>
      </c>
      <c r="L322" s="2">
        <v>2</v>
      </c>
      <c r="M322" s="2">
        <v>3</v>
      </c>
      <c r="N322" t="s">
        <v>41</v>
      </c>
      <c r="O322" s="2">
        <v>4478</v>
      </c>
      <c r="P322" s="2">
        <v>5242</v>
      </c>
      <c r="Q322" s="2">
        <v>1</v>
      </c>
      <c r="R322" t="s">
        <v>35</v>
      </c>
      <c r="S322" s="2">
        <v>3</v>
      </c>
      <c r="T322" s="2">
        <v>1</v>
      </c>
      <c r="U322">
        <v>80</v>
      </c>
      <c r="V322" s="2">
        <v>5</v>
      </c>
      <c r="W322">
        <v>3</v>
      </c>
      <c r="X322">
        <v>3</v>
      </c>
      <c r="Y322">
        <v>5</v>
      </c>
      <c r="Z322">
        <v>4</v>
      </c>
      <c r="AA322">
        <v>0</v>
      </c>
      <c r="AB322">
        <v>4</v>
      </c>
    </row>
    <row r="323" spans="1:28" x14ac:dyDescent="0.35">
      <c r="A323" s="2">
        <v>31</v>
      </c>
      <c r="B323" s="2" t="str" cm="1">
        <f t="array" ref="B323">_xlfn.IFS(HR_table[[#This Row],[Age]]&lt;=20, "Under 20yrs",HR_table[[#This Row],[Age]]&lt;=30,"(21-30)yrs",HR_table[[#This Row],[Age]]&lt;=40,"(31-40)yrs",HR_table[[#This Row],[Age]]&lt;=50,"(41-50)yrs",HR_table[[#This Row],[Age]]&lt;=60,"(51-60)yrs")</f>
        <v>(31-40)yrs</v>
      </c>
      <c r="C323" t="s">
        <v>43</v>
      </c>
      <c r="D323" t="s">
        <v>36</v>
      </c>
      <c r="E323" t="s">
        <v>37</v>
      </c>
      <c r="F323" t="s">
        <v>59</v>
      </c>
      <c r="G323" t="s">
        <v>40</v>
      </c>
      <c r="H323">
        <v>438</v>
      </c>
      <c r="I323" s="2">
        <v>7</v>
      </c>
      <c r="J323" s="2">
        <v>4</v>
      </c>
      <c r="K323" t="s">
        <v>46</v>
      </c>
      <c r="L323" s="2">
        <v>2</v>
      </c>
      <c r="M323" s="2">
        <v>4</v>
      </c>
      <c r="N323" t="s">
        <v>52</v>
      </c>
      <c r="O323" s="2">
        <v>7547</v>
      </c>
      <c r="P323" s="2">
        <v>7143</v>
      </c>
      <c r="Q323" s="2">
        <v>4</v>
      </c>
      <c r="R323" t="s">
        <v>43</v>
      </c>
      <c r="S323" s="2">
        <v>3</v>
      </c>
      <c r="T323" s="2">
        <v>4</v>
      </c>
      <c r="U323">
        <v>80</v>
      </c>
      <c r="V323" s="2">
        <v>13</v>
      </c>
      <c r="W323">
        <v>3</v>
      </c>
      <c r="X323">
        <v>3</v>
      </c>
      <c r="Y323">
        <v>7</v>
      </c>
      <c r="Z323">
        <v>7</v>
      </c>
      <c r="AA323">
        <v>1</v>
      </c>
      <c r="AB323">
        <v>7</v>
      </c>
    </row>
    <row r="324" spans="1:28" x14ac:dyDescent="0.35">
      <c r="A324" s="2">
        <v>32</v>
      </c>
      <c r="B324" s="2" t="str" cm="1">
        <f t="array" ref="B324">_xlfn.IFS(HR_table[[#This Row],[Age]]&lt;=20, "Under 20yrs",HR_table[[#This Row],[Age]]&lt;=30,"(21-30)yrs",HR_table[[#This Row],[Age]]&lt;=40,"(31-40)yrs",HR_table[[#This Row],[Age]]&lt;=50,"(41-50)yrs",HR_table[[#This Row],[Age]]&lt;=60,"(51-60)yrs")</f>
        <v>(31-40)yrs</v>
      </c>
      <c r="C324" t="s">
        <v>43</v>
      </c>
      <c r="D324" t="s">
        <v>36</v>
      </c>
      <c r="E324" t="s">
        <v>45</v>
      </c>
      <c r="F324" t="s">
        <v>51</v>
      </c>
      <c r="G324" t="s">
        <v>47</v>
      </c>
      <c r="H324">
        <v>439</v>
      </c>
      <c r="I324" s="2">
        <v>2</v>
      </c>
      <c r="J324" s="2">
        <v>1</v>
      </c>
      <c r="K324" t="s">
        <v>39</v>
      </c>
      <c r="L324" s="2">
        <v>2</v>
      </c>
      <c r="M324" s="2">
        <v>4</v>
      </c>
      <c r="N324" t="s">
        <v>41</v>
      </c>
      <c r="O324" s="2">
        <v>5055</v>
      </c>
      <c r="P324" s="2">
        <v>10557</v>
      </c>
      <c r="Q324" s="2">
        <v>7</v>
      </c>
      <c r="R324" t="s">
        <v>43</v>
      </c>
      <c r="S324" s="2">
        <v>3</v>
      </c>
      <c r="T324" s="2">
        <v>3</v>
      </c>
      <c r="U324">
        <v>80</v>
      </c>
      <c r="V324" s="2">
        <v>10</v>
      </c>
      <c r="W324">
        <v>0</v>
      </c>
      <c r="X324">
        <v>2</v>
      </c>
      <c r="Y324">
        <v>7</v>
      </c>
      <c r="Z324">
        <v>7</v>
      </c>
      <c r="AA324">
        <v>0</v>
      </c>
      <c r="AB324">
        <v>7</v>
      </c>
    </row>
    <row r="325" spans="1:28" x14ac:dyDescent="0.35">
      <c r="A325" s="2">
        <v>28</v>
      </c>
      <c r="B325" s="2" t="str" cm="1">
        <f t="array" ref="B325">_xlfn.IFS(HR_table[[#This Row],[Age]]&lt;=20, "Under 20yrs",HR_table[[#This Row],[Age]]&lt;=30,"(21-30)yrs",HR_table[[#This Row],[Age]]&lt;=40,"(31-40)yrs",HR_table[[#This Row],[Age]]&lt;=50,"(41-50)yrs",HR_table[[#This Row],[Age]]&lt;=60,"(51-60)yrs")</f>
        <v>(21-30)yrs</v>
      </c>
      <c r="C325" t="s">
        <v>35</v>
      </c>
      <c r="D325" t="s">
        <v>36</v>
      </c>
      <c r="E325" t="s">
        <v>45</v>
      </c>
      <c r="F325" t="s">
        <v>51</v>
      </c>
      <c r="G325" t="s">
        <v>47</v>
      </c>
      <c r="H325">
        <v>440</v>
      </c>
      <c r="I325" s="2">
        <v>2</v>
      </c>
      <c r="J325" s="2">
        <v>1</v>
      </c>
      <c r="K325" t="s">
        <v>46</v>
      </c>
      <c r="L325" s="2">
        <v>1</v>
      </c>
      <c r="M325" s="2">
        <v>4</v>
      </c>
      <c r="N325" t="s">
        <v>48</v>
      </c>
      <c r="O325" s="2">
        <v>3464</v>
      </c>
      <c r="P325" s="2">
        <v>24737</v>
      </c>
      <c r="Q325" s="2">
        <v>5</v>
      </c>
      <c r="R325" t="s">
        <v>35</v>
      </c>
      <c r="S325" s="2">
        <v>3</v>
      </c>
      <c r="T325" s="2">
        <v>4</v>
      </c>
      <c r="U325">
        <v>80</v>
      </c>
      <c r="V325" s="2">
        <v>5</v>
      </c>
      <c r="W325">
        <v>4</v>
      </c>
      <c r="X325">
        <v>2</v>
      </c>
      <c r="Y325">
        <v>3</v>
      </c>
      <c r="Z325">
        <v>2</v>
      </c>
      <c r="AA325">
        <v>2</v>
      </c>
      <c r="AB325">
        <v>2</v>
      </c>
    </row>
    <row r="326" spans="1:28" x14ac:dyDescent="0.35">
      <c r="A326" s="2">
        <v>30</v>
      </c>
      <c r="B326" s="2" t="str" cm="1">
        <f t="array" ref="B326">_xlfn.IFS(HR_table[[#This Row],[Age]]&lt;=20, "Under 20yrs",HR_table[[#This Row],[Age]]&lt;=30,"(21-30)yrs",HR_table[[#This Row],[Age]]&lt;=40,"(31-40)yrs",HR_table[[#This Row],[Age]]&lt;=50,"(41-50)yrs",HR_table[[#This Row],[Age]]&lt;=60,"(51-60)yrs")</f>
        <v>(21-30)yrs</v>
      </c>
      <c r="C326" t="s">
        <v>43</v>
      </c>
      <c r="D326" t="s">
        <v>36</v>
      </c>
      <c r="E326" t="s">
        <v>45</v>
      </c>
      <c r="F326" t="s">
        <v>51</v>
      </c>
      <c r="G326" t="s">
        <v>47</v>
      </c>
      <c r="H326">
        <v>441</v>
      </c>
      <c r="I326" s="2">
        <v>28</v>
      </c>
      <c r="J326" s="2">
        <v>4</v>
      </c>
      <c r="K326" t="s">
        <v>39</v>
      </c>
      <c r="L326" s="2">
        <v>2</v>
      </c>
      <c r="M326" s="2">
        <v>4</v>
      </c>
      <c r="N326" t="s">
        <v>48</v>
      </c>
      <c r="O326" s="2">
        <v>5775</v>
      </c>
      <c r="P326" s="2">
        <v>11934</v>
      </c>
      <c r="Q326" s="2">
        <v>1</v>
      </c>
      <c r="R326" t="s">
        <v>43</v>
      </c>
      <c r="S326" s="2">
        <v>3</v>
      </c>
      <c r="T326" s="2">
        <v>4</v>
      </c>
      <c r="U326">
        <v>80</v>
      </c>
      <c r="V326" s="2">
        <v>11</v>
      </c>
      <c r="W326">
        <v>2</v>
      </c>
      <c r="X326">
        <v>3</v>
      </c>
      <c r="Y326">
        <v>10</v>
      </c>
      <c r="Z326">
        <v>8</v>
      </c>
      <c r="AA326">
        <v>1</v>
      </c>
      <c r="AB326">
        <v>9</v>
      </c>
    </row>
    <row r="327" spans="1:28" x14ac:dyDescent="0.35">
      <c r="A327" s="2">
        <v>31</v>
      </c>
      <c r="B327" s="2" t="str" cm="1">
        <f t="array" ref="B327">_xlfn.IFS(HR_table[[#This Row],[Age]]&lt;=20, "Under 20yrs",HR_table[[#This Row],[Age]]&lt;=30,"(21-30)yrs",HR_table[[#This Row],[Age]]&lt;=40,"(31-40)yrs",HR_table[[#This Row],[Age]]&lt;=50,"(41-50)yrs",HR_table[[#This Row],[Age]]&lt;=60,"(51-60)yrs")</f>
        <v>(31-40)yrs</v>
      </c>
      <c r="C327" t="s">
        <v>43</v>
      </c>
      <c r="D327" t="s">
        <v>44</v>
      </c>
      <c r="E327" t="s">
        <v>45</v>
      </c>
      <c r="F327" t="s">
        <v>38</v>
      </c>
      <c r="G327" t="s">
        <v>53</v>
      </c>
      <c r="H327">
        <v>442</v>
      </c>
      <c r="I327" s="2">
        <v>7</v>
      </c>
      <c r="J327" s="2">
        <v>3</v>
      </c>
      <c r="K327" t="s">
        <v>39</v>
      </c>
      <c r="L327" s="2">
        <v>3</v>
      </c>
      <c r="M327" s="2">
        <v>3</v>
      </c>
      <c r="N327" t="s">
        <v>48</v>
      </c>
      <c r="O327" s="2">
        <v>8943</v>
      </c>
      <c r="P327" s="2">
        <v>14034</v>
      </c>
      <c r="Q327" s="2">
        <v>1</v>
      </c>
      <c r="R327" t="s">
        <v>43</v>
      </c>
      <c r="S327" s="2">
        <v>4</v>
      </c>
      <c r="T327" s="2">
        <v>1</v>
      </c>
      <c r="U327">
        <v>80</v>
      </c>
      <c r="V327" s="2">
        <v>10</v>
      </c>
      <c r="W327">
        <v>2</v>
      </c>
      <c r="X327">
        <v>3</v>
      </c>
      <c r="Y327">
        <v>10</v>
      </c>
      <c r="Z327">
        <v>9</v>
      </c>
      <c r="AA327">
        <v>8</v>
      </c>
      <c r="AB327">
        <v>9</v>
      </c>
    </row>
    <row r="328" spans="1:28" x14ac:dyDescent="0.35">
      <c r="A328" s="2">
        <v>39</v>
      </c>
      <c r="B328" s="2" t="str" cm="1">
        <f t="array" ref="B328">_xlfn.IFS(HR_table[[#This Row],[Age]]&lt;=20, "Under 20yrs",HR_table[[#This Row],[Age]]&lt;=30,"(21-30)yrs",HR_table[[#This Row],[Age]]&lt;=40,"(31-40)yrs",HR_table[[#This Row],[Age]]&lt;=50,"(41-50)yrs",HR_table[[#This Row],[Age]]&lt;=60,"(51-60)yrs")</f>
        <v>(31-40)yrs</v>
      </c>
      <c r="C328" t="s">
        <v>43</v>
      </c>
      <c r="D328" t="s">
        <v>44</v>
      </c>
      <c r="E328" t="s">
        <v>45</v>
      </c>
      <c r="F328" t="s">
        <v>51</v>
      </c>
      <c r="G328" t="s">
        <v>56</v>
      </c>
      <c r="H328">
        <v>444</v>
      </c>
      <c r="I328" s="2">
        <v>7</v>
      </c>
      <c r="J328" s="2">
        <v>3</v>
      </c>
      <c r="K328" t="s">
        <v>46</v>
      </c>
      <c r="L328" s="2">
        <v>5</v>
      </c>
      <c r="M328" s="2">
        <v>4</v>
      </c>
      <c r="N328" t="s">
        <v>48</v>
      </c>
      <c r="O328" s="2">
        <v>19272</v>
      </c>
      <c r="P328" s="2">
        <v>21141</v>
      </c>
      <c r="Q328" s="2">
        <v>1</v>
      </c>
      <c r="R328" t="s">
        <v>43</v>
      </c>
      <c r="S328" s="2">
        <v>3</v>
      </c>
      <c r="T328" s="2">
        <v>1</v>
      </c>
      <c r="U328">
        <v>80</v>
      </c>
      <c r="V328" s="2">
        <v>21</v>
      </c>
      <c r="W328">
        <v>2</v>
      </c>
      <c r="X328">
        <v>3</v>
      </c>
      <c r="Y328">
        <v>21</v>
      </c>
      <c r="Z328">
        <v>9</v>
      </c>
      <c r="AA328">
        <v>13</v>
      </c>
      <c r="AB328">
        <v>3</v>
      </c>
    </row>
    <row r="329" spans="1:28" x14ac:dyDescent="0.35">
      <c r="A329" s="2">
        <v>39</v>
      </c>
      <c r="B329" s="2" t="str" cm="1">
        <f t="array" ref="B329">_xlfn.IFS(HR_table[[#This Row],[Age]]&lt;=20, "Under 20yrs",HR_table[[#This Row],[Age]]&lt;=30,"(21-30)yrs",HR_table[[#This Row],[Age]]&lt;=40,"(31-40)yrs",HR_table[[#This Row],[Age]]&lt;=50,"(41-50)yrs",HR_table[[#This Row],[Age]]&lt;=60,"(51-60)yrs")</f>
        <v>(31-40)yrs</v>
      </c>
      <c r="C329" t="s">
        <v>35</v>
      </c>
      <c r="D329" t="s">
        <v>36</v>
      </c>
      <c r="E329" t="s">
        <v>37</v>
      </c>
      <c r="F329" t="s">
        <v>51</v>
      </c>
      <c r="G329" t="s">
        <v>40</v>
      </c>
      <c r="H329">
        <v>445</v>
      </c>
      <c r="I329" s="2">
        <v>3</v>
      </c>
      <c r="J329" s="2">
        <v>4</v>
      </c>
      <c r="K329" t="s">
        <v>39</v>
      </c>
      <c r="L329" s="2">
        <v>2</v>
      </c>
      <c r="M329" s="2">
        <v>3</v>
      </c>
      <c r="N329" t="s">
        <v>48</v>
      </c>
      <c r="O329" s="2">
        <v>5238</v>
      </c>
      <c r="P329" s="2">
        <v>17778</v>
      </c>
      <c r="Q329" s="2">
        <v>4</v>
      </c>
      <c r="R329" t="s">
        <v>35</v>
      </c>
      <c r="S329" s="2">
        <v>3</v>
      </c>
      <c r="T329" s="2">
        <v>1</v>
      </c>
      <c r="U329">
        <v>80</v>
      </c>
      <c r="V329" s="2">
        <v>12</v>
      </c>
      <c r="W329">
        <v>3</v>
      </c>
      <c r="X329">
        <v>2</v>
      </c>
      <c r="Y329">
        <v>1</v>
      </c>
      <c r="Z329">
        <v>0</v>
      </c>
      <c r="AA329">
        <v>0</v>
      </c>
      <c r="AB329">
        <v>0</v>
      </c>
    </row>
    <row r="330" spans="1:28" x14ac:dyDescent="0.35">
      <c r="A330" s="2">
        <v>33</v>
      </c>
      <c r="B330" s="2" t="str" cm="1">
        <f t="array" ref="B330">_xlfn.IFS(HR_table[[#This Row],[Age]]&lt;=20, "Under 20yrs",HR_table[[#This Row],[Age]]&lt;=30,"(21-30)yrs",HR_table[[#This Row],[Age]]&lt;=40,"(31-40)yrs",HR_table[[#This Row],[Age]]&lt;=50,"(41-50)yrs",HR_table[[#This Row],[Age]]&lt;=60,"(51-60)yrs")</f>
        <v>(31-40)yrs</v>
      </c>
      <c r="C330" t="s">
        <v>43</v>
      </c>
      <c r="D330" t="s">
        <v>44</v>
      </c>
      <c r="E330" t="s">
        <v>37</v>
      </c>
      <c r="F330" t="s">
        <v>59</v>
      </c>
      <c r="G330" t="s">
        <v>40</v>
      </c>
      <c r="H330">
        <v>446</v>
      </c>
      <c r="I330" s="2">
        <v>10</v>
      </c>
      <c r="J330" s="2">
        <v>2</v>
      </c>
      <c r="K330" t="s">
        <v>46</v>
      </c>
      <c r="L330" s="2">
        <v>2</v>
      </c>
      <c r="M330" s="2">
        <v>4</v>
      </c>
      <c r="N330" t="s">
        <v>41</v>
      </c>
      <c r="O330" s="2">
        <v>4682</v>
      </c>
      <c r="P330" s="2">
        <v>4317</v>
      </c>
      <c r="Q330" s="2">
        <v>3</v>
      </c>
      <c r="R330" t="s">
        <v>43</v>
      </c>
      <c r="S330" s="2">
        <v>3</v>
      </c>
      <c r="T330" s="2">
        <v>3</v>
      </c>
      <c r="U330">
        <v>80</v>
      </c>
      <c r="V330" s="2">
        <v>9</v>
      </c>
      <c r="W330">
        <v>6</v>
      </c>
      <c r="X330">
        <v>2</v>
      </c>
      <c r="Y330">
        <v>7</v>
      </c>
      <c r="Z330">
        <v>7</v>
      </c>
      <c r="AA330">
        <v>0</v>
      </c>
      <c r="AB330">
        <v>1</v>
      </c>
    </row>
    <row r="331" spans="1:28" x14ac:dyDescent="0.35">
      <c r="A331" s="2">
        <v>47</v>
      </c>
      <c r="B331" s="2" t="str" cm="1">
        <f t="array" ref="B331">_xlfn.IFS(HR_table[[#This Row],[Age]]&lt;=20, "Under 20yrs",HR_table[[#This Row],[Age]]&lt;=30,"(21-30)yrs",HR_table[[#This Row],[Age]]&lt;=40,"(31-40)yrs",HR_table[[#This Row],[Age]]&lt;=50,"(41-50)yrs",HR_table[[#This Row],[Age]]&lt;=60,"(51-60)yrs")</f>
        <v>(41-50)yrs</v>
      </c>
      <c r="C331" t="s">
        <v>43</v>
      </c>
      <c r="D331" t="s">
        <v>36</v>
      </c>
      <c r="E331" t="s">
        <v>45</v>
      </c>
      <c r="F331" t="s">
        <v>38</v>
      </c>
      <c r="G331" t="s">
        <v>58</v>
      </c>
      <c r="H331">
        <v>447</v>
      </c>
      <c r="I331" s="2">
        <v>5</v>
      </c>
      <c r="J331" s="2">
        <v>4</v>
      </c>
      <c r="K331" t="s">
        <v>46</v>
      </c>
      <c r="L331" s="2">
        <v>5</v>
      </c>
      <c r="M331" s="2">
        <v>3</v>
      </c>
      <c r="N331" t="s">
        <v>48</v>
      </c>
      <c r="O331" s="2">
        <v>18300</v>
      </c>
      <c r="P331" s="2">
        <v>16375</v>
      </c>
      <c r="Q331" s="2">
        <v>4</v>
      </c>
      <c r="R331" t="s">
        <v>43</v>
      </c>
      <c r="S331" s="2">
        <v>3</v>
      </c>
      <c r="T331" s="2">
        <v>2</v>
      </c>
      <c r="U331">
        <v>80</v>
      </c>
      <c r="V331" s="2">
        <v>21</v>
      </c>
      <c r="W331">
        <v>2</v>
      </c>
      <c r="X331">
        <v>3</v>
      </c>
      <c r="Y331">
        <v>3</v>
      </c>
      <c r="Z331">
        <v>2</v>
      </c>
      <c r="AA331">
        <v>1</v>
      </c>
      <c r="AB331">
        <v>1</v>
      </c>
    </row>
    <row r="332" spans="1:28" x14ac:dyDescent="0.35">
      <c r="A332" s="2">
        <v>43</v>
      </c>
      <c r="B332" s="2" t="str" cm="1">
        <f t="array" ref="B332">_xlfn.IFS(HR_table[[#This Row],[Age]]&lt;=20, "Under 20yrs",HR_table[[#This Row],[Age]]&lt;=30,"(21-30)yrs",HR_table[[#This Row],[Age]]&lt;=40,"(31-40)yrs",HR_table[[#This Row],[Age]]&lt;=50,"(41-50)yrs",HR_table[[#This Row],[Age]]&lt;=60,"(51-60)yrs")</f>
        <v>(41-50)yrs</v>
      </c>
      <c r="C332" t="s">
        <v>43</v>
      </c>
      <c r="D332" t="s">
        <v>44</v>
      </c>
      <c r="E332" t="s">
        <v>45</v>
      </c>
      <c r="F332" t="s">
        <v>38</v>
      </c>
      <c r="G332" t="s">
        <v>50</v>
      </c>
      <c r="H332">
        <v>448</v>
      </c>
      <c r="I332" s="2">
        <v>10</v>
      </c>
      <c r="J332" s="2">
        <v>3</v>
      </c>
      <c r="K332" t="s">
        <v>39</v>
      </c>
      <c r="L332" s="2">
        <v>2</v>
      </c>
      <c r="M332" s="2">
        <v>3</v>
      </c>
      <c r="N332" t="s">
        <v>52</v>
      </c>
      <c r="O332" s="2">
        <v>5257</v>
      </c>
      <c r="P332" s="2">
        <v>6227</v>
      </c>
      <c r="Q332" s="2">
        <v>1</v>
      </c>
      <c r="R332" t="s">
        <v>43</v>
      </c>
      <c r="S332" s="2">
        <v>3</v>
      </c>
      <c r="T332" s="2">
        <v>2</v>
      </c>
      <c r="U332">
        <v>80</v>
      </c>
      <c r="V332" s="2">
        <v>9</v>
      </c>
      <c r="W332">
        <v>3</v>
      </c>
      <c r="X332">
        <v>4</v>
      </c>
      <c r="Y332">
        <v>9</v>
      </c>
      <c r="Z332">
        <v>7</v>
      </c>
      <c r="AA332">
        <v>0</v>
      </c>
      <c r="AB332">
        <v>0</v>
      </c>
    </row>
    <row r="333" spans="1:28" x14ac:dyDescent="0.35">
      <c r="A333" s="2">
        <v>27</v>
      </c>
      <c r="B333" s="2" t="str" cm="1">
        <f t="array" ref="B333">_xlfn.IFS(HR_table[[#This Row],[Age]]&lt;=20, "Under 20yrs",HR_table[[#This Row],[Age]]&lt;=30,"(21-30)yrs",HR_table[[#This Row],[Age]]&lt;=40,"(31-40)yrs",HR_table[[#This Row],[Age]]&lt;=50,"(41-50)yrs",HR_table[[#This Row],[Age]]&lt;=60,"(51-60)yrs")</f>
        <v>(21-30)yrs</v>
      </c>
      <c r="C333" t="s">
        <v>43</v>
      </c>
      <c r="D333" t="s">
        <v>55</v>
      </c>
      <c r="E333" t="s">
        <v>37</v>
      </c>
      <c r="F333" t="s">
        <v>59</v>
      </c>
      <c r="G333" t="s">
        <v>40</v>
      </c>
      <c r="H333">
        <v>449</v>
      </c>
      <c r="I333" s="2">
        <v>1</v>
      </c>
      <c r="J333" s="2">
        <v>3</v>
      </c>
      <c r="K333" t="s">
        <v>46</v>
      </c>
      <c r="L333" s="2">
        <v>2</v>
      </c>
      <c r="M333" s="2">
        <v>2</v>
      </c>
      <c r="N333" t="s">
        <v>48</v>
      </c>
      <c r="O333" s="2">
        <v>6349</v>
      </c>
      <c r="P333" s="2">
        <v>22107</v>
      </c>
      <c r="Q333" s="2">
        <v>0</v>
      </c>
      <c r="R333" t="s">
        <v>35</v>
      </c>
      <c r="S333" s="2">
        <v>3</v>
      </c>
      <c r="T333" s="2">
        <v>4</v>
      </c>
      <c r="U333">
        <v>80</v>
      </c>
      <c r="V333" s="2">
        <v>6</v>
      </c>
      <c r="W333">
        <v>0</v>
      </c>
      <c r="X333">
        <v>3</v>
      </c>
      <c r="Y333">
        <v>5</v>
      </c>
      <c r="Z333">
        <v>4</v>
      </c>
      <c r="AA333">
        <v>1</v>
      </c>
      <c r="AB333">
        <v>4</v>
      </c>
    </row>
    <row r="334" spans="1:28" x14ac:dyDescent="0.35">
      <c r="A334" s="2">
        <v>54</v>
      </c>
      <c r="B334" s="2" t="str" cm="1">
        <f t="array" ref="B334">_xlfn.IFS(HR_table[[#This Row],[Age]]&lt;=20, "Under 20yrs",HR_table[[#This Row],[Age]]&lt;=30,"(21-30)yrs",HR_table[[#This Row],[Age]]&lt;=40,"(31-40)yrs",HR_table[[#This Row],[Age]]&lt;=50,"(41-50)yrs",HR_table[[#This Row],[Age]]&lt;=60,"(51-60)yrs")</f>
        <v>(51-60)yrs</v>
      </c>
      <c r="C334" t="s">
        <v>43</v>
      </c>
      <c r="D334" t="s">
        <v>44</v>
      </c>
      <c r="E334" t="s">
        <v>45</v>
      </c>
      <c r="F334" t="s">
        <v>38</v>
      </c>
      <c r="G334" t="s">
        <v>47</v>
      </c>
      <c r="H334">
        <v>450</v>
      </c>
      <c r="I334" s="2">
        <v>20</v>
      </c>
      <c r="J334" s="2">
        <v>4</v>
      </c>
      <c r="K334" t="s">
        <v>39</v>
      </c>
      <c r="L334" s="2">
        <v>2</v>
      </c>
      <c r="M334" s="2">
        <v>3</v>
      </c>
      <c r="N334" t="s">
        <v>41</v>
      </c>
      <c r="O334" s="2">
        <v>4869</v>
      </c>
      <c r="P334" s="2">
        <v>16885</v>
      </c>
      <c r="Q334" s="2">
        <v>3</v>
      </c>
      <c r="R334" t="s">
        <v>43</v>
      </c>
      <c r="S334" s="2">
        <v>3</v>
      </c>
      <c r="T334" s="2">
        <v>4</v>
      </c>
      <c r="U334">
        <v>80</v>
      </c>
      <c r="V334" s="2">
        <v>20</v>
      </c>
      <c r="W334">
        <v>4</v>
      </c>
      <c r="X334">
        <v>2</v>
      </c>
      <c r="Y334">
        <v>4</v>
      </c>
      <c r="Z334">
        <v>3</v>
      </c>
      <c r="AA334">
        <v>0</v>
      </c>
      <c r="AB334">
        <v>3</v>
      </c>
    </row>
    <row r="335" spans="1:28" x14ac:dyDescent="0.35">
      <c r="A335" s="2">
        <v>43</v>
      </c>
      <c r="B335" s="2" t="str" cm="1">
        <f t="array" ref="B335">_xlfn.IFS(HR_table[[#This Row],[Age]]&lt;=20, "Under 20yrs",HR_table[[#This Row],[Age]]&lt;=30,"(21-30)yrs",HR_table[[#This Row],[Age]]&lt;=40,"(31-40)yrs",HR_table[[#This Row],[Age]]&lt;=50,"(41-50)yrs",HR_table[[#This Row],[Age]]&lt;=60,"(51-60)yrs")</f>
        <v>(41-50)yrs</v>
      </c>
      <c r="C335" t="s">
        <v>43</v>
      </c>
      <c r="D335" t="s">
        <v>36</v>
      </c>
      <c r="E335" t="s">
        <v>45</v>
      </c>
      <c r="F335" t="s">
        <v>38</v>
      </c>
      <c r="G335" t="s">
        <v>54</v>
      </c>
      <c r="H335">
        <v>451</v>
      </c>
      <c r="I335" s="2">
        <v>7</v>
      </c>
      <c r="J335" s="2">
        <v>3</v>
      </c>
      <c r="K335" t="s">
        <v>39</v>
      </c>
      <c r="L335" s="2">
        <v>3</v>
      </c>
      <c r="M335" s="2">
        <v>1</v>
      </c>
      <c r="N335" t="s">
        <v>48</v>
      </c>
      <c r="O335" s="2">
        <v>9985</v>
      </c>
      <c r="P335" s="2">
        <v>9262</v>
      </c>
      <c r="Q335" s="2">
        <v>8</v>
      </c>
      <c r="R335" t="s">
        <v>43</v>
      </c>
      <c r="S335" s="2">
        <v>3</v>
      </c>
      <c r="T335" s="2">
        <v>1</v>
      </c>
      <c r="U335">
        <v>80</v>
      </c>
      <c r="V335" s="2">
        <v>10</v>
      </c>
      <c r="W335">
        <v>1</v>
      </c>
      <c r="X335">
        <v>2</v>
      </c>
      <c r="Y335">
        <v>1</v>
      </c>
      <c r="Z335">
        <v>0</v>
      </c>
      <c r="AA335">
        <v>0</v>
      </c>
      <c r="AB335">
        <v>0</v>
      </c>
    </row>
    <row r="336" spans="1:28" x14ac:dyDescent="0.35">
      <c r="A336" s="2">
        <v>45</v>
      </c>
      <c r="B336" s="2" t="str" cm="1">
        <f t="array" ref="B336">_xlfn.IFS(HR_table[[#This Row],[Age]]&lt;=20, "Under 20yrs",HR_table[[#This Row],[Age]]&lt;=30,"(21-30)yrs",HR_table[[#This Row],[Age]]&lt;=40,"(31-40)yrs",HR_table[[#This Row],[Age]]&lt;=50,"(41-50)yrs",HR_table[[#This Row],[Age]]&lt;=60,"(51-60)yrs")</f>
        <v>(41-50)yrs</v>
      </c>
      <c r="C336" t="s">
        <v>43</v>
      </c>
      <c r="D336" t="s">
        <v>36</v>
      </c>
      <c r="E336" t="s">
        <v>45</v>
      </c>
      <c r="F336" t="s">
        <v>49</v>
      </c>
      <c r="G336" t="s">
        <v>47</v>
      </c>
      <c r="H336">
        <v>452</v>
      </c>
      <c r="I336" s="2">
        <v>8</v>
      </c>
      <c r="J336" s="2">
        <v>4</v>
      </c>
      <c r="K336" t="s">
        <v>46</v>
      </c>
      <c r="L336" s="2">
        <v>2</v>
      </c>
      <c r="M336" s="2">
        <v>4</v>
      </c>
      <c r="N336" t="s">
        <v>48</v>
      </c>
      <c r="O336" s="2">
        <v>3697</v>
      </c>
      <c r="P336" s="2">
        <v>9278</v>
      </c>
      <c r="Q336" s="2">
        <v>9</v>
      </c>
      <c r="R336" t="s">
        <v>43</v>
      </c>
      <c r="S336" s="2">
        <v>3</v>
      </c>
      <c r="T336" s="2">
        <v>1</v>
      </c>
      <c r="U336">
        <v>80</v>
      </c>
      <c r="V336" s="2">
        <v>12</v>
      </c>
      <c r="W336">
        <v>3</v>
      </c>
      <c r="X336">
        <v>3</v>
      </c>
      <c r="Y336">
        <v>10</v>
      </c>
      <c r="Z336">
        <v>9</v>
      </c>
      <c r="AA336">
        <v>9</v>
      </c>
      <c r="AB336">
        <v>8</v>
      </c>
    </row>
    <row r="337" spans="1:28" x14ac:dyDescent="0.35">
      <c r="A337" s="2">
        <v>40</v>
      </c>
      <c r="B337" s="2" t="str" cm="1">
        <f t="array" ref="B337">_xlfn.IFS(HR_table[[#This Row],[Age]]&lt;=20, "Under 20yrs",HR_table[[#This Row],[Age]]&lt;=30,"(21-30)yrs",HR_table[[#This Row],[Age]]&lt;=40,"(31-40)yrs",HR_table[[#This Row],[Age]]&lt;=50,"(41-50)yrs",HR_table[[#This Row],[Age]]&lt;=60,"(51-60)yrs")</f>
        <v>(31-40)yrs</v>
      </c>
      <c r="C337" t="s">
        <v>43</v>
      </c>
      <c r="D337" t="s">
        <v>36</v>
      </c>
      <c r="E337" t="s">
        <v>37</v>
      </c>
      <c r="F337" t="s">
        <v>51</v>
      </c>
      <c r="G337" t="s">
        <v>40</v>
      </c>
      <c r="H337">
        <v>453</v>
      </c>
      <c r="I337" s="2">
        <v>1</v>
      </c>
      <c r="J337" s="2">
        <v>2</v>
      </c>
      <c r="K337" t="s">
        <v>46</v>
      </c>
      <c r="L337" s="2">
        <v>2</v>
      </c>
      <c r="M337" s="2">
        <v>4</v>
      </c>
      <c r="N337" t="s">
        <v>48</v>
      </c>
      <c r="O337" s="2">
        <v>7457</v>
      </c>
      <c r="P337" s="2">
        <v>13273</v>
      </c>
      <c r="Q337" s="2">
        <v>2</v>
      </c>
      <c r="R337" t="s">
        <v>35</v>
      </c>
      <c r="S337" s="2">
        <v>4</v>
      </c>
      <c r="T337" s="2">
        <v>3</v>
      </c>
      <c r="U337">
        <v>80</v>
      </c>
      <c r="V337" s="2">
        <v>6</v>
      </c>
      <c r="W337">
        <v>2</v>
      </c>
      <c r="X337">
        <v>2</v>
      </c>
      <c r="Y337">
        <v>4</v>
      </c>
      <c r="Z337">
        <v>3</v>
      </c>
      <c r="AA337">
        <v>0</v>
      </c>
      <c r="AB337">
        <v>2</v>
      </c>
    </row>
    <row r="338" spans="1:28" x14ac:dyDescent="0.35">
      <c r="A338" s="2">
        <v>29</v>
      </c>
      <c r="B338" s="2" t="str" cm="1">
        <f t="array" ref="B338">_xlfn.IFS(HR_table[[#This Row],[Age]]&lt;=20, "Under 20yrs",HR_table[[#This Row],[Age]]&lt;=30,"(21-30)yrs",HR_table[[#This Row],[Age]]&lt;=40,"(31-40)yrs",HR_table[[#This Row],[Age]]&lt;=50,"(41-50)yrs",HR_table[[#This Row],[Age]]&lt;=60,"(51-60)yrs")</f>
        <v>(21-30)yrs</v>
      </c>
      <c r="C338" t="s">
        <v>35</v>
      </c>
      <c r="D338" t="s">
        <v>36</v>
      </c>
      <c r="E338" t="s">
        <v>45</v>
      </c>
      <c r="F338" t="s">
        <v>49</v>
      </c>
      <c r="G338" t="s">
        <v>50</v>
      </c>
      <c r="H338">
        <v>454</v>
      </c>
      <c r="I338" s="2">
        <v>8</v>
      </c>
      <c r="J338" s="2">
        <v>2</v>
      </c>
      <c r="K338" t="s">
        <v>46</v>
      </c>
      <c r="L338" s="2">
        <v>1</v>
      </c>
      <c r="M338" s="2">
        <v>1</v>
      </c>
      <c r="N338" t="s">
        <v>48</v>
      </c>
      <c r="O338" s="2">
        <v>2119</v>
      </c>
      <c r="P338" s="2">
        <v>4759</v>
      </c>
      <c r="Q338" s="2">
        <v>1</v>
      </c>
      <c r="R338" t="s">
        <v>35</v>
      </c>
      <c r="S338" s="2">
        <v>3</v>
      </c>
      <c r="T338" s="2">
        <v>4</v>
      </c>
      <c r="U338">
        <v>80</v>
      </c>
      <c r="V338" s="2">
        <v>7</v>
      </c>
      <c r="W338">
        <v>4</v>
      </c>
      <c r="X338">
        <v>2</v>
      </c>
      <c r="Y338">
        <v>7</v>
      </c>
      <c r="Z338">
        <v>7</v>
      </c>
      <c r="AA338">
        <v>0</v>
      </c>
      <c r="AB338">
        <v>7</v>
      </c>
    </row>
    <row r="339" spans="1:28" x14ac:dyDescent="0.35">
      <c r="A339" s="2">
        <v>29</v>
      </c>
      <c r="B339" s="2" t="str" cm="1">
        <f t="array" ref="B339">_xlfn.IFS(HR_table[[#This Row],[Age]]&lt;=20, "Under 20yrs",HR_table[[#This Row],[Age]]&lt;=30,"(21-30)yrs",HR_table[[#This Row],[Age]]&lt;=40,"(31-40)yrs",HR_table[[#This Row],[Age]]&lt;=50,"(41-50)yrs",HR_table[[#This Row],[Age]]&lt;=60,"(51-60)yrs")</f>
        <v>(21-30)yrs</v>
      </c>
      <c r="C339" t="s">
        <v>43</v>
      </c>
      <c r="D339" t="s">
        <v>36</v>
      </c>
      <c r="E339" t="s">
        <v>45</v>
      </c>
      <c r="F339" t="s">
        <v>49</v>
      </c>
      <c r="G339" t="s">
        <v>50</v>
      </c>
      <c r="H339">
        <v>455</v>
      </c>
      <c r="I339" s="2">
        <v>9</v>
      </c>
      <c r="J339" s="2">
        <v>2</v>
      </c>
      <c r="K339" t="s">
        <v>46</v>
      </c>
      <c r="L339" s="2">
        <v>1</v>
      </c>
      <c r="M339" s="2">
        <v>4</v>
      </c>
      <c r="N339" t="s">
        <v>41</v>
      </c>
      <c r="O339" s="2">
        <v>3983</v>
      </c>
      <c r="P339" s="2">
        <v>7621</v>
      </c>
      <c r="Q339" s="2">
        <v>0</v>
      </c>
      <c r="R339" t="s">
        <v>43</v>
      </c>
      <c r="S339" s="2">
        <v>3</v>
      </c>
      <c r="T339" s="2">
        <v>3</v>
      </c>
      <c r="U339">
        <v>80</v>
      </c>
      <c r="V339" s="2">
        <v>4</v>
      </c>
      <c r="W339">
        <v>2</v>
      </c>
      <c r="X339">
        <v>3</v>
      </c>
      <c r="Y339">
        <v>3</v>
      </c>
      <c r="Z339">
        <v>2</v>
      </c>
      <c r="AA339">
        <v>2</v>
      </c>
      <c r="AB339">
        <v>2</v>
      </c>
    </row>
    <row r="340" spans="1:28" x14ac:dyDescent="0.35">
      <c r="A340" s="2">
        <v>30</v>
      </c>
      <c r="B340" s="2" t="str" cm="1">
        <f t="array" ref="B340">_xlfn.IFS(HR_table[[#This Row],[Age]]&lt;=20, "Under 20yrs",HR_table[[#This Row],[Age]]&lt;=30,"(21-30)yrs",HR_table[[#This Row],[Age]]&lt;=40,"(31-40)yrs",HR_table[[#This Row],[Age]]&lt;=50,"(41-50)yrs",HR_table[[#This Row],[Age]]&lt;=60,"(51-60)yrs")</f>
        <v>(21-30)yrs</v>
      </c>
      <c r="C340" t="s">
        <v>43</v>
      </c>
      <c r="D340" t="s">
        <v>36</v>
      </c>
      <c r="E340" t="s">
        <v>37</v>
      </c>
      <c r="F340" t="s">
        <v>59</v>
      </c>
      <c r="G340" t="s">
        <v>40</v>
      </c>
      <c r="H340">
        <v>456</v>
      </c>
      <c r="I340" s="2">
        <v>5</v>
      </c>
      <c r="J340" s="2">
        <v>4</v>
      </c>
      <c r="K340" t="s">
        <v>39</v>
      </c>
      <c r="L340" s="2">
        <v>2</v>
      </c>
      <c r="M340" s="2">
        <v>3</v>
      </c>
      <c r="N340" t="s">
        <v>52</v>
      </c>
      <c r="O340" s="2">
        <v>6118</v>
      </c>
      <c r="P340" s="2">
        <v>5431</v>
      </c>
      <c r="Q340" s="2">
        <v>1</v>
      </c>
      <c r="R340" t="s">
        <v>43</v>
      </c>
      <c r="S340" s="2">
        <v>3</v>
      </c>
      <c r="T340" s="2">
        <v>3</v>
      </c>
      <c r="U340">
        <v>80</v>
      </c>
      <c r="V340" s="2">
        <v>10</v>
      </c>
      <c r="W340">
        <v>2</v>
      </c>
      <c r="X340">
        <v>3</v>
      </c>
      <c r="Y340">
        <v>10</v>
      </c>
      <c r="Z340">
        <v>9</v>
      </c>
      <c r="AA340">
        <v>1</v>
      </c>
      <c r="AB340">
        <v>2</v>
      </c>
    </row>
    <row r="341" spans="1:28" x14ac:dyDescent="0.35">
      <c r="A341" s="2">
        <v>27</v>
      </c>
      <c r="B341" s="2" t="str" cm="1">
        <f t="array" ref="B341">_xlfn.IFS(HR_table[[#This Row],[Age]]&lt;=20, "Under 20yrs",HR_table[[#This Row],[Age]]&lt;=30,"(21-30)yrs",HR_table[[#This Row],[Age]]&lt;=40,"(31-40)yrs",HR_table[[#This Row],[Age]]&lt;=50,"(41-50)yrs",HR_table[[#This Row],[Age]]&lt;=60,"(51-60)yrs")</f>
        <v>(21-30)yrs</v>
      </c>
      <c r="C341" t="s">
        <v>43</v>
      </c>
      <c r="D341" t="s">
        <v>36</v>
      </c>
      <c r="E341" t="s">
        <v>37</v>
      </c>
      <c r="F341" t="s">
        <v>59</v>
      </c>
      <c r="G341" t="s">
        <v>40</v>
      </c>
      <c r="H341">
        <v>458</v>
      </c>
      <c r="I341" s="2">
        <v>8</v>
      </c>
      <c r="J341" s="2">
        <v>2</v>
      </c>
      <c r="K341" t="s">
        <v>39</v>
      </c>
      <c r="L341" s="2">
        <v>2</v>
      </c>
      <c r="M341" s="2">
        <v>2</v>
      </c>
      <c r="N341" t="s">
        <v>48</v>
      </c>
      <c r="O341" s="2">
        <v>6214</v>
      </c>
      <c r="P341" s="2">
        <v>3415</v>
      </c>
      <c r="Q341" s="2">
        <v>1</v>
      </c>
      <c r="R341" t="s">
        <v>43</v>
      </c>
      <c r="S341" s="2">
        <v>3</v>
      </c>
      <c r="T341" s="2">
        <v>1</v>
      </c>
      <c r="U341">
        <v>80</v>
      </c>
      <c r="V341" s="2">
        <v>8</v>
      </c>
      <c r="W341">
        <v>3</v>
      </c>
      <c r="X341">
        <v>3</v>
      </c>
      <c r="Y341">
        <v>8</v>
      </c>
      <c r="Z341">
        <v>7</v>
      </c>
      <c r="AA341">
        <v>0</v>
      </c>
      <c r="AB341">
        <v>7</v>
      </c>
    </row>
    <row r="342" spans="1:28" x14ac:dyDescent="0.35">
      <c r="A342" s="2">
        <v>37</v>
      </c>
      <c r="B342" s="2" t="str" cm="1">
        <f t="array" ref="B342">_xlfn.IFS(HR_table[[#This Row],[Age]]&lt;=20, "Under 20yrs",HR_table[[#This Row],[Age]]&lt;=30,"(21-30)yrs",HR_table[[#This Row],[Age]]&lt;=40,"(31-40)yrs",HR_table[[#This Row],[Age]]&lt;=50,"(41-50)yrs",HR_table[[#This Row],[Age]]&lt;=60,"(51-60)yrs")</f>
        <v>(31-40)yrs</v>
      </c>
      <c r="C342" t="s">
        <v>43</v>
      </c>
      <c r="D342" t="s">
        <v>36</v>
      </c>
      <c r="E342" t="s">
        <v>45</v>
      </c>
      <c r="F342" t="s">
        <v>51</v>
      </c>
      <c r="G342" t="s">
        <v>53</v>
      </c>
      <c r="H342">
        <v>460</v>
      </c>
      <c r="I342" s="2">
        <v>5</v>
      </c>
      <c r="J342" s="2">
        <v>4</v>
      </c>
      <c r="K342" t="s">
        <v>46</v>
      </c>
      <c r="L342" s="2">
        <v>2</v>
      </c>
      <c r="M342" s="2">
        <v>4</v>
      </c>
      <c r="N342" t="s">
        <v>52</v>
      </c>
      <c r="O342" s="2">
        <v>6347</v>
      </c>
      <c r="P342" s="2">
        <v>23177</v>
      </c>
      <c r="Q342" s="2">
        <v>7</v>
      </c>
      <c r="R342" t="s">
        <v>43</v>
      </c>
      <c r="S342" s="2">
        <v>3</v>
      </c>
      <c r="T342" s="2">
        <v>3</v>
      </c>
      <c r="U342">
        <v>80</v>
      </c>
      <c r="V342" s="2">
        <v>8</v>
      </c>
      <c r="W342">
        <v>2</v>
      </c>
      <c r="X342">
        <v>2</v>
      </c>
      <c r="Y342">
        <v>6</v>
      </c>
      <c r="Z342">
        <v>2</v>
      </c>
      <c r="AA342">
        <v>0</v>
      </c>
      <c r="AB342">
        <v>4</v>
      </c>
    </row>
    <row r="343" spans="1:28" x14ac:dyDescent="0.35">
      <c r="A343" s="2">
        <v>38</v>
      </c>
      <c r="B343" s="2" t="str" cm="1">
        <f t="array" ref="B343">_xlfn.IFS(HR_table[[#This Row],[Age]]&lt;=20, "Under 20yrs",HR_table[[#This Row],[Age]]&lt;=30,"(21-30)yrs",HR_table[[#This Row],[Age]]&lt;=40,"(31-40)yrs",HR_table[[#This Row],[Age]]&lt;=50,"(41-50)yrs",HR_table[[#This Row],[Age]]&lt;=60,"(51-60)yrs")</f>
        <v>(31-40)yrs</v>
      </c>
      <c r="C343" t="s">
        <v>43</v>
      </c>
      <c r="D343" t="s">
        <v>36</v>
      </c>
      <c r="E343" t="s">
        <v>45</v>
      </c>
      <c r="F343" t="s">
        <v>38</v>
      </c>
      <c r="G343" t="s">
        <v>58</v>
      </c>
      <c r="H343">
        <v>461</v>
      </c>
      <c r="I343" s="2">
        <v>15</v>
      </c>
      <c r="J343" s="2">
        <v>3</v>
      </c>
      <c r="K343" t="s">
        <v>46</v>
      </c>
      <c r="L343" s="2">
        <v>3</v>
      </c>
      <c r="M343" s="2">
        <v>4</v>
      </c>
      <c r="N343" t="s">
        <v>52</v>
      </c>
      <c r="O343" s="2">
        <v>11510</v>
      </c>
      <c r="P343" s="2">
        <v>15682</v>
      </c>
      <c r="Q343" s="2">
        <v>0</v>
      </c>
      <c r="R343" t="s">
        <v>35</v>
      </c>
      <c r="S343" s="2">
        <v>3</v>
      </c>
      <c r="T343" s="2">
        <v>2</v>
      </c>
      <c r="U343">
        <v>80</v>
      </c>
      <c r="V343" s="2">
        <v>12</v>
      </c>
      <c r="W343">
        <v>3</v>
      </c>
      <c r="X343">
        <v>3</v>
      </c>
      <c r="Y343">
        <v>11</v>
      </c>
      <c r="Z343">
        <v>10</v>
      </c>
      <c r="AA343">
        <v>2</v>
      </c>
      <c r="AB343">
        <v>9</v>
      </c>
    </row>
    <row r="344" spans="1:28" x14ac:dyDescent="0.35">
      <c r="A344" s="2">
        <v>31</v>
      </c>
      <c r="B344" s="2" t="str" cm="1">
        <f t="array" ref="B344">_xlfn.IFS(HR_table[[#This Row],[Age]]&lt;=20, "Under 20yrs",HR_table[[#This Row],[Age]]&lt;=30,"(21-30)yrs",HR_table[[#This Row],[Age]]&lt;=40,"(31-40)yrs",HR_table[[#This Row],[Age]]&lt;=50,"(41-50)yrs",HR_table[[#This Row],[Age]]&lt;=60,"(51-60)yrs")</f>
        <v>(31-40)yrs</v>
      </c>
      <c r="C344" t="s">
        <v>43</v>
      </c>
      <c r="D344" t="s">
        <v>36</v>
      </c>
      <c r="E344" t="s">
        <v>45</v>
      </c>
      <c r="F344" t="s">
        <v>51</v>
      </c>
      <c r="G344" t="s">
        <v>53</v>
      </c>
      <c r="H344">
        <v>462</v>
      </c>
      <c r="I344" s="2">
        <v>7</v>
      </c>
      <c r="J344" s="2">
        <v>3</v>
      </c>
      <c r="K344" t="s">
        <v>39</v>
      </c>
      <c r="L344" s="2">
        <v>3</v>
      </c>
      <c r="M344" s="2">
        <v>4</v>
      </c>
      <c r="N344" t="s">
        <v>41</v>
      </c>
      <c r="O344" s="2">
        <v>7143</v>
      </c>
      <c r="P344" s="2">
        <v>25713</v>
      </c>
      <c r="Q344" s="2">
        <v>1</v>
      </c>
      <c r="R344" t="s">
        <v>35</v>
      </c>
      <c r="S344" s="2">
        <v>3</v>
      </c>
      <c r="T344" s="2">
        <v>3</v>
      </c>
      <c r="U344">
        <v>80</v>
      </c>
      <c r="V344" s="2">
        <v>11</v>
      </c>
      <c r="W344">
        <v>2</v>
      </c>
      <c r="X344">
        <v>2</v>
      </c>
      <c r="Y344">
        <v>11</v>
      </c>
      <c r="Z344">
        <v>9</v>
      </c>
      <c r="AA344">
        <v>4</v>
      </c>
      <c r="AB344">
        <v>10</v>
      </c>
    </row>
    <row r="345" spans="1:28" x14ac:dyDescent="0.35">
      <c r="A345" s="2">
        <v>29</v>
      </c>
      <c r="B345" s="2" t="str" cm="1">
        <f t="array" ref="B345">_xlfn.IFS(HR_table[[#This Row],[Age]]&lt;=20, "Under 20yrs",HR_table[[#This Row],[Age]]&lt;=30,"(21-30)yrs",HR_table[[#This Row],[Age]]&lt;=40,"(31-40)yrs",HR_table[[#This Row],[Age]]&lt;=50,"(41-50)yrs",HR_table[[#This Row],[Age]]&lt;=60,"(51-60)yrs")</f>
        <v>(21-30)yrs</v>
      </c>
      <c r="C345" t="s">
        <v>43</v>
      </c>
      <c r="D345" t="s">
        <v>36</v>
      </c>
      <c r="E345" t="s">
        <v>37</v>
      </c>
      <c r="F345" t="s">
        <v>59</v>
      </c>
      <c r="G345" t="s">
        <v>40</v>
      </c>
      <c r="H345">
        <v>463</v>
      </c>
      <c r="I345" s="2">
        <v>10</v>
      </c>
      <c r="J345" s="2">
        <v>4</v>
      </c>
      <c r="K345" t="s">
        <v>39</v>
      </c>
      <c r="L345" s="2">
        <v>2</v>
      </c>
      <c r="M345" s="2">
        <v>2</v>
      </c>
      <c r="N345" t="s">
        <v>52</v>
      </c>
      <c r="O345" s="2">
        <v>8268</v>
      </c>
      <c r="P345" s="2">
        <v>11866</v>
      </c>
      <c r="Q345" s="2">
        <v>1</v>
      </c>
      <c r="R345" t="s">
        <v>35</v>
      </c>
      <c r="S345" s="2">
        <v>3</v>
      </c>
      <c r="T345" s="2">
        <v>1</v>
      </c>
      <c r="U345">
        <v>80</v>
      </c>
      <c r="V345" s="2">
        <v>7</v>
      </c>
      <c r="W345">
        <v>2</v>
      </c>
      <c r="X345">
        <v>3</v>
      </c>
      <c r="Y345">
        <v>7</v>
      </c>
      <c r="Z345">
        <v>7</v>
      </c>
      <c r="AA345">
        <v>1</v>
      </c>
      <c r="AB345">
        <v>7</v>
      </c>
    </row>
    <row r="346" spans="1:28" x14ac:dyDescent="0.35">
      <c r="A346" s="2">
        <v>35</v>
      </c>
      <c r="B346" s="2" t="str" cm="1">
        <f t="array" ref="B346">_xlfn.IFS(HR_table[[#This Row],[Age]]&lt;=20, "Under 20yrs",HR_table[[#This Row],[Age]]&lt;=30,"(21-30)yrs",HR_table[[#This Row],[Age]]&lt;=40,"(31-40)yrs",HR_table[[#This Row],[Age]]&lt;=50,"(41-50)yrs",HR_table[[#This Row],[Age]]&lt;=60,"(51-60)yrs")</f>
        <v>(31-40)yrs</v>
      </c>
      <c r="C346" t="s">
        <v>43</v>
      </c>
      <c r="D346" t="s">
        <v>36</v>
      </c>
      <c r="E346" t="s">
        <v>45</v>
      </c>
      <c r="F346" t="s">
        <v>60</v>
      </c>
      <c r="G346" t="s">
        <v>53</v>
      </c>
      <c r="H346">
        <v>464</v>
      </c>
      <c r="I346" s="2">
        <v>5</v>
      </c>
      <c r="J346" s="2">
        <v>3</v>
      </c>
      <c r="K346" t="s">
        <v>46</v>
      </c>
      <c r="L346" s="2">
        <v>3</v>
      </c>
      <c r="M346" s="2">
        <v>2</v>
      </c>
      <c r="N346" t="s">
        <v>41</v>
      </c>
      <c r="O346" s="2">
        <v>8095</v>
      </c>
      <c r="P346" s="2">
        <v>18264</v>
      </c>
      <c r="Q346" s="2">
        <v>0</v>
      </c>
      <c r="R346" t="s">
        <v>43</v>
      </c>
      <c r="S346" s="2">
        <v>3</v>
      </c>
      <c r="T346" s="2">
        <v>4</v>
      </c>
      <c r="U346">
        <v>80</v>
      </c>
      <c r="V346" s="2">
        <v>17</v>
      </c>
      <c r="W346">
        <v>5</v>
      </c>
      <c r="X346">
        <v>3</v>
      </c>
      <c r="Y346">
        <v>16</v>
      </c>
      <c r="Z346">
        <v>6</v>
      </c>
      <c r="AA346">
        <v>0</v>
      </c>
      <c r="AB346">
        <v>13</v>
      </c>
    </row>
    <row r="347" spans="1:28" x14ac:dyDescent="0.35">
      <c r="A347" s="2">
        <v>23</v>
      </c>
      <c r="B347" s="2" t="str" cm="1">
        <f t="array" ref="B347">_xlfn.IFS(HR_table[[#This Row],[Age]]&lt;=20, "Under 20yrs",HR_table[[#This Row],[Age]]&lt;=30,"(21-30)yrs",HR_table[[#This Row],[Age]]&lt;=40,"(31-40)yrs",HR_table[[#This Row],[Age]]&lt;=50,"(41-50)yrs",HR_table[[#This Row],[Age]]&lt;=60,"(51-60)yrs")</f>
        <v>(21-30)yrs</v>
      </c>
      <c r="C347" t="s">
        <v>43</v>
      </c>
      <c r="D347" t="s">
        <v>36</v>
      </c>
      <c r="E347" t="s">
        <v>45</v>
      </c>
      <c r="F347" t="s">
        <v>38</v>
      </c>
      <c r="G347" t="s">
        <v>47</v>
      </c>
      <c r="H347">
        <v>465</v>
      </c>
      <c r="I347" s="2">
        <v>26</v>
      </c>
      <c r="J347" s="2">
        <v>3</v>
      </c>
      <c r="K347" t="s">
        <v>46</v>
      </c>
      <c r="L347" s="2">
        <v>1</v>
      </c>
      <c r="M347" s="2">
        <v>4</v>
      </c>
      <c r="N347" t="s">
        <v>52</v>
      </c>
      <c r="O347" s="2">
        <v>2904</v>
      </c>
      <c r="P347" s="2">
        <v>16092</v>
      </c>
      <c r="Q347" s="2">
        <v>1</v>
      </c>
      <c r="R347" t="s">
        <v>43</v>
      </c>
      <c r="S347" s="2">
        <v>3</v>
      </c>
      <c r="T347" s="2">
        <v>3</v>
      </c>
      <c r="U347">
        <v>80</v>
      </c>
      <c r="V347" s="2">
        <v>4</v>
      </c>
      <c r="W347">
        <v>2</v>
      </c>
      <c r="X347">
        <v>2</v>
      </c>
      <c r="Y347">
        <v>4</v>
      </c>
      <c r="Z347">
        <v>2</v>
      </c>
      <c r="AA347">
        <v>0</v>
      </c>
      <c r="AB347">
        <v>2</v>
      </c>
    </row>
    <row r="348" spans="1:28" x14ac:dyDescent="0.35">
      <c r="A348" s="2">
        <v>41</v>
      </c>
      <c r="B348" s="2" t="str" cm="1">
        <f t="array" ref="B348">_xlfn.IFS(HR_table[[#This Row],[Age]]&lt;=20, "Under 20yrs",HR_table[[#This Row],[Age]]&lt;=30,"(21-30)yrs",HR_table[[#This Row],[Age]]&lt;=40,"(31-40)yrs",HR_table[[#This Row],[Age]]&lt;=50,"(41-50)yrs",HR_table[[#This Row],[Age]]&lt;=60,"(51-60)yrs")</f>
        <v>(41-50)yrs</v>
      </c>
      <c r="C348" t="s">
        <v>43</v>
      </c>
      <c r="D348" t="s">
        <v>36</v>
      </c>
      <c r="E348" t="s">
        <v>45</v>
      </c>
      <c r="F348" t="s">
        <v>51</v>
      </c>
      <c r="G348" t="s">
        <v>53</v>
      </c>
      <c r="H348">
        <v>466</v>
      </c>
      <c r="I348" s="2">
        <v>6</v>
      </c>
      <c r="J348" s="2">
        <v>4</v>
      </c>
      <c r="K348" t="s">
        <v>46</v>
      </c>
      <c r="L348" s="2">
        <v>2</v>
      </c>
      <c r="M348" s="2">
        <v>2</v>
      </c>
      <c r="N348" t="s">
        <v>41</v>
      </c>
      <c r="O348" s="2">
        <v>6032</v>
      </c>
      <c r="P348" s="2">
        <v>10110</v>
      </c>
      <c r="Q348" s="2">
        <v>6</v>
      </c>
      <c r="R348" t="s">
        <v>35</v>
      </c>
      <c r="S348" s="2">
        <v>3</v>
      </c>
      <c r="T348" s="2">
        <v>4</v>
      </c>
      <c r="U348">
        <v>80</v>
      </c>
      <c r="V348" s="2">
        <v>8</v>
      </c>
      <c r="W348">
        <v>3</v>
      </c>
      <c r="X348">
        <v>3</v>
      </c>
      <c r="Y348">
        <v>5</v>
      </c>
      <c r="Z348">
        <v>4</v>
      </c>
      <c r="AA348">
        <v>1</v>
      </c>
      <c r="AB348">
        <v>2</v>
      </c>
    </row>
    <row r="349" spans="1:28" x14ac:dyDescent="0.35">
      <c r="A349" s="2">
        <v>47</v>
      </c>
      <c r="B349" s="2" t="str" cm="1">
        <f t="array" ref="B349">_xlfn.IFS(HR_table[[#This Row],[Age]]&lt;=20, "Under 20yrs",HR_table[[#This Row],[Age]]&lt;=30,"(21-30)yrs",HR_table[[#This Row],[Age]]&lt;=40,"(31-40)yrs",HR_table[[#This Row],[Age]]&lt;=50,"(41-50)yrs",HR_table[[#This Row],[Age]]&lt;=60,"(51-60)yrs")</f>
        <v>(41-50)yrs</v>
      </c>
      <c r="C349" t="s">
        <v>43</v>
      </c>
      <c r="D349" t="s">
        <v>44</v>
      </c>
      <c r="E349" t="s">
        <v>37</v>
      </c>
      <c r="F349" t="s">
        <v>51</v>
      </c>
      <c r="G349" t="s">
        <v>57</v>
      </c>
      <c r="H349">
        <v>467</v>
      </c>
      <c r="I349" s="2">
        <v>4</v>
      </c>
      <c r="J349" s="2">
        <v>2</v>
      </c>
      <c r="K349" t="s">
        <v>46</v>
      </c>
      <c r="L349" s="2">
        <v>2</v>
      </c>
      <c r="M349" s="2">
        <v>3</v>
      </c>
      <c r="N349" t="s">
        <v>41</v>
      </c>
      <c r="O349" s="2">
        <v>2976</v>
      </c>
      <c r="P349" s="2">
        <v>25751</v>
      </c>
      <c r="Q349" s="2">
        <v>3</v>
      </c>
      <c r="R349" t="s">
        <v>43</v>
      </c>
      <c r="S349" s="2">
        <v>3</v>
      </c>
      <c r="T349" s="2">
        <v>1</v>
      </c>
      <c r="U349">
        <v>80</v>
      </c>
      <c r="V349" s="2">
        <v>5</v>
      </c>
      <c r="W349">
        <v>3</v>
      </c>
      <c r="X349">
        <v>3</v>
      </c>
      <c r="Y349">
        <v>0</v>
      </c>
      <c r="Z349">
        <v>0</v>
      </c>
      <c r="AA349">
        <v>0</v>
      </c>
      <c r="AB349">
        <v>0</v>
      </c>
    </row>
    <row r="350" spans="1:28" x14ac:dyDescent="0.35">
      <c r="A350" s="2">
        <v>42</v>
      </c>
      <c r="B350" s="2" t="str" cm="1">
        <f t="array" ref="B350">_xlfn.IFS(HR_table[[#This Row],[Age]]&lt;=20, "Under 20yrs",HR_table[[#This Row],[Age]]&lt;=30,"(21-30)yrs",HR_table[[#This Row],[Age]]&lt;=40,"(31-40)yrs",HR_table[[#This Row],[Age]]&lt;=50,"(41-50)yrs",HR_table[[#This Row],[Age]]&lt;=60,"(51-60)yrs")</f>
        <v>(41-50)yrs</v>
      </c>
      <c r="C350" t="s">
        <v>43</v>
      </c>
      <c r="D350" t="s">
        <v>36</v>
      </c>
      <c r="E350" t="s">
        <v>45</v>
      </c>
      <c r="F350" t="s">
        <v>38</v>
      </c>
      <c r="G350" t="s">
        <v>58</v>
      </c>
      <c r="H350">
        <v>468</v>
      </c>
      <c r="I350" s="2">
        <v>23</v>
      </c>
      <c r="J350" s="2">
        <v>1</v>
      </c>
      <c r="K350" t="s">
        <v>39</v>
      </c>
      <c r="L350" s="2">
        <v>4</v>
      </c>
      <c r="M350" s="2">
        <v>4</v>
      </c>
      <c r="N350" t="s">
        <v>41</v>
      </c>
      <c r="O350" s="2">
        <v>15992</v>
      </c>
      <c r="P350" s="2">
        <v>15901</v>
      </c>
      <c r="Q350" s="2">
        <v>2</v>
      </c>
      <c r="R350" t="s">
        <v>43</v>
      </c>
      <c r="S350" s="2">
        <v>3</v>
      </c>
      <c r="T350" s="2">
        <v>2</v>
      </c>
      <c r="U350">
        <v>80</v>
      </c>
      <c r="V350" s="2">
        <v>16</v>
      </c>
      <c r="W350">
        <v>2</v>
      </c>
      <c r="X350">
        <v>3</v>
      </c>
      <c r="Y350">
        <v>1</v>
      </c>
      <c r="Z350">
        <v>0</v>
      </c>
      <c r="AA350">
        <v>0</v>
      </c>
      <c r="AB350">
        <v>0</v>
      </c>
    </row>
    <row r="351" spans="1:28" x14ac:dyDescent="0.35">
      <c r="A351" s="2">
        <v>29</v>
      </c>
      <c r="B351" s="2" t="str" cm="1">
        <f t="array" ref="B351">_xlfn.IFS(HR_table[[#This Row],[Age]]&lt;=20, "Under 20yrs",HR_table[[#This Row],[Age]]&lt;=30,"(21-30)yrs",HR_table[[#This Row],[Age]]&lt;=40,"(31-40)yrs",HR_table[[#This Row],[Age]]&lt;=50,"(41-50)yrs",HR_table[[#This Row],[Age]]&lt;=60,"(51-60)yrs")</f>
        <v>(21-30)yrs</v>
      </c>
      <c r="C351" t="s">
        <v>43</v>
      </c>
      <c r="D351" t="s">
        <v>55</v>
      </c>
      <c r="E351" t="s">
        <v>37</v>
      </c>
      <c r="F351" t="s">
        <v>38</v>
      </c>
      <c r="G351" t="s">
        <v>40</v>
      </c>
      <c r="H351">
        <v>469</v>
      </c>
      <c r="I351" s="2">
        <v>2</v>
      </c>
      <c r="J351" s="2">
        <v>4</v>
      </c>
      <c r="K351" t="s">
        <v>46</v>
      </c>
      <c r="L351" s="2">
        <v>2</v>
      </c>
      <c r="M351" s="2">
        <v>3</v>
      </c>
      <c r="N351" t="s">
        <v>48</v>
      </c>
      <c r="O351" s="2">
        <v>4649</v>
      </c>
      <c r="P351" s="2">
        <v>16928</v>
      </c>
      <c r="Q351" s="2">
        <v>1</v>
      </c>
      <c r="R351" t="s">
        <v>43</v>
      </c>
      <c r="S351" s="2">
        <v>3</v>
      </c>
      <c r="T351" s="2">
        <v>1</v>
      </c>
      <c r="U351">
        <v>80</v>
      </c>
      <c r="V351" s="2">
        <v>4</v>
      </c>
      <c r="W351">
        <v>3</v>
      </c>
      <c r="X351">
        <v>2</v>
      </c>
      <c r="Y351">
        <v>4</v>
      </c>
      <c r="Z351">
        <v>3</v>
      </c>
      <c r="AA351">
        <v>0</v>
      </c>
      <c r="AB351">
        <v>2</v>
      </c>
    </row>
    <row r="352" spans="1:28" x14ac:dyDescent="0.35">
      <c r="A352" s="2">
        <v>42</v>
      </c>
      <c r="B352" s="2" t="str" cm="1">
        <f t="array" ref="B352">_xlfn.IFS(HR_table[[#This Row],[Age]]&lt;=20, "Under 20yrs",HR_table[[#This Row],[Age]]&lt;=30,"(21-30)yrs",HR_table[[#This Row],[Age]]&lt;=40,"(31-40)yrs",HR_table[[#This Row],[Age]]&lt;=50,"(41-50)yrs",HR_table[[#This Row],[Age]]&lt;=60,"(51-60)yrs")</f>
        <v>(41-50)yrs</v>
      </c>
      <c r="C352" t="s">
        <v>43</v>
      </c>
      <c r="D352" t="s">
        <v>36</v>
      </c>
      <c r="E352" t="s">
        <v>61</v>
      </c>
      <c r="F352" t="s">
        <v>60</v>
      </c>
      <c r="G352" t="s">
        <v>61</v>
      </c>
      <c r="H352">
        <v>470</v>
      </c>
      <c r="I352" s="2">
        <v>2</v>
      </c>
      <c r="J352" s="2">
        <v>3</v>
      </c>
      <c r="K352" t="s">
        <v>46</v>
      </c>
      <c r="L352" s="2">
        <v>1</v>
      </c>
      <c r="M352" s="2">
        <v>3</v>
      </c>
      <c r="N352" t="s">
        <v>52</v>
      </c>
      <c r="O352" s="2">
        <v>2696</v>
      </c>
      <c r="P352" s="2">
        <v>24017</v>
      </c>
      <c r="Q352" s="2">
        <v>0</v>
      </c>
      <c r="R352" t="s">
        <v>35</v>
      </c>
      <c r="S352" s="2">
        <v>3</v>
      </c>
      <c r="T352" s="2">
        <v>3</v>
      </c>
      <c r="U352">
        <v>80</v>
      </c>
      <c r="V352" s="2">
        <v>4</v>
      </c>
      <c r="W352">
        <v>5</v>
      </c>
      <c r="X352">
        <v>3</v>
      </c>
      <c r="Y352">
        <v>3</v>
      </c>
      <c r="Z352">
        <v>2</v>
      </c>
      <c r="AA352">
        <v>1</v>
      </c>
      <c r="AB352">
        <v>0</v>
      </c>
    </row>
    <row r="353" spans="1:28" x14ac:dyDescent="0.35">
      <c r="A353" s="2">
        <v>32</v>
      </c>
      <c r="B353" s="2" t="str" cm="1">
        <f t="array" ref="B353">_xlfn.IFS(HR_table[[#This Row],[Age]]&lt;=20, "Under 20yrs",HR_table[[#This Row],[Age]]&lt;=30,"(21-30)yrs",HR_table[[#This Row],[Age]]&lt;=40,"(31-40)yrs",HR_table[[#This Row],[Age]]&lt;=50,"(41-50)yrs",HR_table[[#This Row],[Age]]&lt;=60,"(51-60)yrs")</f>
        <v>(31-40)yrs</v>
      </c>
      <c r="C353" t="s">
        <v>43</v>
      </c>
      <c r="D353" t="s">
        <v>36</v>
      </c>
      <c r="E353" t="s">
        <v>45</v>
      </c>
      <c r="F353" t="s">
        <v>51</v>
      </c>
      <c r="G353" t="s">
        <v>50</v>
      </c>
      <c r="H353">
        <v>471</v>
      </c>
      <c r="I353" s="2">
        <v>2</v>
      </c>
      <c r="J353" s="2">
        <v>3</v>
      </c>
      <c r="K353" t="s">
        <v>39</v>
      </c>
      <c r="L353" s="2">
        <v>1</v>
      </c>
      <c r="M353" s="2">
        <v>2</v>
      </c>
      <c r="N353" t="s">
        <v>48</v>
      </c>
      <c r="O353" s="2">
        <v>2370</v>
      </c>
      <c r="P353" s="2">
        <v>3956</v>
      </c>
      <c r="Q353" s="2">
        <v>1</v>
      </c>
      <c r="R353" t="s">
        <v>43</v>
      </c>
      <c r="S353" s="2">
        <v>3</v>
      </c>
      <c r="T353" s="2">
        <v>3</v>
      </c>
      <c r="U353">
        <v>80</v>
      </c>
      <c r="V353" s="2">
        <v>8</v>
      </c>
      <c r="W353">
        <v>4</v>
      </c>
      <c r="X353">
        <v>3</v>
      </c>
      <c r="Y353">
        <v>8</v>
      </c>
      <c r="Z353">
        <v>0</v>
      </c>
      <c r="AA353">
        <v>0</v>
      </c>
      <c r="AB353">
        <v>7</v>
      </c>
    </row>
    <row r="354" spans="1:28" x14ac:dyDescent="0.35">
      <c r="A354" s="2">
        <v>48</v>
      </c>
      <c r="B354" s="2" t="str" cm="1">
        <f t="array" ref="B354">_xlfn.IFS(HR_table[[#This Row],[Age]]&lt;=20, "Under 20yrs",HR_table[[#This Row],[Age]]&lt;=30,"(21-30)yrs",HR_table[[#This Row],[Age]]&lt;=40,"(31-40)yrs",HR_table[[#This Row],[Age]]&lt;=50,"(41-50)yrs",HR_table[[#This Row],[Age]]&lt;=60,"(51-60)yrs")</f>
        <v>(41-50)yrs</v>
      </c>
      <c r="C354" t="s">
        <v>43</v>
      </c>
      <c r="D354" t="s">
        <v>36</v>
      </c>
      <c r="E354" t="s">
        <v>37</v>
      </c>
      <c r="F354" t="s">
        <v>51</v>
      </c>
      <c r="G354" t="s">
        <v>56</v>
      </c>
      <c r="H354">
        <v>473</v>
      </c>
      <c r="I354" s="2">
        <v>29</v>
      </c>
      <c r="J354" s="2">
        <v>1</v>
      </c>
      <c r="K354" t="s">
        <v>39</v>
      </c>
      <c r="L354" s="2">
        <v>3</v>
      </c>
      <c r="M354" s="2">
        <v>3</v>
      </c>
      <c r="N354" t="s">
        <v>48</v>
      </c>
      <c r="O354" s="2">
        <v>12504</v>
      </c>
      <c r="P354" s="2">
        <v>23978</v>
      </c>
      <c r="Q354" s="2">
        <v>3</v>
      </c>
      <c r="R354" t="s">
        <v>43</v>
      </c>
      <c r="S354" s="2">
        <v>4</v>
      </c>
      <c r="T354" s="2">
        <v>2</v>
      </c>
      <c r="U354">
        <v>80</v>
      </c>
      <c r="V354" s="2">
        <v>15</v>
      </c>
      <c r="W354">
        <v>3</v>
      </c>
      <c r="X354">
        <v>1</v>
      </c>
      <c r="Y354">
        <v>0</v>
      </c>
      <c r="Z354">
        <v>0</v>
      </c>
      <c r="AA354">
        <v>0</v>
      </c>
      <c r="AB354">
        <v>0</v>
      </c>
    </row>
    <row r="355" spans="1:28" x14ac:dyDescent="0.35">
      <c r="A355" s="2">
        <v>37</v>
      </c>
      <c r="B355" s="2" t="str" cm="1">
        <f t="array" ref="B355">_xlfn.IFS(HR_table[[#This Row],[Age]]&lt;=20, "Under 20yrs",HR_table[[#This Row],[Age]]&lt;=30,"(21-30)yrs",HR_table[[#This Row],[Age]]&lt;=40,"(31-40)yrs",HR_table[[#This Row],[Age]]&lt;=50,"(41-50)yrs",HR_table[[#This Row],[Age]]&lt;=60,"(51-60)yrs")</f>
        <v>(31-40)yrs</v>
      </c>
      <c r="C355" t="s">
        <v>43</v>
      </c>
      <c r="D355" t="s">
        <v>36</v>
      </c>
      <c r="E355" t="s">
        <v>45</v>
      </c>
      <c r="F355" t="s">
        <v>51</v>
      </c>
      <c r="G355" t="s">
        <v>47</v>
      </c>
      <c r="H355">
        <v>474</v>
      </c>
      <c r="I355" s="2">
        <v>6</v>
      </c>
      <c r="J355" s="2">
        <v>3</v>
      </c>
      <c r="K355" t="s">
        <v>46</v>
      </c>
      <c r="L355" s="2">
        <v>2</v>
      </c>
      <c r="M355" s="2">
        <v>1</v>
      </c>
      <c r="N355" t="s">
        <v>52</v>
      </c>
      <c r="O355" s="2">
        <v>5974</v>
      </c>
      <c r="P355" s="2">
        <v>17001</v>
      </c>
      <c r="Q355" s="2">
        <v>4</v>
      </c>
      <c r="R355" t="s">
        <v>35</v>
      </c>
      <c r="S355" s="2">
        <v>3</v>
      </c>
      <c r="T355" s="2">
        <v>1</v>
      </c>
      <c r="U355">
        <v>80</v>
      </c>
      <c r="V355" s="2">
        <v>13</v>
      </c>
      <c r="W355">
        <v>2</v>
      </c>
      <c r="X355">
        <v>3</v>
      </c>
      <c r="Y355">
        <v>7</v>
      </c>
      <c r="Z355">
        <v>7</v>
      </c>
      <c r="AA355">
        <v>6</v>
      </c>
      <c r="AB355">
        <v>7</v>
      </c>
    </row>
    <row r="356" spans="1:28" x14ac:dyDescent="0.35">
      <c r="A356" s="2">
        <v>30</v>
      </c>
      <c r="B356" s="2" t="str" cm="1">
        <f t="array" ref="B356">_xlfn.IFS(HR_table[[#This Row],[Age]]&lt;=20, "Under 20yrs",HR_table[[#This Row],[Age]]&lt;=30,"(21-30)yrs",HR_table[[#This Row],[Age]]&lt;=40,"(31-40)yrs",HR_table[[#This Row],[Age]]&lt;=50,"(41-50)yrs",HR_table[[#This Row],[Age]]&lt;=60,"(51-60)yrs")</f>
        <v>(21-30)yrs</v>
      </c>
      <c r="C356" t="s">
        <v>43</v>
      </c>
      <c r="D356" t="s">
        <v>55</v>
      </c>
      <c r="E356" t="s">
        <v>37</v>
      </c>
      <c r="F356" t="s">
        <v>60</v>
      </c>
      <c r="G356" t="s">
        <v>40</v>
      </c>
      <c r="H356">
        <v>475</v>
      </c>
      <c r="I356" s="2">
        <v>25</v>
      </c>
      <c r="J356" s="2">
        <v>4</v>
      </c>
      <c r="K356" t="s">
        <v>39</v>
      </c>
      <c r="L356" s="2">
        <v>2</v>
      </c>
      <c r="M356" s="2">
        <v>3</v>
      </c>
      <c r="N356" t="s">
        <v>48</v>
      </c>
      <c r="O356" s="2">
        <v>4736</v>
      </c>
      <c r="P356" s="2">
        <v>6069</v>
      </c>
      <c r="Q356" s="2">
        <v>7</v>
      </c>
      <c r="R356" t="s">
        <v>35</v>
      </c>
      <c r="S356" s="2">
        <v>3</v>
      </c>
      <c r="T356" s="2">
        <v>2</v>
      </c>
      <c r="U356">
        <v>80</v>
      </c>
      <c r="V356" s="2">
        <v>4</v>
      </c>
      <c r="W356">
        <v>2</v>
      </c>
      <c r="X356">
        <v>4</v>
      </c>
      <c r="Y356">
        <v>2</v>
      </c>
      <c r="Z356">
        <v>2</v>
      </c>
      <c r="AA356">
        <v>2</v>
      </c>
      <c r="AB356">
        <v>2</v>
      </c>
    </row>
    <row r="357" spans="1:28" x14ac:dyDescent="0.35">
      <c r="A357" s="2">
        <v>26</v>
      </c>
      <c r="B357" s="2" t="str" cm="1">
        <f t="array" ref="B357">_xlfn.IFS(HR_table[[#This Row],[Age]]&lt;=20, "Under 20yrs",HR_table[[#This Row],[Age]]&lt;=30,"(21-30)yrs",HR_table[[#This Row],[Age]]&lt;=40,"(31-40)yrs",HR_table[[#This Row],[Age]]&lt;=50,"(41-50)yrs",HR_table[[#This Row],[Age]]&lt;=60,"(51-60)yrs")</f>
        <v>(21-30)yrs</v>
      </c>
      <c r="C357" t="s">
        <v>43</v>
      </c>
      <c r="D357" t="s">
        <v>36</v>
      </c>
      <c r="E357" t="s">
        <v>37</v>
      </c>
      <c r="F357" t="s">
        <v>38</v>
      </c>
      <c r="G357" t="s">
        <v>40</v>
      </c>
      <c r="H357">
        <v>476</v>
      </c>
      <c r="I357" s="2">
        <v>1</v>
      </c>
      <c r="J357" s="2">
        <v>3</v>
      </c>
      <c r="K357" t="s">
        <v>46</v>
      </c>
      <c r="L357" s="2">
        <v>2</v>
      </c>
      <c r="M357" s="2">
        <v>3</v>
      </c>
      <c r="N357" t="s">
        <v>48</v>
      </c>
      <c r="O357" s="2">
        <v>5296</v>
      </c>
      <c r="P357" s="2">
        <v>20156</v>
      </c>
      <c r="Q357" s="2">
        <v>1</v>
      </c>
      <c r="R357" t="s">
        <v>43</v>
      </c>
      <c r="S357" s="2">
        <v>3</v>
      </c>
      <c r="T357" s="2">
        <v>2</v>
      </c>
      <c r="U357">
        <v>80</v>
      </c>
      <c r="V357" s="2">
        <v>8</v>
      </c>
      <c r="W357">
        <v>3</v>
      </c>
      <c r="X357">
        <v>3</v>
      </c>
      <c r="Y357">
        <v>8</v>
      </c>
      <c r="Z357">
        <v>7</v>
      </c>
      <c r="AA357">
        <v>7</v>
      </c>
      <c r="AB357">
        <v>7</v>
      </c>
    </row>
    <row r="358" spans="1:28" x14ac:dyDescent="0.35">
      <c r="A358" s="2">
        <v>42</v>
      </c>
      <c r="B358" s="2" t="str" cm="1">
        <f t="array" ref="B358">_xlfn.IFS(HR_table[[#This Row],[Age]]&lt;=20, "Under 20yrs",HR_table[[#This Row],[Age]]&lt;=30,"(21-30)yrs",HR_table[[#This Row],[Age]]&lt;=40,"(31-40)yrs",HR_table[[#This Row],[Age]]&lt;=50,"(41-50)yrs",HR_table[[#This Row],[Age]]&lt;=60,"(51-60)yrs")</f>
        <v>(41-50)yrs</v>
      </c>
      <c r="C358" t="s">
        <v>43</v>
      </c>
      <c r="D358" t="s">
        <v>36</v>
      </c>
      <c r="E358" t="s">
        <v>45</v>
      </c>
      <c r="F358" t="s">
        <v>49</v>
      </c>
      <c r="G358" t="s">
        <v>54</v>
      </c>
      <c r="H358">
        <v>477</v>
      </c>
      <c r="I358" s="2">
        <v>2</v>
      </c>
      <c r="J358" s="2">
        <v>1</v>
      </c>
      <c r="K358" t="s">
        <v>46</v>
      </c>
      <c r="L358" s="2">
        <v>2</v>
      </c>
      <c r="M358" s="2">
        <v>4</v>
      </c>
      <c r="N358" t="s">
        <v>41</v>
      </c>
      <c r="O358" s="2">
        <v>6781</v>
      </c>
      <c r="P358" s="2">
        <v>17078</v>
      </c>
      <c r="Q358" s="2">
        <v>3</v>
      </c>
      <c r="R358" t="s">
        <v>43</v>
      </c>
      <c r="S358" s="2">
        <v>4</v>
      </c>
      <c r="T358" s="2">
        <v>2</v>
      </c>
      <c r="U358">
        <v>80</v>
      </c>
      <c r="V358" s="2">
        <v>14</v>
      </c>
      <c r="W358">
        <v>6</v>
      </c>
      <c r="X358">
        <v>3</v>
      </c>
      <c r="Y358">
        <v>1</v>
      </c>
      <c r="Z358">
        <v>0</v>
      </c>
      <c r="AA358">
        <v>0</v>
      </c>
      <c r="AB358">
        <v>0</v>
      </c>
    </row>
    <row r="359" spans="1:28" x14ac:dyDescent="0.35">
      <c r="A359" s="2">
        <v>21</v>
      </c>
      <c r="B359" s="2" t="str" cm="1">
        <f t="array" ref="B359">_xlfn.IFS(HR_table[[#This Row],[Age]]&lt;=20, "Under 20yrs",HR_table[[#This Row],[Age]]&lt;=30,"(21-30)yrs",HR_table[[#This Row],[Age]]&lt;=40,"(31-40)yrs",HR_table[[#This Row],[Age]]&lt;=50,"(41-50)yrs",HR_table[[#This Row],[Age]]&lt;=60,"(51-60)yrs")</f>
        <v>(21-30)yrs</v>
      </c>
      <c r="C359" t="s">
        <v>35</v>
      </c>
      <c r="D359" t="s">
        <v>44</v>
      </c>
      <c r="E359" t="s">
        <v>37</v>
      </c>
      <c r="F359" t="s">
        <v>60</v>
      </c>
      <c r="G359" t="s">
        <v>57</v>
      </c>
      <c r="H359">
        <v>478</v>
      </c>
      <c r="I359" s="2">
        <v>1</v>
      </c>
      <c r="J359" s="2">
        <v>1</v>
      </c>
      <c r="K359" t="s">
        <v>39</v>
      </c>
      <c r="L359" s="2">
        <v>1</v>
      </c>
      <c r="M359" s="2">
        <v>2</v>
      </c>
      <c r="N359" t="s">
        <v>41</v>
      </c>
      <c r="O359" s="2">
        <v>2174</v>
      </c>
      <c r="P359" s="2">
        <v>9150</v>
      </c>
      <c r="Q359" s="2">
        <v>1</v>
      </c>
      <c r="R359" t="s">
        <v>35</v>
      </c>
      <c r="S359" s="2">
        <v>3</v>
      </c>
      <c r="T359" s="2">
        <v>3</v>
      </c>
      <c r="U359">
        <v>80</v>
      </c>
      <c r="V359" s="2">
        <v>3</v>
      </c>
      <c r="W359">
        <v>3</v>
      </c>
      <c r="X359">
        <v>3</v>
      </c>
      <c r="Y359">
        <v>3</v>
      </c>
      <c r="Z359">
        <v>2</v>
      </c>
      <c r="AA359">
        <v>1</v>
      </c>
      <c r="AB359">
        <v>2</v>
      </c>
    </row>
    <row r="360" spans="1:28" x14ac:dyDescent="0.35">
      <c r="A360" s="2">
        <v>36</v>
      </c>
      <c r="B360" s="2" t="str" cm="1">
        <f t="array" ref="B360">_xlfn.IFS(HR_table[[#This Row],[Age]]&lt;=20, "Under 20yrs",HR_table[[#This Row],[Age]]&lt;=30,"(21-30)yrs",HR_table[[#This Row],[Age]]&lt;=40,"(31-40)yrs",HR_table[[#This Row],[Age]]&lt;=50,"(41-50)yrs",HR_table[[#This Row],[Age]]&lt;=60,"(51-60)yrs")</f>
        <v>(31-40)yrs</v>
      </c>
      <c r="C360" t="s">
        <v>43</v>
      </c>
      <c r="D360" t="s">
        <v>55</v>
      </c>
      <c r="E360" t="s">
        <v>37</v>
      </c>
      <c r="F360" t="s">
        <v>51</v>
      </c>
      <c r="G360" t="s">
        <v>40</v>
      </c>
      <c r="H360">
        <v>479</v>
      </c>
      <c r="I360" s="2">
        <v>1</v>
      </c>
      <c r="J360" s="2">
        <v>4</v>
      </c>
      <c r="K360" t="s">
        <v>39</v>
      </c>
      <c r="L360" s="2">
        <v>2</v>
      </c>
      <c r="M360" s="2">
        <v>4</v>
      </c>
      <c r="N360" t="s">
        <v>41</v>
      </c>
      <c r="O360" s="2">
        <v>6653</v>
      </c>
      <c r="P360" s="2">
        <v>15276</v>
      </c>
      <c r="Q360" s="2">
        <v>4</v>
      </c>
      <c r="R360" t="s">
        <v>43</v>
      </c>
      <c r="S360" s="2">
        <v>3</v>
      </c>
      <c r="T360" s="2">
        <v>2</v>
      </c>
      <c r="U360">
        <v>80</v>
      </c>
      <c r="V360" s="2">
        <v>7</v>
      </c>
      <c r="W360">
        <v>6</v>
      </c>
      <c r="X360">
        <v>3</v>
      </c>
      <c r="Y360">
        <v>1</v>
      </c>
      <c r="Z360">
        <v>0</v>
      </c>
      <c r="AA360">
        <v>0</v>
      </c>
      <c r="AB360">
        <v>0</v>
      </c>
    </row>
    <row r="361" spans="1:28" x14ac:dyDescent="0.35">
      <c r="A361" s="2">
        <v>36</v>
      </c>
      <c r="B361" s="2" t="str" cm="1">
        <f t="array" ref="B361">_xlfn.IFS(HR_table[[#This Row],[Age]]&lt;=20, "Under 20yrs",HR_table[[#This Row],[Age]]&lt;=30,"(21-30)yrs",HR_table[[#This Row],[Age]]&lt;=40,"(31-40)yrs",HR_table[[#This Row],[Age]]&lt;=50,"(41-50)yrs",HR_table[[#This Row],[Age]]&lt;=60,"(51-60)yrs")</f>
        <v>(31-40)yrs</v>
      </c>
      <c r="C361" t="s">
        <v>43</v>
      </c>
      <c r="D361" t="s">
        <v>44</v>
      </c>
      <c r="E361" t="s">
        <v>37</v>
      </c>
      <c r="F361" t="s">
        <v>51</v>
      </c>
      <c r="G361" t="s">
        <v>40</v>
      </c>
      <c r="H361">
        <v>481</v>
      </c>
      <c r="I361" s="2">
        <v>3</v>
      </c>
      <c r="J361" s="2">
        <v>1</v>
      </c>
      <c r="K361" t="s">
        <v>46</v>
      </c>
      <c r="L361" s="2">
        <v>3</v>
      </c>
      <c r="M361" s="2">
        <v>4</v>
      </c>
      <c r="N361" t="s">
        <v>48</v>
      </c>
      <c r="O361" s="2">
        <v>9699</v>
      </c>
      <c r="P361" s="2">
        <v>7246</v>
      </c>
      <c r="Q361" s="2">
        <v>4</v>
      </c>
      <c r="R361" t="s">
        <v>43</v>
      </c>
      <c r="S361" s="2">
        <v>3</v>
      </c>
      <c r="T361" s="2">
        <v>1</v>
      </c>
      <c r="U361">
        <v>80</v>
      </c>
      <c r="V361" s="2">
        <v>16</v>
      </c>
      <c r="W361">
        <v>2</v>
      </c>
      <c r="X361">
        <v>3</v>
      </c>
      <c r="Y361">
        <v>13</v>
      </c>
      <c r="Z361">
        <v>9</v>
      </c>
      <c r="AA361">
        <v>1</v>
      </c>
      <c r="AB361">
        <v>12</v>
      </c>
    </row>
    <row r="362" spans="1:28" x14ac:dyDescent="0.35">
      <c r="A362" s="2">
        <v>57</v>
      </c>
      <c r="B362" s="2" t="str" cm="1">
        <f t="array" ref="B362">_xlfn.IFS(HR_table[[#This Row],[Age]]&lt;=20, "Under 20yrs",HR_table[[#This Row],[Age]]&lt;=30,"(21-30)yrs",HR_table[[#This Row],[Age]]&lt;=40,"(31-40)yrs",HR_table[[#This Row],[Age]]&lt;=50,"(41-50)yrs",HR_table[[#This Row],[Age]]&lt;=60,"(51-60)yrs")</f>
        <v>(51-60)yrs</v>
      </c>
      <c r="C362" t="s">
        <v>43</v>
      </c>
      <c r="D362" t="s">
        <v>36</v>
      </c>
      <c r="E362" t="s">
        <v>45</v>
      </c>
      <c r="F362" t="s">
        <v>51</v>
      </c>
      <c r="G362" t="s">
        <v>54</v>
      </c>
      <c r="H362">
        <v>482</v>
      </c>
      <c r="I362" s="2">
        <v>1</v>
      </c>
      <c r="J362" s="2">
        <v>4</v>
      </c>
      <c r="K362" t="s">
        <v>46</v>
      </c>
      <c r="L362" s="2">
        <v>2</v>
      </c>
      <c r="M362" s="2">
        <v>3</v>
      </c>
      <c r="N362" t="s">
        <v>48</v>
      </c>
      <c r="O362" s="2">
        <v>6755</v>
      </c>
      <c r="P362" s="2">
        <v>2967</v>
      </c>
      <c r="Q362" s="2">
        <v>2</v>
      </c>
      <c r="R362" t="s">
        <v>43</v>
      </c>
      <c r="S362" s="2">
        <v>3</v>
      </c>
      <c r="T362" s="2">
        <v>3</v>
      </c>
      <c r="U362">
        <v>80</v>
      </c>
      <c r="V362" s="2">
        <v>15</v>
      </c>
      <c r="W362">
        <v>2</v>
      </c>
      <c r="X362">
        <v>3</v>
      </c>
      <c r="Y362">
        <v>3</v>
      </c>
      <c r="Z362">
        <v>2</v>
      </c>
      <c r="AA362">
        <v>1</v>
      </c>
      <c r="AB362">
        <v>2</v>
      </c>
    </row>
    <row r="363" spans="1:28" x14ac:dyDescent="0.35">
      <c r="A363" s="2">
        <v>40</v>
      </c>
      <c r="B363" s="2" t="str" cm="1">
        <f t="array" ref="B363">_xlfn.IFS(HR_table[[#This Row],[Age]]&lt;=20, "Under 20yrs",HR_table[[#This Row],[Age]]&lt;=30,"(21-30)yrs",HR_table[[#This Row],[Age]]&lt;=40,"(31-40)yrs",HR_table[[#This Row],[Age]]&lt;=50,"(41-50)yrs",HR_table[[#This Row],[Age]]&lt;=60,"(51-60)yrs")</f>
        <v>(31-40)yrs</v>
      </c>
      <c r="C363" t="s">
        <v>43</v>
      </c>
      <c r="D363" t="s">
        <v>36</v>
      </c>
      <c r="E363" t="s">
        <v>45</v>
      </c>
      <c r="F363" t="s">
        <v>38</v>
      </c>
      <c r="G363" t="s">
        <v>50</v>
      </c>
      <c r="H363">
        <v>483</v>
      </c>
      <c r="I363" s="2">
        <v>10</v>
      </c>
      <c r="J363" s="2">
        <v>4</v>
      </c>
      <c r="K363" t="s">
        <v>39</v>
      </c>
      <c r="L363" s="2">
        <v>1</v>
      </c>
      <c r="M363" s="2">
        <v>3</v>
      </c>
      <c r="N363" t="s">
        <v>48</v>
      </c>
      <c r="O363" s="2">
        <v>2213</v>
      </c>
      <c r="P363" s="2">
        <v>22495</v>
      </c>
      <c r="Q363" s="2">
        <v>3</v>
      </c>
      <c r="R363" t="s">
        <v>35</v>
      </c>
      <c r="S363" s="2">
        <v>3</v>
      </c>
      <c r="T363" s="2">
        <v>3</v>
      </c>
      <c r="U363">
        <v>80</v>
      </c>
      <c r="V363" s="2">
        <v>10</v>
      </c>
      <c r="W363">
        <v>3</v>
      </c>
      <c r="X363">
        <v>3</v>
      </c>
      <c r="Y363">
        <v>7</v>
      </c>
      <c r="Z363">
        <v>7</v>
      </c>
      <c r="AA363">
        <v>1</v>
      </c>
      <c r="AB363">
        <v>7</v>
      </c>
    </row>
    <row r="364" spans="1:28" x14ac:dyDescent="0.35">
      <c r="A364" s="2">
        <v>21</v>
      </c>
      <c r="B364" s="2" t="str" cm="1">
        <f t="array" ref="B364">_xlfn.IFS(HR_table[[#This Row],[Age]]&lt;=20, "Under 20yrs",HR_table[[#This Row],[Age]]&lt;=30,"(21-30)yrs",HR_table[[#This Row],[Age]]&lt;=40,"(31-40)yrs",HR_table[[#This Row],[Age]]&lt;=50,"(41-50)yrs",HR_table[[#This Row],[Age]]&lt;=60,"(51-60)yrs")</f>
        <v>(21-30)yrs</v>
      </c>
      <c r="C364" t="s">
        <v>43</v>
      </c>
      <c r="D364" t="s">
        <v>55</v>
      </c>
      <c r="E364" t="s">
        <v>37</v>
      </c>
      <c r="F364" t="s">
        <v>51</v>
      </c>
      <c r="G364" t="s">
        <v>57</v>
      </c>
      <c r="H364">
        <v>484</v>
      </c>
      <c r="I364" s="2">
        <v>9</v>
      </c>
      <c r="J364" s="2">
        <v>1</v>
      </c>
      <c r="K364" t="s">
        <v>46</v>
      </c>
      <c r="L364" s="2">
        <v>1</v>
      </c>
      <c r="M364" s="2">
        <v>4</v>
      </c>
      <c r="N364" t="s">
        <v>41</v>
      </c>
      <c r="O364" s="2">
        <v>2610</v>
      </c>
      <c r="P364" s="2">
        <v>2851</v>
      </c>
      <c r="Q364" s="2">
        <v>1</v>
      </c>
      <c r="R364" t="s">
        <v>43</v>
      </c>
      <c r="S364" s="2">
        <v>4</v>
      </c>
      <c r="T364" s="2">
        <v>3</v>
      </c>
      <c r="U364">
        <v>80</v>
      </c>
      <c r="V364" s="2">
        <v>3</v>
      </c>
      <c r="W364">
        <v>3</v>
      </c>
      <c r="X364">
        <v>2</v>
      </c>
      <c r="Y364">
        <v>3</v>
      </c>
      <c r="Z364">
        <v>2</v>
      </c>
      <c r="AA364">
        <v>2</v>
      </c>
      <c r="AB364">
        <v>2</v>
      </c>
    </row>
    <row r="365" spans="1:28" x14ac:dyDescent="0.35">
      <c r="A365" s="2">
        <v>33</v>
      </c>
      <c r="B365" s="2" t="str" cm="1">
        <f t="array" ref="B365">_xlfn.IFS(HR_table[[#This Row],[Age]]&lt;=20, "Under 20yrs",HR_table[[#This Row],[Age]]&lt;=30,"(21-30)yrs",HR_table[[#This Row],[Age]]&lt;=40,"(31-40)yrs",HR_table[[#This Row],[Age]]&lt;=50,"(41-50)yrs",HR_table[[#This Row],[Age]]&lt;=60,"(51-60)yrs")</f>
        <v>(31-40)yrs</v>
      </c>
      <c r="C365" t="s">
        <v>35</v>
      </c>
      <c r="D365" t="s">
        <v>36</v>
      </c>
      <c r="E365" t="s">
        <v>37</v>
      </c>
      <c r="F365" t="s">
        <v>59</v>
      </c>
      <c r="G365" t="s">
        <v>57</v>
      </c>
      <c r="H365">
        <v>485</v>
      </c>
      <c r="I365" s="2">
        <v>5</v>
      </c>
      <c r="J365" s="2">
        <v>4</v>
      </c>
      <c r="K365" t="s">
        <v>39</v>
      </c>
      <c r="L365" s="2">
        <v>1</v>
      </c>
      <c r="M365" s="2">
        <v>3</v>
      </c>
      <c r="N365" t="s">
        <v>41</v>
      </c>
      <c r="O365" s="2">
        <v>2851</v>
      </c>
      <c r="P365" s="2">
        <v>9150</v>
      </c>
      <c r="Q365" s="2">
        <v>1</v>
      </c>
      <c r="R365" t="s">
        <v>35</v>
      </c>
      <c r="S365" s="2">
        <v>3</v>
      </c>
      <c r="T365" s="2">
        <v>2</v>
      </c>
      <c r="U365">
        <v>80</v>
      </c>
      <c r="V365" s="2">
        <v>1</v>
      </c>
      <c r="W365">
        <v>2</v>
      </c>
      <c r="X365">
        <v>3</v>
      </c>
      <c r="Y365">
        <v>1</v>
      </c>
      <c r="Z365">
        <v>0</v>
      </c>
      <c r="AA365">
        <v>0</v>
      </c>
      <c r="AB365">
        <v>0</v>
      </c>
    </row>
    <row r="366" spans="1:28" x14ac:dyDescent="0.35">
      <c r="A366" s="2">
        <v>37</v>
      </c>
      <c r="B366" s="2" t="str" cm="1">
        <f t="array" ref="B366">_xlfn.IFS(HR_table[[#This Row],[Age]]&lt;=20, "Under 20yrs",HR_table[[#This Row],[Age]]&lt;=30,"(21-30)yrs",HR_table[[#This Row],[Age]]&lt;=40,"(31-40)yrs",HR_table[[#This Row],[Age]]&lt;=50,"(41-50)yrs",HR_table[[#This Row],[Age]]&lt;=60,"(51-60)yrs")</f>
        <v>(31-40)yrs</v>
      </c>
      <c r="C366" t="s">
        <v>43</v>
      </c>
      <c r="D366" t="s">
        <v>36</v>
      </c>
      <c r="E366" t="s">
        <v>45</v>
      </c>
      <c r="F366" t="s">
        <v>51</v>
      </c>
      <c r="G366" t="s">
        <v>50</v>
      </c>
      <c r="H366">
        <v>486</v>
      </c>
      <c r="I366" s="2">
        <v>10</v>
      </c>
      <c r="J366" s="2">
        <v>3</v>
      </c>
      <c r="K366" t="s">
        <v>39</v>
      </c>
      <c r="L366" s="2">
        <v>1</v>
      </c>
      <c r="M366" s="2">
        <v>1</v>
      </c>
      <c r="N366" t="s">
        <v>48</v>
      </c>
      <c r="O366" s="2">
        <v>3452</v>
      </c>
      <c r="P366" s="2">
        <v>17663</v>
      </c>
      <c r="Q366" s="2">
        <v>6</v>
      </c>
      <c r="R366" t="s">
        <v>43</v>
      </c>
      <c r="S366" s="2">
        <v>4</v>
      </c>
      <c r="T366" s="2">
        <v>2</v>
      </c>
      <c r="U366">
        <v>80</v>
      </c>
      <c r="V366" s="2">
        <v>17</v>
      </c>
      <c r="W366">
        <v>3</v>
      </c>
      <c r="X366">
        <v>3</v>
      </c>
      <c r="Y366">
        <v>5</v>
      </c>
      <c r="Z366">
        <v>4</v>
      </c>
      <c r="AA366">
        <v>0</v>
      </c>
      <c r="AB366">
        <v>3</v>
      </c>
    </row>
    <row r="367" spans="1:28" x14ac:dyDescent="0.35">
      <c r="A367" s="2">
        <v>46</v>
      </c>
      <c r="B367" s="2" t="str" cm="1">
        <f t="array" ref="B367">_xlfn.IFS(HR_table[[#This Row],[Age]]&lt;=20, "Under 20yrs",HR_table[[#This Row],[Age]]&lt;=30,"(21-30)yrs",HR_table[[#This Row],[Age]]&lt;=40,"(31-40)yrs",HR_table[[#This Row],[Age]]&lt;=50,"(41-50)yrs",HR_table[[#This Row],[Age]]&lt;=60,"(51-60)yrs")</f>
        <v>(41-50)yrs</v>
      </c>
      <c r="C367" t="s">
        <v>43</v>
      </c>
      <c r="D367" t="s">
        <v>55</v>
      </c>
      <c r="E367" t="s">
        <v>45</v>
      </c>
      <c r="F367" t="s">
        <v>51</v>
      </c>
      <c r="G367" t="s">
        <v>53</v>
      </c>
      <c r="H367">
        <v>487</v>
      </c>
      <c r="I367" s="2">
        <v>7</v>
      </c>
      <c r="J367" s="2">
        <v>3</v>
      </c>
      <c r="K367" t="s">
        <v>39</v>
      </c>
      <c r="L367" s="2">
        <v>2</v>
      </c>
      <c r="M367" s="2">
        <v>3</v>
      </c>
      <c r="N367" t="s">
        <v>48</v>
      </c>
      <c r="O367" s="2">
        <v>5258</v>
      </c>
      <c r="P367" s="2">
        <v>16044</v>
      </c>
      <c r="Q367" s="2">
        <v>2</v>
      </c>
      <c r="R367" t="s">
        <v>43</v>
      </c>
      <c r="S367" s="2">
        <v>3</v>
      </c>
      <c r="T367" s="2">
        <v>3</v>
      </c>
      <c r="U367">
        <v>80</v>
      </c>
      <c r="V367" s="2">
        <v>7</v>
      </c>
      <c r="W367">
        <v>2</v>
      </c>
      <c r="X367">
        <v>4</v>
      </c>
      <c r="Y367">
        <v>1</v>
      </c>
      <c r="Z367">
        <v>0</v>
      </c>
      <c r="AA367">
        <v>0</v>
      </c>
      <c r="AB367">
        <v>0</v>
      </c>
    </row>
    <row r="368" spans="1:28" x14ac:dyDescent="0.35">
      <c r="A368" s="2">
        <v>41</v>
      </c>
      <c r="B368" s="2" t="str" cm="1">
        <f t="array" ref="B368">_xlfn.IFS(HR_table[[#This Row],[Age]]&lt;=20, "Under 20yrs",HR_table[[#This Row],[Age]]&lt;=30,"(21-30)yrs",HR_table[[#This Row],[Age]]&lt;=40,"(31-40)yrs",HR_table[[#This Row],[Age]]&lt;=50,"(41-50)yrs",HR_table[[#This Row],[Age]]&lt;=60,"(51-60)yrs")</f>
        <v>(41-50)yrs</v>
      </c>
      <c r="C368" t="s">
        <v>35</v>
      </c>
      <c r="D368" t="s">
        <v>44</v>
      </c>
      <c r="E368" t="s">
        <v>37</v>
      </c>
      <c r="F368" t="s">
        <v>59</v>
      </c>
      <c r="G368" t="s">
        <v>40</v>
      </c>
      <c r="H368">
        <v>488</v>
      </c>
      <c r="I368" s="2">
        <v>4</v>
      </c>
      <c r="J368" s="2">
        <v>1</v>
      </c>
      <c r="K368" t="s">
        <v>46</v>
      </c>
      <c r="L368" s="2">
        <v>2</v>
      </c>
      <c r="M368" s="2">
        <v>2</v>
      </c>
      <c r="N368" t="s">
        <v>41</v>
      </c>
      <c r="O368" s="2">
        <v>9355</v>
      </c>
      <c r="P368" s="2">
        <v>9558</v>
      </c>
      <c r="Q368" s="2">
        <v>1</v>
      </c>
      <c r="R368" t="s">
        <v>43</v>
      </c>
      <c r="S368" s="2">
        <v>3</v>
      </c>
      <c r="T368" s="2">
        <v>3</v>
      </c>
      <c r="U368">
        <v>80</v>
      </c>
      <c r="V368" s="2">
        <v>8</v>
      </c>
      <c r="W368">
        <v>5</v>
      </c>
      <c r="X368">
        <v>3</v>
      </c>
      <c r="Y368">
        <v>8</v>
      </c>
      <c r="Z368">
        <v>7</v>
      </c>
      <c r="AA368">
        <v>7</v>
      </c>
      <c r="AB368">
        <v>7</v>
      </c>
    </row>
    <row r="369" spans="1:28" x14ac:dyDescent="0.35">
      <c r="A369" s="2">
        <v>50</v>
      </c>
      <c r="B369" s="2" t="str" cm="1">
        <f t="array" ref="B369">_xlfn.IFS(HR_table[[#This Row],[Age]]&lt;=20, "Under 20yrs",HR_table[[#This Row],[Age]]&lt;=30,"(21-30)yrs",HR_table[[#This Row],[Age]]&lt;=40,"(31-40)yrs",HR_table[[#This Row],[Age]]&lt;=50,"(41-50)yrs",HR_table[[#This Row],[Age]]&lt;=60,"(51-60)yrs")</f>
        <v>(41-50)yrs</v>
      </c>
      <c r="C369" t="s">
        <v>43</v>
      </c>
      <c r="D369" t="s">
        <v>36</v>
      </c>
      <c r="E369" t="s">
        <v>45</v>
      </c>
      <c r="F369" t="s">
        <v>60</v>
      </c>
      <c r="G369" t="s">
        <v>54</v>
      </c>
      <c r="H369">
        <v>491</v>
      </c>
      <c r="I369" s="2">
        <v>10</v>
      </c>
      <c r="J369" s="2">
        <v>4</v>
      </c>
      <c r="K369" t="s">
        <v>46</v>
      </c>
      <c r="L369" s="2">
        <v>3</v>
      </c>
      <c r="M369" s="2">
        <v>4</v>
      </c>
      <c r="N369" t="s">
        <v>41</v>
      </c>
      <c r="O369" s="2">
        <v>10496</v>
      </c>
      <c r="P369" s="2">
        <v>2755</v>
      </c>
      <c r="Q369" s="2">
        <v>6</v>
      </c>
      <c r="R369" t="s">
        <v>43</v>
      </c>
      <c r="S369" s="2">
        <v>3</v>
      </c>
      <c r="T369" s="2">
        <v>4</v>
      </c>
      <c r="U369">
        <v>80</v>
      </c>
      <c r="V369" s="2">
        <v>20</v>
      </c>
      <c r="W369">
        <v>2</v>
      </c>
      <c r="X369">
        <v>3</v>
      </c>
      <c r="Y369">
        <v>4</v>
      </c>
      <c r="Z369">
        <v>3</v>
      </c>
      <c r="AA369">
        <v>1</v>
      </c>
      <c r="AB369">
        <v>3</v>
      </c>
    </row>
    <row r="370" spans="1:28" x14ac:dyDescent="0.35">
      <c r="A370" s="2">
        <v>40</v>
      </c>
      <c r="B370" s="2" t="str" cm="1">
        <f t="array" ref="B370">_xlfn.IFS(HR_table[[#This Row],[Age]]&lt;=20, "Under 20yrs",HR_table[[#This Row],[Age]]&lt;=30,"(21-30)yrs",HR_table[[#This Row],[Age]]&lt;=40,"(31-40)yrs",HR_table[[#This Row],[Age]]&lt;=50,"(41-50)yrs",HR_table[[#This Row],[Age]]&lt;=60,"(51-60)yrs")</f>
        <v>(31-40)yrs</v>
      </c>
      <c r="C370" t="s">
        <v>35</v>
      </c>
      <c r="D370" t="s">
        <v>36</v>
      </c>
      <c r="E370" t="s">
        <v>37</v>
      </c>
      <c r="F370" t="s">
        <v>59</v>
      </c>
      <c r="G370" t="s">
        <v>40</v>
      </c>
      <c r="H370">
        <v>492</v>
      </c>
      <c r="I370" s="2">
        <v>22</v>
      </c>
      <c r="J370" s="2">
        <v>3</v>
      </c>
      <c r="K370" t="s">
        <v>46</v>
      </c>
      <c r="L370" s="2">
        <v>2</v>
      </c>
      <c r="M370" s="2">
        <v>3</v>
      </c>
      <c r="N370" t="s">
        <v>48</v>
      </c>
      <c r="O370" s="2">
        <v>6380</v>
      </c>
      <c r="P370" s="2">
        <v>6110</v>
      </c>
      <c r="Q370" s="2">
        <v>2</v>
      </c>
      <c r="R370" t="s">
        <v>35</v>
      </c>
      <c r="S370" s="2">
        <v>3</v>
      </c>
      <c r="T370" s="2">
        <v>1</v>
      </c>
      <c r="U370">
        <v>80</v>
      </c>
      <c r="V370" s="2">
        <v>8</v>
      </c>
      <c r="W370">
        <v>6</v>
      </c>
      <c r="X370">
        <v>3</v>
      </c>
      <c r="Y370">
        <v>6</v>
      </c>
      <c r="Z370">
        <v>4</v>
      </c>
      <c r="AA370">
        <v>1</v>
      </c>
      <c r="AB370">
        <v>0</v>
      </c>
    </row>
    <row r="371" spans="1:28" x14ac:dyDescent="0.35">
      <c r="A371" s="2">
        <v>31</v>
      </c>
      <c r="B371" s="2" t="str" cm="1">
        <f t="array" ref="B371">_xlfn.IFS(HR_table[[#This Row],[Age]]&lt;=20, "Under 20yrs",HR_table[[#This Row],[Age]]&lt;=30,"(21-30)yrs",HR_table[[#This Row],[Age]]&lt;=40,"(31-40)yrs",HR_table[[#This Row],[Age]]&lt;=50,"(41-50)yrs",HR_table[[#This Row],[Age]]&lt;=60,"(51-60)yrs")</f>
        <v>(31-40)yrs</v>
      </c>
      <c r="C371" t="s">
        <v>43</v>
      </c>
      <c r="D371" t="s">
        <v>36</v>
      </c>
      <c r="E371" t="s">
        <v>45</v>
      </c>
      <c r="F371" t="s">
        <v>38</v>
      </c>
      <c r="G371" t="s">
        <v>47</v>
      </c>
      <c r="H371">
        <v>493</v>
      </c>
      <c r="I371" s="2">
        <v>9</v>
      </c>
      <c r="J371" s="2">
        <v>3</v>
      </c>
      <c r="K371" t="s">
        <v>46</v>
      </c>
      <c r="L371" s="2">
        <v>1</v>
      </c>
      <c r="M371" s="2">
        <v>2</v>
      </c>
      <c r="N371" t="s">
        <v>41</v>
      </c>
      <c r="O371" s="2">
        <v>2657</v>
      </c>
      <c r="P371" s="2">
        <v>7551</v>
      </c>
      <c r="Q371" s="2">
        <v>0</v>
      </c>
      <c r="R371" t="s">
        <v>35</v>
      </c>
      <c r="S371" s="2">
        <v>3</v>
      </c>
      <c r="T371" s="2">
        <v>4</v>
      </c>
      <c r="U371">
        <v>80</v>
      </c>
      <c r="V371" s="2">
        <v>3</v>
      </c>
      <c r="W371">
        <v>5</v>
      </c>
      <c r="X371">
        <v>3</v>
      </c>
      <c r="Y371">
        <v>2</v>
      </c>
      <c r="Z371">
        <v>2</v>
      </c>
      <c r="AA371">
        <v>2</v>
      </c>
      <c r="AB371">
        <v>2</v>
      </c>
    </row>
    <row r="372" spans="1:28" x14ac:dyDescent="0.35">
      <c r="A372" s="2">
        <v>21</v>
      </c>
      <c r="B372" s="2" t="str" cm="1">
        <f t="array" ref="B372">_xlfn.IFS(HR_table[[#This Row],[Age]]&lt;=20, "Under 20yrs",HR_table[[#This Row],[Age]]&lt;=30,"(21-30)yrs",HR_table[[#This Row],[Age]]&lt;=40,"(31-40)yrs",HR_table[[#This Row],[Age]]&lt;=50,"(41-50)yrs",HR_table[[#This Row],[Age]]&lt;=60,"(51-60)yrs")</f>
        <v>(21-30)yrs</v>
      </c>
      <c r="C372" t="s">
        <v>35</v>
      </c>
      <c r="D372" t="s">
        <v>36</v>
      </c>
      <c r="E372" t="s">
        <v>37</v>
      </c>
      <c r="F372" t="s">
        <v>38</v>
      </c>
      <c r="G372" t="s">
        <v>57</v>
      </c>
      <c r="H372">
        <v>494</v>
      </c>
      <c r="I372" s="2">
        <v>12</v>
      </c>
      <c r="J372" s="2">
        <v>3</v>
      </c>
      <c r="K372" t="s">
        <v>39</v>
      </c>
      <c r="L372" s="2">
        <v>1</v>
      </c>
      <c r="M372" s="2">
        <v>2</v>
      </c>
      <c r="N372" t="s">
        <v>41</v>
      </c>
      <c r="O372" s="2">
        <v>2716</v>
      </c>
      <c r="P372" s="2">
        <v>25422</v>
      </c>
      <c r="Q372" s="2">
        <v>1</v>
      </c>
      <c r="R372" t="s">
        <v>43</v>
      </c>
      <c r="S372" s="2">
        <v>3</v>
      </c>
      <c r="T372" s="2">
        <v>4</v>
      </c>
      <c r="U372">
        <v>80</v>
      </c>
      <c r="V372" s="2">
        <v>1</v>
      </c>
      <c r="W372">
        <v>0</v>
      </c>
      <c r="X372">
        <v>3</v>
      </c>
      <c r="Y372">
        <v>1</v>
      </c>
      <c r="Z372">
        <v>0</v>
      </c>
      <c r="AA372">
        <v>0</v>
      </c>
      <c r="AB372">
        <v>0</v>
      </c>
    </row>
    <row r="373" spans="1:28" x14ac:dyDescent="0.35">
      <c r="A373" s="2">
        <v>29</v>
      </c>
      <c r="B373" s="2" t="str" cm="1">
        <f t="array" ref="B373">_xlfn.IFS(HR_table[[#This Row],[Age]]&lt;=20, "Under 20yrs",HR_table[[#This Row],[Age]]&lt;=30,"(21-30)yrs",HR_table[[#This Row],[Age]]&lt;=40,"(31-40)yrs",HR_table[[#This Row],[Age]]&lt;=50,"(41-50)yrs",HR_table[[#This Row],[Age]]&lt;=60,"(51-60)yrs")</f>
        <v>(21-30)yrs</v>
      </c>
      <c r="C373" t="s">
        <v>43</v>
      </c>
      <c r="D373" t="s">
        <v>36</v>
      </c>
      <c r="E373" t="s">
        <v>45</v>
      </c>
      <c r="F373" t="s">
        <v>38</v>
      </c>
      <c r="G373" t="s">
        <v>47</v>
      </c>
      <c r="H373">
        <v>495</v>
      </c>
      <c r="I373" s="2">
        <v>23</v>
      </c>
      <c r="J373" s="2">
        <v>4</v>
      </c>
      <c r="K373" t="s">
        <v>46</v>
      </c>
      <c r="L373" s="2">
        <v>1</v>
      </c>
      <c r="M373" s="2">
        <v>4</v>
      </c>
      <c r="N373" t="s">
        <v>41</v>
      </c>
      <c r="O373" s="2">
        <v>2201</v>
      </c>
      <c r="P373" s="2">
        <v>18168</v>
      </c>
      <c r="Q373" s="2">
        <v>9</v>
      </c>
      <c r="R373" t="s">
        <v>43</v>
      </c>
      <c r="S373" s="2">
        <v>3</v>
      </c>
      <c r="T373" s="2">
        <v>4</v>
      </c>
      <c r="U373">
        <v>80</v>
      </c>
      <c r="V373" s="2">
        <v>6</v>
      </c>
      <c r="W373">
        <v>4</v>
      </c>
      <c r="X373">
        <v>3</v>
      </c>
      <c r="Y373">
        <v>3</v>
      </c>
      <c r="Z373">
        <v>2</v>
      </c>
      <c r="AA373">
        <v>1</v>
      </c>
      <c r="AB373">
        <v>2</v>
      </c>
    </row>
    <row r="374" spans="1:28" x14ac:dyDescent="0.35">
      <c r="A374" s="2">
        <v>35</v>
      </c>
      <c r="B374" s="2" t="str" cm="1">
        <f t="array" ref="B374">_xlfn.IFS(HR_table[[#This Row],[Age]]&lt;=20, "Under 20yrs",HR_table[[#This Row],[Age]]&lt;=30,"(21-30)yrs",HR_table[[#This Row],[Age]]&lt;=40,"(31-40)yrs",HR_table[[#This Row],[Age]]&lt;=50,"(41-50)yrs",HR_table[[#This Row],[Age]]&lt;=60,"(51-60)yrs")</f>
        <v>(31-40)yrs</v>
      </c>
      <c r="C374" t="s">
        <v>43</v>
      </c>
      <c r="D374" t="s">
        <v>36</v>
      </c>
      <c r="E374" t="s">
        <v>45</v>
      </c>
      <c r="F374" t="s">
        <v>38</v>
      </c>
      <c r="G374" t="s">
        <v>54</v>
      </c>
      <c r="H374">
        <v>496</v>
      </c>
      <c r="I374" s="2">
        <v>9</v>
      </c>
      <c r="J374" s="2">
        <v>3</v>
      </c>
      <c r="K374" t="s">
        <v>46</v>
      </c>
      <c r="L374" s="2">
        <v>2</v>
      </c>
      <c r="M374" s="2">
        <v>2</v>
      </c>
      <c r="N374" t="s">
        <v>41</v>
      </c>
      <c r="O374" s="2">
        <v>6540</v>
      </c>
      <c r="P374" s="2">
        <v>19394</v>
      </c>
      <c r="Q374" s="2">
        <v>9</v>
      </c>
      <c r="R374" t="s">
        <v>43</v>
      </c>
      <c r="S374" s="2">
        <v>3</v>
      </c>
      <c r="T374" s="2">
        <v>3</v>
      </c>
      <c r="U374">
        <v>80</v>
      </c>
      <c r="V374" s="2">
        <v>10</v>
      </c>
      <c r="W374">
        <v>5</v>
      </c>
      <c r="X374">
        <v>3</v>
      </c>
      <c r="Y374">
        <v>1</v>
      </c>
      <c r="Z374">
        <v>1</v>
      </c>
      <c r="AA374">
        <v>0</v>
      </c>
      <c r="AB374">
        <v>0</v>
      </c>
    </row>
    <row r="375" spans="1:28" x14ac:dyDescent="0.35">
      <c r="A375" s="2">
        <v>27</v>
      </c>
      <c r="B375" s="2" t="str" cm="1">
        <f t="array" ref="B375">_xlfn.IFS(HR_table[[#This Row],[Age]]&lt;=20, "Under 20yrs",HR_table[[#This Row],[Age]]&lt;=30,"(21-30)yrs",HR_table[[#This Row],[Age]]&lt;=40,"(31-40)yrs",HR_table[[#This Row],[Age]]&lt;=50,"(41-50)yrs",HR_table[[#This Row],[Age]]&lt;=60,"(51-60)yrs")</f>
        <v>(21-30)yrs</v>
      </c>
      <c r="C375" t="s">
        <v>43</v>
      </c>
      <c r="D375" t="s">
        <v>36</v>
      </c>
      <c r="E375" t="s">
        <v>45</v>
      </c>
      <c r="F375" t="s">
        <v>51</v>
      </c>
      <c r="G375" t="s">
        <v>50</v>
      </c>
      <c r="H375">
        <v>497</v>
      </c>
      <c r="I375" s="2">
        <v>1</v>
      </c>
      <c r="J375" s="2">
        <v>4</v>
      </c>
      <c r="K375" t="s">
        <v>46</v>
      </c>
      <c r="L375" s="2">
        <v>1</v>
      </c>
      <c r="M375" s="2">
        <v>2</v>
      </c>
      <c r="N375" t="s">
        <v>52</v>
      </c>
      <c r="O375" s="2">
        <v>3816</v>
      </c>
      <c r="P375" s="2">
        <v>17881</v>
      </c>
      <c r="Q375" s="2">
        <v>1</v>
      </c>
      <c r="R375" t="s">
        <v>43</v>
      </c>
      <c r="S375" s="2">
        <v>3</v>
      </c>
      <c r="T375" s="2">
        <v>2</v>
      </c>
      <c r="U375">
        <v>80</v>
      </c>
      <c r="V375" s="2">
        <v>5</v>
      </c>
      <c r="W375">
        <v>2</v>
      </c>
      <c r="X375">
        <v>3</v>
      </c>
      <c r="Y375">
        <v>5</v>
      </c>
      <c r="Z375">
        <v>2</v>
      </c>
      <c r="AA375">
        <v>0</v>
      </c>
      <c r="AB375">
        <v>4</v>
      </c>
    </row>
    <row r="376" spans="1:28" x14ac:dyDescent="0.35">
      <c r="A376" s="2">
        <v>28</v>
      </c>
      <c r="B376" s="2" t="str" cm="1">
        <f t="array" ref="B376">_xlfn.IFS(HR_table[[#This Row],[Age]]&lt;=20, "Under 20yrs",HR_table[[#This Row],[Age]]&lt;=30,"(21-30)yrs",HR_table[[#This Row],[Age]]&lt;=40,"(31-40)yrs",HR_table[[#This Row],[Age]]&lt;=50,"(41-50)yrs",HR_table[[#This Row],[Age]]&lt;=60,"(51-60)yrs")</f>
        <v>(21-30)yrs</v>
      </c>
      <c r="C376" t="s">
        <v>43</v>
      </c>
      <c r="D376" t="s">
        <v>36</v>
      </c>
      <c r="E376" t="s">
        <v>37</v>
      </c>
      <c r="F376" t="s">
        <v>38</v>
      </c>
      <c r="G376" t="s">
        <v>40</v>
      </c>
      <c r="H376">
        <v>498</v>
      </c>
      <c r="I376" s="2">
        <v>9</v>
      </c>
      <c r="J376" s="2">
        <v>2</v>
      </c>
      <c r="K376" t="s">
        <v>46</v>
      </c>
      <c r="L376" s="2">
        <v>2</v>
      </c>
      <c r="M376" s="2">
        <v>4</v>
      </c>
      <c r="N376" t="s">
        <v>41</v>
      </c>
      <c r="O376" s="2">
        <v>5253</v>
      </c>
      <c r="P376" s="2">
        <v>20750</v>
      </c>
      <c r="Q376" s="2">
        <v>1</v>
      </c>
      <c r="R376" t="s">
        <v>43</v>
      </c>
      <c r="S376" s="2">
        <v>3</v>
      </c>
      <c r="T376" s="2">
        <v>4</v>
      </c>
      <c r="U376">
        <v>80</v>
      </c>
      <c r="V376" s="2">
        <v>7</v>
      </c>
      <c r="W376">
        <v>1</v>
      </c>
      <c r="X376">
        <v>3</v>
      </c>
      <c r="Y376">
        <v>7</v>
      </c>
      <c r="Z376">
        <v>5</v>
      </c>
      <c r="AA376">
        <v>0</v>
      </c>
      <c r="AB376">
        <v>7</v>
      </c>
    </row>
    <row r="377" spans="1:28" x14ac:dyDescent="0.35">
      <c r="A377" s="2">
        <v>49</v>
      </c>
      <c r="B377" s="2" t="str" cm="1">
        <f t="array" ref="B377">_xlfn.IFS(HR_table[[#This Row],[Age]]&lt;=20, "Under 20yrs",HR_table[[#This Row],[Age]]&lt;=30,"(21-30)yrs",HR_table[[#This Row],[Age]]&lt;=40,"(31-40)yrs",HR_table[[#This Row],[Age]]&lt;=50,"(41-50)yrs",HR_table[[#This Row],[Age]]&lt;=60,"(51-60)yrs")</f>
        <v>(41-50)yrs</v>
      </c>
      <c r="C377" t="s">
        <v>43</v>
      </c>
      <c r="D377" t="s">
        <v>36</v>
      </c>
      <c r="E377" t="s">
        <v>45</v>
      </c>
      <c r="F377" t="s">
        <v>49</v>
      </c>
      <c r="G377" t="s">
        <v>54</v>
      </c>
      <c r="H377">
        <v>499</v>
      </c>
      <c r="I377" s="2">
        <v>7</v>
      </c>
      <c r="J377" s="2">
        <v>2</v>
      </c>
      <c r="K377" t="s">
        <v>46</v>
      </c>
      <c r="L377" s="2">
        <v>3</v>
      </c>
      <c r="M377" s="2">
        <v>3</v>
      </c>
      <c r="N377" t="s">
        <v>41</v>
      </c>
      <c r="O377" s="2">
        <v>10965</v>
      </c>
      <c r="P377" s="2">
        <v>12066</v>
      </c>
      <c r="Q377" s="2">
        <v>8</v>
      </c>
      <c r="R377" t="s">
        <v>43</v>
      </c>
      <c r="S377" s="2">
        <v>4</v>
      </c>
      <c r="T377" s="2">
        <v>3</v>
      </c>
      <c r="U377">
        <v>80</v>
      </c>
      <c r="V377" s="2">
        <v>26</v>
      </c>
      <c r="W377">
        <v>2</v>
      </c>
      <c r="X377">
        <v>3</v>
      </c>
      <c r="Y377">
        <v>5</v>
      </c>
      <c r="Z377">
        <v>2</v>
      </c>
      <c r="AA377">
        <v>0</v>
      </c>
      <c r="AB377">
        <v>0</v>
      </c>
    </row>
    <row r="378" spans="1:28" x14ac:dyDescent="0.35">
      <c r="A378" s="2">
        <v>51</v>
      </c>
      <c r="B378" s="2" t="str" cm="1">
        <f t="array" ref="B378">_xlfn.IFS(HR_table[[#This Row],[Age]]&lt;=20, "Under 20yrs",HR_table[[#This Row],[Age]]&lt;=30,"(21-30)yrs",HR_table[[#This Row],[Age]]&lt;=40,"(31-40)yrs",HR_table[[#This Row],[Age]]&lt;=50,"(41-50)yrs",HR_table[[#This Row],[Age]]&lt;=60,"(51-60)yrs")</f>
        <v>(51-60)yrs</v>
      </c>
      <c r="C378" t="s">
        <v>43</v>
      </c>
      <c r="D378" t="s">
        <v>36</v>
      </c>
      <c r="E378" t="s">
        <v>37</v>
      </c>
      <c r="F378" t="s">
        <v>38</v>
      </c>
      <c r="G378" t="s">
        <v>40</v>
      </c>
      <c r="H378">
        <v>500</v>
      </c>
      <c r="I378" s="2">
        <v>14</v>
      </c>
      <c r="J378" s="2">
        <v>3</v>
      </c>
      <c r="K378" t="s">
        <v>39</v>
      </c>
      <c r="L378" s="2">
        <v>2</v>
      </c>
      <c r="M378" s="2">
        <v>4</v>
      </c>
      <c r="N378" t="s">
        <v>48</v>
      </c>
      <c r="O378" s="2">
        <v>4936</v>
      </c>
      <c r="P378" s="2">
        <v>14862</v>
      </c>
      <c r="Q378" s="2">
        <v>4</v>
      </c>
      <c r="R378" t="s">
        <v>43</v>
      </c>
      <c r="S378" s="2">
        <v>3</v>
      </c>
      <c r="T378" s="2">
        <v>3</v>
      </c>
      <c r="U378">
        <v>80</v>
      </c>
      <c r="V378" s="2">
        <v>18</v>
      </c>
      <c r="W378">
        <v>2</v>
      </c>
      <c r="X378">
        <v>2</v>
      </c>
      <c r="Y378">
        <v>7</v>
      </c>
      <c r="Z378">
        <v>7</v>
      </c>
      <c r="AA378">
        <v>0</v>
      </c>
      <c r="AB378">
        <v>7</v>
      </c>
    </row>
    <row r="379" spans="1:28" x14ac:dyDescent="0.35">
      <c r="A379" s="2">
        <v>36</v>
      </c>
      <c r="B379" s="2" t="str" cm="1">
        <f t="array" ref="B379">_xlfn.IFS(HR_table[[#This Row],[Age]]&lt;=20, "Under 20yrs",HR_table[[#This Row],[Age]]&lt;=30,"(21-30)yrs",HR_table[[#This Row],[Age]]&lt;=40,"(31-40)yrs",HR_table[[#This Row],[Age]]&lt;=50,"(41-50)yrs",HR_table[[#This Row],[Age]]&lt;=60,"(51-60)yrs")</f>
        <v>(31-40)yrs</v>
      </c>
      <c r="C379" t="s">
        <v>43</v>
      </c>
      <c r="D379" t="s">
        <v>36</v>
      </c>
      <c r="E379" t="s">
        <v>45</v>
      </c>
      <c r="F379" t="s">
        <v>38</v>
      </c>
      <c r="G379" t="s">
        <v>47</v>
      </c>
      <c r="H379">
        <v>501</v>
      </c>
      <c r="I379" s="2">
        <v>2</v>
      </c>
      <c r="J379" s="2">
        <v>4</v>
      </c>
      <c r="K379" t="s">
        <v>39</v>
      </c>
      <c r="L379" s="2">
        <v>1</v>
      </c>
      <c r="M379" s="2">
        <v>3</v>
      </c>
      <c r="N379" t="s">
        <v>48</v>
      </c>
      <c r="O379" s="2">
        <v>2543</v>
      </c>
      <c r="P379" s="2">
        <v>11868</v>
      </c>
      <c r="Q379" s="2">
        <v>4</v>
      </c>
      <c r="R379" t="s">
        <v>43</v>
      </c>
      <c r="S379" s="2">
        <v>3</v>
      </c>
      <c r="T379" s="2">
        <v>2</v>
      </c>
      <c r="U379">
        <v>80</v>
      </c>
      <c r="V379" s="2">
        <v>6</v>
      </c>
      <c r="W379">
        <v>3</v>
      </c>
      <c r="X379">
        <v>3</v>
      </c>
      <c r="Y379">
        <v>2</v>
      </c>
      <c r="Z379">
        <v>2</v>
      </c>
      <c r="AA379">
        <v>2</v>
      </c>
      <c r="AB379">
        <v>2</v>
      </c>
    </row>
    <row r="380" spans="1:28" x14ac:dyDescent="0.35">
      <c r="A380" s="2">
        <v>34</v>
      </c>
      <c r="B380" s="2" t="str" cm="1">
        <f t="array" ref="B380">_xlfn.IFS(HR_table[[#This Row],[Age]]&lt;=20, "Under 20yrs",HR_table[[#This Row],[Age]]&lt;=30,"(21-30)yrs",HR_table[[#This Row],[Age]]&lt;=40,"(31-40)yrs",HR_table[[#This Row],[Age]]&lt;=50,"(41-50)yrs",HR_table[[#This Row],[Age]]&lt;=60,"(51-60)yrs")</f>
        <v>(31-40)yrs</v>
      </c>
      <c r="C380" t="s">
        <v>35</v>
      </c>
      <c r="D380" t="s">
        <v>55</v>
      </c>
      <c r="E380" t="s">
        <v>37</v>
      </c>
      <c r="F380" t="s">
        <v>59</v>
      </c>
      <c r="G380" t="s">
        <v>40</v>
      </c>
      <c r="H380">
        <v>502</v>
      </c>
      <c r="I380" s="2">
        <v>19</v>
      </c>
      <c r="J380" s="2">
        <v>1</v>
      </c>
      <c r="K380" t="s">
        <v>46</v>
      </c>
      <c r="L380" s="2">
        <v>2</v>
      </c>
      <c r="M380" s="2">
        <v>4</v>
      </c>
      <c r="N380" t="s">
        <v>41</v>
      </c>
      <c r="O380" s="2">
        <v>5304</v>
      </c>
      <c r="P380" s="2">
        <v>4652</v>
      </c>
      <c r="Q380" s="2">
        <v>8</v>
      </c>
      <c r="R380" t="s">
        <v>35</v>
      </c>
      <c r="S380" s="2">
        <v>3</v>
      </c>
      <c r="T380" s="2">
        <v>2</v>
      </c>
      <c r="U380">
        <v>80</v>
      </c>
      <c r="V380" s="2">
        <v>9</v>
      </c>
      <c r="W380">
        <v>3</v>
      </c>
      <c r="X380">
        <v>2</v>
      </c>
      <c r="Y380">
        <v>5</v>
      </c>
      <c r="Z380">
        <v>2</v>
      </c>
      <c r="AA380">
        <v>0</v>
      </c>
      <c r="AB380">
        <v>4</v>
      </c>
    </row>
    <row r="381" spans="1:28" x14ac:dyDescent="0.35">
      <c r="A381" s="2">
        <v>55</v>
      </c>
      <c r="B381" s="2" t="str" cm="1">
        <f t="array" ref="B381">_xlfn.IFS(HR_table[[#This Row],[Age]]&lt;=20, "Under 20yrs",HR_table[[#This Row],[Age]]&lt;=30,"(21-30)yrs",HR_table[[#This Row],[Age]]&lt;=40,"(31-40)yrs",HR_table[[#This Row],[Age]]&lt;=50,"(41-50)yrs",HR_table[[#This Row],[Age]]&lt;=60,"(51-60)yrs")</f>
        <v>(51-60)yrs</v>
      </c>
      <c r="C381" t="s">
        <v>43</v>
      </c>
      <c r="D381" t="s">
        <v>36</v>
      </c>
      <c r="E381" t="s">
        <v>45</v>
      </c>
      <c r="F381" t="s">
        <v>38</v>
      </c>
      <c r="G381" t="s">
        <v>56</v>
      </c>
      <c r="H381">
        <v>505</v>
      </c>
      <c r="I381" s="2">
        <v>2</v>
      </c>
      <c r="J381" s="2">
        <v>3</v>
      </c>
      <c r="K381" t="s">
        <v>39</v>
      </c>
      <c r="L381" s="2">
        <v>4</v>
      </c>
      <c r="M381" s="2">
        <v>4</v>
      </c>
      <c r="N381" t="s">
        <v>41</v>
      </c>
      <c r="O381" s="2">
        <v>16659</v>
      </c>
      <c r="P381" s="2">
        <v>23258</v>
      </c>
      <c r="Q381" s="2">
        <v>2</v>
      </c>
      <c r="R381" t="s">
        <v>35</v>
      </c>
      <c r="S381" s="2">
        <v>3</v>
      </c>
      <c r="T381" s="2">
        <v>3</v>
      </c>
      <c r="U381">
        <v>80</v>
      </c>
      <c r="V381" s="2">
        <v>30</v>
      </c>
      <c r="W381">
        <v>2</v>
      </c>
      <c r="X381">
        <v>3</v>
      </c>
      <c r="Y381">
        <v>5</v>
      </c>
      <c r="Z381">
        <v>4</v>
      </c>
      <c r="AA381">
        <v>1</v>
      </c>
      <c r="AB381">
        <v>2</v>
      </c>
    </row>
    <row r="382" spans="1:28" x14ac:dyDescent="0.35">
      <c r="A382" s="2">
        <v>24</v>
      </c>
      <c r="B382" s="2" t="str" cm="1">
        <f t="array" ref="B382">_xlfn.IFS(HR_table[[#This Row],[Age]]&lt;=20, "Under 20yrs",HR_table[[#This Row],[Age]]&lt;=30,"(21-30)yrs",HR_table[[#This Row],[Age]]&lt;=40,"(31-40)yrs",HR_table[[#This Row],[Age]]&lt;=50,"(41-50)yrs",HR_table[[#This Row],[Age]]&lt;=60,"(51-60)yrs")</f>
        <v>(21-30)yrs</v>
      </c>
      <c r="C382" t="s">
        <v>43</v>
      </c>
      <c r="D382" t="s">
        <v>36</v>
      </c>
      <c r="E382" t="s">
        <v>37</v>
      </c>
      <c r="F382" t="s">
        <v>59</v>
      </c>
      <c r="G382" t="s">
        <v>40</v>
      </c>
      <c r="H382">
        <v>507</v>
      </c>
      <c r="I382" s="2">
        <v>10</v>
      </c>
      <c r="J382" s="2">
        <v>4</v>
      </c>
      <c r="K382" t="s">
        <v>39</v>
      </c>
      <c r="L382" s="2">
        <v>2</v>
      </c>
      <c r="M382" s="2">
        <v>3</v>
      </c>
      <c r="N382" t="s">
        <v>52</v>
      </c>
      <c r="O382" s="2">
        <v>4260</v>
      </c>
      <c r="P382" s="2">
        <v>5915</v>
      </c>
      <c r="Q382" s="2">
        <v>1</v>
      </c>
      <c r="R382" t="s">
        <v>35</v>
      </c>
      <c r="S382" s="2">
        <v>3</v>
      </c>
      <c r="T382" s="2">
        <v>4</v>
      </c>
      <c r="U382">
        <v>80</v>
      </c>
      <c r="V382" s="2">
        <v>5</v>
      </c>
      <c r="W382">
        <v>2</v>
      </c>
      <c r="X382">
        <v>4</v>
      </c>
      <c r="Y382">
        <v>5</v>
      </c>
      <c r="Z382">
        <v>2</v>
      </c>
      <c r="AA382">
        <v>0</v>
      </c>
      <c r="AB382">
        <v>3</v>
      </c>
    </row>
    <row r="383" spans="1:28" x14ac:dyDescent="0.35">
      <c r="A383" s="2">
        <v>30</v>
      </c>
      <c r="B383" s="2" t="str" cm="1">
        <f t="array" ref="B383">_xlfn.IFS(HR_table[[#This Row],[Age]]&lt;=20, "Under 20yrs",HR_table[[#This Row],[Age]]&lt;=30,"(21-30)yrs",HR_table[[#This Row],[Age]]&lt;=40,"(31-40)yrs",HR_table[[#This Row],[Age]]&lt;=50,"(41-50)yrs",HR_table[[#This Row],[Age]]&lt;=60,"(51-60)yrs")</f>
        <v>(21-30)yrs</v>
      </c>
      <c r="C383" t="s">
        <v>43</v>
      </c>
      <c r="D383" t="s">
        <v>36</v>
      </c>
      <c r="E383" t="s">
        <v>37</v>
      </c>
      <c r="F383" t="s">
        <v>60</v>
      </c>
      <c r="G383" t="s">
        <v>57</v>
      </c>
      <c r="H383">
        <v>508</v>
      </c>
      <c r="I383" s="2">
        <v>2</v>
      </c>
      <c r="J383" s="2">
        <v>3</v>
      </c>
      <c r="K383" t="s">
        <v>46</v>
      </c>
      <c r="L383" s="2">
        <v>1</v>
      </c>
      <c r="M383" s="2">
        <v>2</v>
      </c>
      <c r="N383" t="s">
        <v>48</v>
      </c>
      <c r="O383" s="2">
        <v>2476</v>
      </c>
      <c r="P383" s="2">
        <v>17434</v>
      </c>
      <c r="Q383" s="2">
        <v>1</v>
      </c>
      <c r="R383" t="s">
        <v>43</v>
      </c>
      <c r="S383" s="2">
        <v>3</v>
      </c>
      <c r="T383" s="2">
        <v>1</v>
      </c>
      <c r="U383">
        <v>80</v>
      </c>
      <c r="V383" s="2">
        <v>1</v>
      </c>
      <c r="W383">
        <v>3</v>
      </c>
      <c r="X383">
        <v>3</v>
      </c>
      <c r="Y383">
        <v>1</v>
      </c>
      <c r="Z383">
        <v>0</v>
      </c>
      <c r="AA383">
        <v>0</v>
      </c>
      <c r="AB383">
        <v>0</v>
      </c>
    </row>
    <row r="384" spans="1:28" x14ac:dyDescent="0.35">
      <c r="A384" s="2">
        <v>26</v>
      </c>
      <c r="B384" s="2" t="str" cm="1">
        <f t="array" ref="B384">_xlfn.IFS(HR_table[[#This Row],[Age]]&lt;=20, "Under 20yrs",HR_table[[#This Row],[Age]]&lt;=30,"(21-30)yrs",HR_table[[#This Row],[Age]]&lt;=40,"(31-40)yrs",HR_table[[#This Row],[Age]]&lt;=50,"(41-50)yrs",HR_table[[#This Row],[Age]]&lt;=60,"(51-60)yrs")</f>
        <v>(21-30)yrs</v>
      </c>
      <c r="C384" t="s">
        <v>35</v>
      </c>
      <c r="D384" t="s">
        <v>44</v>
      </c>
      <c r="E384" t="s">
        <v>45</v>
      </c>
      <c r="F384" t="s">
        <v>60</v>
      </c>
      <c r="G384" t="s">
        <v>47</v>
      </c>
      <c r="H384">
        <v>510</v>
      </c>
      <c r="I384" s="2">
        <v>3</v>
      </c>
      <c r="J384" s="2">
        <v>3</v>
      </c>
      <c r="K384" t="s">
        <v>46</v>
      </c>
      <c r="L384" s="2">
        <v>1</v>
      </c>
      <c r="M384" s="2">
        <v>1</v>
      </c>
      <c r="N384" t="s">
        <v>41</v>
      </c>
      <c r="O384" s="2">
        <v>3102</v>
      </c>
      <c r="P384" s="2">
        <v>6582</v>
      </c>
      <c r="Q384" s="2">
        <v>0</v>
      </c>
      <c r="R384" t="s">
        <v>43</v>
      </c>
      <c r="S384" s="2">
        <v>4</v>
      </c>
      <c r="T384" s="2">
        <v>3</v>
      </c>
      <c r="U384">
        <v>80</v>
      </c>
      <c r="V384" s="2">
        <v>7</v>
      </c>
      <c r="W384">
        <v>2</v>
      </c>
      <c r="X384">
        <v>3</v>
      </c>
      <c r="Y384">
        <v>6</v>
      </c>
      <c r="Z384">
        <v>4</v>
      </c>
      <c r="AA384">
        <v>0</v>
      </c>
      <c r="AB384">
        <v>4</v>
      </c>
    </row>
    <row r="385" spans="1:28" x14ac:dyDescent="0.35">
      <c r="A385" s="2">
        <v>22</v>
      </c>
      <c r="B385" s="2" t="str" cm="1">
        <f t="array" ref="B385">_xlfn.IFS(HR_table[[#This Row],[Age]]&lt;=20, "Under 20yrs",HR_table[[#This Row],[Age]]&lt;=30,"(21-30)yrs",HR_table[[#This Row],[Age]]&lt;=40,"(31-40)yrs",HR_table[[#This Row],[Age]]&lt;=50,"(41-50)yrs",HR_table[[#This Row],[Age]]&lt;=60,"(51-60)yrs")</f>
        <v>(21-30)yrs</v>
      </c>
      <c r="C385" t="s">
        <v>43</v>
      </c>
      <c r="D385" t="s">
        <v>36</v>
      </c>
      <c r="E385" t="s">
        <v>45</v>
      </c>
      <c r="F385" t="s">
        <v>51</v>
      </c>
      <c r="G385" t="s">
        <v>47</v>
      </c>
      <c r="H385">
        <v>511</v>
      </c>
      <c r="I385" s="2">
        <v>11</v>
      </c>
      <c r="J385" s="2">
        <v>1</v>
      </c>
      <c r="K385" t="s">
        <v>39</v>
      </c>
      <c r="L385" s="2">
        <v>1</v>
      </c>
      <c r="M385" s="2">
        <v>2</v>
      </c>
      <c r="N385" t="s">
        <v>48</v>
      </c>
      <c r="O385" s="2">
        <v>2244</v>
      </c>
      <c r="P385" s="2">
        <v>24440</v>
      </c>
      <c r="Q385" s="2">
        <v>1</v>
      </c>
      <c r="R385" t="s">
        <v>43</v>
      </c>
      <c r="S385" s="2">
        <v>3</v>
      </c>
      <c r="T385" s="2">
        <v>4</v>
      </c>
      <c r="U385">
        <v>80</v>
      </c>
      <c r="V385" s="2">
        <v>2</v>
      </c>
      <c r="W385">
        <v>1</v>
      </c>
      <c r="X385">
        <v>3</v>
      </c>
      <c r="Y385">
        <v>2</v>
      </c>
      <c r="Z385">
        <v>1</v>
      </c>
      <c r="AA385">
        <v>1</v>
      </c>
      <c r="AB385">
        <v>2</v>
      </c>
    </row>
    <row r="386" spans="1:28" x14ac:dyDescent="0.35">
      <c r="A386" s="2">
        <v>36</v>
      </c>
      <c r="B386" s="2" t="str" cm="1">
        <f t="array" ref="B386">_xlfn.IFS(HR_table[[#This Row],[Age]]&lt;=20, "Under 20yrs",HR_table[[#This Row],[Age]]&lt;=30,"(21-30)yrs",HR_table[[#This Row],[Age]]&lt;=40,"(31-40)yrs",HR_table[[#This Row],[Age]]&lt;=50,"(41-50)yrs",HR_table[[#This Row],[Age]]&lt;=60,"(51-60)yrs")</f>
        <v>(31-40)yrs</v>
      </c>
      <c r="C386" t="s">
        <v>43</v>
      </c>
      <c r="D386" t="s">
        <v>36</v>
      </c>
      <c r="E386" t="s">
        <v>37</v>
      </c>
      <c r="F386" t="s">
        <v>51</v>
      </c>
      <c r="G386" t="s">
        <v>40</v>
      </c>
      <c r="H386">
        <v>513</v>
      </c>
      <c r="I386" s="2">
        <v>2</v>
      </c>
      <c r="J386" s="2">
        <v>2</v>
      </c>
      <c r="K386" t="s">
        <v>46</v>
      </c>
      <c r="L386" s="2">
        <v>3</v>
      </c>
      <c r="M386" s="2">
        <v>3</v>
      </c>
      <c r="N386" t="s">
        <v>48</v>
      </c>
      <c r="O386" s="2">
        <v>7596</v>
      </c>
      <c r="P386" s="2">
        <v>3809</v>
      </c>
      <c r="Q386" s="2">
        <v>1</v>
      </c>
      <c r="R386" t="s">
        <v>43</v>
      </c>
      <c r="S386" s="2">
        <v>3</v>
      </c>
      <c r="T386" s="2">
        <v>2</v>
      </c>
      <c r="U386">
        <v>80</v>
      </c>
      <c r="V386" s="2">
        <v>10</v>
      </c>
      <c r="W386">
        <v>2</v>
      </c>
      <c r="X386">
        <v>3</v>
      </c>
      <c r="Y386">
        <v>10</v>
      </c>
      <c r="Z386">
        <v>9</v>
      </c>
      <c r="AA386">
        <v>9</v>
      </c>
      <c r="AB386">
        <v>0</v>
      </c>
    </row>
    <row r="387" spans="1:28" x14ac:dyDescent="0.35">
      <c r="A387" s="2">
        <v>30</v>
      </c>
      <c r="B387" s="2" t="str" cm="1">
        <f t="array" ref="B387">_xlfn.IFS(HR_table[[#This Row],[Age]]&lt;=20, "Under 20yrs",HR_table[[#This Row],[Age]]&lt;=30,"(21-30)yrs",HR_table[[#This Row],[Age]]&lt;=40,"(31-40)yrs",HR_table[[#This Row],[Age]]&lt;=50,"(41-50)yrs",HR_table[[#This Row],[Age]]&lt;=60,"(51-60)yrs")</f>
        <v>(21-30)yrs</v>
      </c>
      <c r="C387" t="s">
        <v>35</v>
      </c>
      <c r="D387" t="s">
        <v>44</v>
      </c>
      <c r="E387" t="s">
        <v>45</v>
      </c>
      <c r="F387" t="s">
        <v>60</v>
      </c>
      <c r="G387" t="s">
        <v>47</v>
      </c>
      <c r="H387">
        <v>514</v>
      </c>
      <c r="I387" s="2">
        <v>4</v>
      </c>
      <c r="J387" s="2">
        <v>3</v>
      </c>
      <c r="K387" t="s">
        <v>46</v>
      </c>
      <c r="L387" s="2">
        <v>1</v>
      </c>
      <c r="M387" s="2">
        <v>4</v>
      </c>
      <c r="N387" t="s">
        <v>41</v>
      </c>
      <c r="O387" s="2">
        <v>2285</v>
      </c>
      <c r="P387" s="2">
        <v>3427</v>
      </c>
      <c r="Q387" s="2">
        <v>9</v>
      </c>
      <c r="R387" t="s">
        <v>35</v>
      </c>
      <c r="S387" s="2">
        <v>4</v>
      </c>
      <c r="T387" s="2">
        <v>3</v>
      </c>
      <c r="U387">
        <v>80</v>
      </c>
      <c r="V387" s="2">
        <v>3</v>
      </c>
      <c r="W387">
        <v>4</v>
      </c>
      <c r="X387">
        <v>3</v>
      </c>
      <c r="Y387">
        <v>1</v>
      </c>
      <c r="Z387">
        <v>0</v>
      </c>
      <c r="AA387">
        <v>0</v>
      </c>
      <c r="AB387">
        <v>0</v>
      </c>
    </row>
    <row r="388" spans="1:28" x14ac:dyDescent="0.35">
      <c r="A388" s="2">
        <v>37</v>
      </c>
      <c r="B388" s="2" t="str" cm="1">
        <f t="array" ref="B388">_xlfn.IFS(HR_table[[#This Row],[Age]]&lt;=20, "Under 20yrs",HR_table[[#This Row],[Age]]&lt;=30,"(21-30)yrs",HR_table[[#This Row],[Age]]&lt;=40,"(31-40)yrs",HR_table[[#This Row],[Age]]&lt;=50,"(41-50)yrs",HR_table[[#This Row],[Age]]&lt;=60,"(51-60)yrs")</f>
        <v>(31-40)yrs</v>
      </c>
      <c r="C388" t="s">
        <v>43</v>
      </c>
      <c r="D388" t="s">
        <v>36</v>
      </c>
      <c r="E388" t="s">
        <v>45</v>
      </c>
      <c r="F388" t="s">
        <v>38</v>
      </c>
      <c r="G388" t="s">
        <v>50</v>
      </c>
      <c r="H388">
        <v>515</v>
      </c>
      <c r="I388" s="2">
        <v>14</v>
      </c>
      <c r="J388" s="2">
        <v>4</v>
      </c>
      <c r="K388" t="s">
        <v>39</v>
      </c>
      <c r="L388" s="2">
        <v>1</v>
      </c>
      <c r="M388" s="2">
        <v>1</v>
      </c>
      <c r="N388" t="s">
        <v>52</v>
      </c>
      <c r="O388" s="2">
        <v>3034</v>
      </c>
      <c r="P388" s="2">
        <v>26914</v>
      </c>
      <c r="Q388" s="2">
        <v>1</v>
      </c>
      <c r="R388" t="s">
        <v>43</v>
      </c>
      <c r="S388" s="2">
        <v>3</v>
      </c>
      <c r="T388" s="2">
        <v>3</v>
      </c>
      <c r="U388">
        <v>80</v>
      </c>
      <c r="V388" s="2">
        <v>18</v>
      </c>
      <c r="W388">
        <v>2</v>
      </c>
      <c r="X388">
        <v>2</v>
      </c>
      <c r="Y388">
        <v>18</v>
      </c>
      <c r="Z388">
        <v>7</v>
      </c>
      <c r="AA388">
        <v>12</v>
      </c>
      <c r="AB388">
        <v>17</v>
      </c>
    </row>
    <row r="389" spans="1:28" x14ac:dyDescent="0.35">
      <c r="A389" s="2">
        <v>40</v>
      </c>
      <c r="B389" s="2" t="str" cm="1">
        <f t="array" ref="B389">_xlfn.IFS(HR_table[[#This Row],[Age]]&lt;=20, "Under 20yrs",HR_table[[#This Row],[Age]]&lt;=30,"(21-30)yrs",HR_table[[#This Row],[Age]]&lt;=40,"(31-40)yrs",HR_table[[#This Row],[Age]]&lt;=50,"(41-50)yrs",HR_table[[#This Row],[Age]]&lt;=60,"(51-60)yrs")</f>
        <v>(31-40)yrs</v>
      </c>
      <c r="C389" t="s">
        <v>43</v>
      </c>
      <c r="D389" t="s">
        <v>36</v>
      </c>
      <c r="E389" t="s">
        <v>37</v>
      </c>
      <c r="F389" t="s">
        <v>59</v>
      </c>
      <c r="G389" t="s">
        <v>40</v>
      </c>
      <c r="H389">
        <v>516</v>
      </c>
      <c r="I389" s="2">
        <v>2</v>
      </c>
      <c r="J389" s="2">
        <v>4</v>
      </c>
      <c r="K389" t="s">
        <v>39</v>
      </c>
      <c r="L389" s="2">
        <v>2</v>
      </c>
      <c r="M389" s="2">
        <v>2</v>
      </c>
      <c r="N389" t="s">
        <v>52</v>
      </c>
      <c r="O389" s="2">
        <v>5715</v>
      </c>
      <c r="P389" s="2">
        <v>22553</v>
      </c>
      <c r="Q389" s="2">
        <v>7</v>
      </c>
      <c r="R389" t="s">
        <v>43</v>
      </c>
      <c r="S389" s="2">
        <v>3</v>
      </c>
      <c r="T389" s="2">
        <v>3</v>
      </c>
      <c r="U389">
        <v>80</v>
      </c>
      <c r="V389" s="2">
        <v>8</v>
      </c>
      <c r="W389">
        <v>5</v>
      </c>
      <c r="X389">
        <v>3</v>
      </c>
      <c r="Y389">
        <v>5</v>
      </c>
      <c r="Z389">
        <v>4</v>
      </c>
      <c r="AA389">
        <v>1</v>
      </c>
      <c r="AB389">
        <v>3</v>
      </c>
    </row>
    <row r="390" spans="1:28" x14ac:dyDescent="0.35">
      <c r="A390" s="2">
        <v>42</v>
      </c>
      <c r="B390" s="2" t="str" cm="1">
        <f t="array" ref="B390">_xlfn.IFS(HR_table[[#This Row],[Age]]&lt;=20, "Under 20yrs",HR_table[[#This Row],[Age]]&lt;=30,"(21-30)yrs",HR_table[[#This Row],[Age]]&lt;=40,"(31-40)yrs",HR_table[[#This Row],[Age]]&lt;=50,"(41-50)yrs",HR_table[[#This Row],[Age]]&lt;=60,"(51-60)yrs")</f>
        <v>(41-50)yrs</v>
      </c>
      <c r="C390" t="s">
        <v>43</v>
      </c>
      <c r="D390" t="s">
        <v>36</v>
      </c>
      <c r="E390" t="s">
        <v>45</v>
      </c>
      <c r="F390" t="s">
        <v>38</v>
      </c>
      <c r="G390" t="s">
        <v>50</v>
      </c>
      <c r="H390">
        <v>517</v>
      </c>
      <c r="I390" s="2">
        <v>1</v>
      </c>
      <c r="J390" s="2">
        <v>2</v>
      </c>
      <c r="K390" t="s">
        <v>39</v>
      </c>
      <c r="L390" s="2">
        <v>1</v>
      </c>
      <c r="M390" s="2">
        <v>1</v>
      </c>
      <c r="N390" t="s">
        <v>52</v>
      </c>
      <c r="O390" s="2">
        <v>2576</v>
      </c>
      <c r="P390" s="2">
        <v>20490</v>
      </c>
      <c r="Q390" s="2">
        <v>3</v>
      </c>
      <c r="R390" t="s">
        <v>43</v>
      </c>
      <c r="S390" s="2">
        <v>3</v>
      </c>
      <c r="T390" s="2">
        <v>2</v>
      </c>
      <c r="U390">
        <v>80</v>
      </c>
      <c r="V390" s="2">
        <v>8</v>
      </c>
      <c r="W390">
        <v>5</v>
      </c>
      <c r="X390">
        <v>3</v>
      </c>
      <c r="Y390">
        <v>5</v>
      </c>
      <c r="Z390">
        <v>2</v>
      </c>
      <c r="AA390">
        <v>1</v>
      </c>
      <c r="AB390">
        <v>2</v>
      </c>
    </row>
    <row r="391" spans="1:28" x14ac:dyDescent="0.35">
      <c r="A391" s="2">
        <v>37</v>
      </c>
      <c r="B391" s="2" t="str" cm="1">
        <f t="array" ref="B391">_xlfn.IFS(HR_table[[#This Row],[Age]]&lt;=20, "Under 20yrs",HR_table[[#This Row],[Age]]&lt;=30,"(21-30)yrs",HR_table[[#This Row],[Age]]&lt;=40,"(31-40)yrs",HR_table[[#This Row],[Age]]&lt;=50,"(41-50)yrs",HR_table[[#This Row],[Age]]&lt;=60,"(51-60)yrs")</f>
        <v>(31-40)yrs</v>
      </c>
      <c r="C391" t="s">
        <v>43</v>
      </c>
      <c r="D391" t="s">
        <v>36</v>
      </c>
      <c r="E391" t="s">
        <v>45</v>
      </c>
      <c r="F391" t="s">
        <v>38</v>
      </c>
      <c r="G391" t="s">
        <v>53</v>
      </c>
      <c r="H391">
        <v>518</v>
      </c>
      <c r="I391" s="2">
        <v>10</v>
      </c>
      <c r="J391" s="2">
        <v>3</v>
      </c>
      <c r="K391" t="s">
        <v>46</v>
      </c>
      <c r="L391" s="2">
        <v>2</v>
      </c>
      <c r="M391" s="2">
        <v>2</v>
      </c>
      <c r="N391" t="s">
        <v>41</v>
      </c>
      <c r="O391" s="2">
        <v>4197</v>
      </c>
      <c r="P391" s="2">
        <v>21123</v>
      </c>
      <c r="Q391" s="2">
        <v>2</v>
      </c>
      <c r="R391" t="s">
        <v>35</v>
      </c>
      <c r="S391" s="2">
        <v>3</v>
      </c>
      <c r="T391" s="2">
        <v>4</v>
      </c>
      <c r="U391">
        <v>80</v>
      </c>
      <c r="V391" s="2">
        <v>18</v>
      </c>
      <c r="W391">
        <v>2</v>
      </c>
      <c r="X391">
        <v>2</v>
      </c>
      <c r="Y391">
        <v>1</v>
      </c>
      <c r="Z391">
        <v>0</v>
      </c>
      <c r="AA391">
        <v>0</v>
      </c>
      <c r="AB391">
        <v>1</v>
      </c>
    </row>
    <row r="392" spans="1:28" x14ac:dyDescent="0.35">
      <c r="A392" s="2">
        <v>43</v>
      </c>
      <c r="B392" s="2" t="str" cm="1">
        <f t="array" ref="B392">_xlfn.IFS(HR_table[[#This Row],[Age]]&lt;=20, "Under 20yrs",HR_table[[#This Row],[Age]]&lt;=30,"(21-30)yrs",HR_table[[#This Row],[Age]]&lt;=40,"(31-40)yrs",HR_table[[#This Row],[Age]]&lt;=50,"(41-50)yrs",HR_table[[#This Row],[Age]]&lt;=60,"(51-60)yrs")</f>
        <v>(41-50)yrs</v>
      </c>
      <c r="C392" t="s">
        <v>43</v>
      </c>
      <c r="D392" t="s">
        <v>36</v>
      </c>
      <c r="E392" t="s">
        <v>45</v>
      </c>
      <c r="F392" t="s">
        <v>38</v>
      </c>
      <c r="G392" t="s">
        <v>58</v>
      </c>
      <c r="H392">
        <v>520</v>
      </c>
      <c r="I392" s="2">
        <v>12</v>
      </c>
      <c r="J392" s="2">
        <v>1</v>
      </c>
      <c r="K392" t="s">
        <v>46</v>
      </c>
      <c r="L392" s="2">
        <v>4</v>
      </c>
      <c r="M392" s="2">
        <v>2</v>
      </c>
      <c r="N392" t="s">
        <v>52</v>
      </c>
      <c r="O392" s="2">
        <v>14336</v>
      </c>
      <c r="P392" s="2">
        <v>4345</v>
      </c>
      <c r="Q392" s="2">
        <v>1</v>
      </c>
      <c r="R392" t="s">
        <v>43</v>
      </c>
      <c r="S392" s="2">
        <v>3</v>
      </c>
      <c r="T392" s="2">
        <v>3</v>
      </c>
      <c r="U392">
        <v>80</v>
      </c>
      <c r="V392" s="2">
        <v>25</v>
      </c>
      <c r="W392">
        <v>3</v>
      </c>
      <c r="X392">
        <v>3</v>
      </c>
      <c r="Y392">
        <v>25</v>
      </c>
      <c r="Z392">
        <v>10</v>
      </c>
      <c r="AA392">
        <v>3</v>
      </c>
      <c r="AB392">
        <v>9</v>
      </c>
    </row>
    <row r="393" spans="1:28" x14ac:dyDescent="0.35">
      <c r="A393" s="2">
        <v>40</v>
      </c>
      <c r="B393" s="2" t="str" cm="1">
        <f t="array" ref="B393">_xlfn.IFS(HR_table[[#This Row],[Age]]&lt;=20, "Under 20yrs",HR_table[[#This Row],[Age]]&lt;=30,"(21-30)yrs",HR_table[[#This Row],[Age]]&lt;=40,"(31-40)yrs",HR_table[[#This Row],[Age]]&lt;=50,"(41-50)yrs",HR_table[[#This Row],[Age]]&lt;=60,"(51-60)yrs")</f>
        <v>(31-40)yrs</v>
      </c>
      <c r="C393" t="s">
        <v>43</v>
      </c>
      <c r="D393" t="s">
        <v>36</v>
      </c>
      <c r="E393" t="s">
        <v>45</v>
      </c>
      <c r="F393" t="s">
        <v>51</v>
      </c>
      <c r="G393" t="s">
        <v>50</v>
      </c>
      <c r="H393">
        <v>521</v>
      </c>
      <c r="I393" s="2">
        <v>2</v>
      </c>
      <c r="J393" s="2">
        <v>2</v>
      </c>
      <c r="K393" t="s">
        <v>39</v>
      </c>
      <c r="L393" s="2">
        <v>2</v>
      </c>
      <c r="M393" s="2">
        <v>3</v>
      </c>
      <c r="N393" t="s">
        <v>48</v>
      </c>
      <c r="O393" s="2">
        <v>3448</v>
      </c>
      <c r="P393" s="2">
        <v>13436</v>
      </c>
      <c r="Q393" s="2">
        <v>6</v>
      </c>
      <c r="R393" t="s">
        <v>43</v>
      </c>
      <c r="S393" s="2">
        <v>4</v>
      </c>
      <c r="T393" s="2">
        <v>2</v>
      </c>
      <c r="U393">
        <v>80</v>
      </c>
      <c r="V393" s="2">
        <v>20</v>
      </c>
      <c r="W393">
        <v>3</v>
      </c>
      <c r="X393">
        <v>3</v>
      </c>
      <c r="Y393">
        <v>1</v>
      </c>
      <c r="Z393">
        <v>0</v>
      </c>
      <c r="AA393">
        <v>0</v>
      </c>
      <c r="AB393">
        <v>0</v>
      </c>
    </row>
    <row r="394" spans="1:28" x14ac:dyDescent="0.35">
      <c r="A394" s="2">
        <v>54</v>
      </c>
      <c r="B394" s="2" t="str" cm="1">
        <f t="array" ref="B394">_xlfn.IFS(HR_table[[#This Row],[Age]]&lt;=20, "Under 20yrs",HR_table[[#This Row],[Age]]&lt;=30,"(21-30)yrs",HR_table[[#This Row],[Age]]&lt;=40,"(31-40)yrs",HR_table[[#This Row],[Age]]&lt;=50,"(41-50)yrs",HR_table[[#This Row],[Age]]&lt;=60,"(51-60)yrs")</f>
        <v>(51-60)yrs</v>
      </c>
      <c r="C394" t="s">
        <v>43</v>
      </c>
      <c r="D394" t="s">
        <v>36</v>
      </c>
      <c r="E394" t="s">
        <v>45</v>
      </c>
      <c r="F394" t="s">
        <v>51</v>
      </c>
      <c r="G394" t="s">
        <v>58</v>
      </c>
      <c r="H394">
        <v>522</v>
      </c>
      <c r="I394" s="2">
        <v>5</v>
      </c>
      <c r="J394" s="2">
        <v>1</v>
      </c>
      <c r="K394" t="s">
        <v>46</v>
      </c>
      <c r="L394" s="2">
        <v>5</v>
      </c>
      <c r="M394" s="2">
        <v>1</v>
      </c>
      <c r="N394" t="s">
        <v>48</v>
      </c>
      <c r="O394" s="2">
        <v>19406</v>
      </c>
      <c r="P394" s="2">
        <v>8509</v>
      </c>
      <c r="Q394" s="2">
        <v>4</v>
      </c>
      <c r="R394" t="s">
        <v>43</v>
      </c>
      <c r="S394" s="2">
        <v>3</v>
      </c>
      <c r="T394" s="2">
        <v>3</v>
      </c>
      <c r="U394">
        <v>80</v>
      </c>
      <c r="V394" s="2">
        <v>24</v>
      </c>
      <c r="W394">
        <v>4</v>
      </c>
      <c r="X394">
        <v>2</v>
      </c>
      <c r="Y394">
        <v>4</v>
      </c>
      <c r="Z394">
        <v>2</v>
      </c>
      <c r="AA394">
        <v>1</v>
      </c>
      <c r="AB394">
        <v>2</v>
      </c>
    </row>
    <row r="395" spans="1:28" x14ac:dyDescent="0.35">
      <c r="A395" s="2">
        <v>34</v>
      </c>
      <c r="B395" s="2" t="str" cm="1">
        <f t="array" ref="B395">_xlfn.IFS(HR_table[[#This Row],[Age]]&lt;=20, "Under 20yrs",HR_table[[#This Row],[Age]]&lt;=30,"(21-30)yrs",HR_table[[#This Row],[Age]]&lt;=40,"(31-40)yrs",HR_table[[#This Row],[Age]]&lt;=50,"(41-50)yrs",HR_table[[#This Row],[Age]]&lt;=60,"(51-60)yrs")</f>
        <v>(31-40)yrs</v>
      </c>
      <c r="C395" t="s">
        <v>43</v>
      </c>
      <c r="D395" t="s">
        <v>55</v>
      </c>
      <c r="E395" t="s">
        <v>37</v>
      </c>
      <c r="F395" t="s">
        <v>59</v>
      </c>
      <c r="G395" t="s">
        <v>40</v>
      </c>
      <c r="H395">
        <v>523</v>
      </c>
      <c r="I395" s="2">
        <v>4</v>
      </c>
      <c r="J395" s="2">
        <v>3</v>
      </c>
      <c r="K395" t="s">
        <v>39</v>
      </c>
      <c r="L395" s="2">
        <v>2</v>
      </c>
      <c r="M395" s="2">
        <v>3</v>
      </c>
      <c r="N395" t="s">
        <v>48</v>
      </c>
      <c r="O395" s="2">
        <v>6538</v>
      </c>
      <c r="P395" s="2">
        <v>12740</v>
      </c>
      <c r="Q395" s="2">
        <v>9</v>
      </c>
      <c r="R395" t="s">
        <v>43</v>
      </c>
      <c r="S395" s="2">
        <v>3</v>
      </c>
      <c r="T395" s="2">
        <v>1</v>
      </c>
      <c r="U395">
        <v>80</v>
      </c>
      <c r="V395" s="2">
        <v>6</v>
      </c>
      <c r="W395">
        <v>3</v>
      </c>
      <c r="X395">
        <v>3</v>
      </c>
      <c r="Y395">
        <v>3</v>
      </c>
      <c r="Z395">
        <v>2</v>
      </c>
      <c r="AA395">
        <v>1</v>
      </c>
      <c r="AB395">
        <v>2</v>
      </c>
    </row>
    <row r="396" spans="1:28" x14ac:dyDescent="0.35">
      <c r="A396" s="2">
        <v>31</v>
      </c>
      <c r="B396" s="2" t="str" cm="1">
        <f t="array" ref="B396">_xlfn.IFS(HR_table[[#This Row],[Age]]&lt;=20, "Under 20yrs",HR_table[[#This Row],[Age]]&lt;=30,"(21-30)yrs",HR_table[[#This Row],[Age]]&lt;=40,"(31-40)yrs",HR_table[[#This Row],[Age]]&lt;=50,"(41-50)yrs",HR_table[[#This Row],[Age]]&lt;=60,"(51-60)yrs")</f>
        <v>(31-40)yrs</v>
      </c>
      <c r="C396" t="s">
        <v>43</v>
      </c>
      <c r="D396" t="s">
        <v>36</v>
      </c>
      <c r="E396" t="s">
        <v>45</v>
      </c>
      <c r="F396" t="s">
        <v>51</v>
      </c>
      <c r="G396" t="s">
        <v>53</v>
      </c>
      <c r="H396">
        <v>524</v>
      </c>
      <c r="I396" s="2">
        <v>7</v>
      </c>
      <c r="J396" s="2">
        <v>2</v>
      </c>
      <c r="K396" t="s">
        <v>39</v>
      </c>
      <c r="L396" s="2">
        <v>2</v>
      </c>
      <c r="M396" s="2">
        <v>1</v>
      </c>
      <c r="N396" t="s">
        <v>48</v>
      </c>
      <c r="O396" s="2">
        <v>4306</v>
      </c>
      <c r="P396" s="2">
        <v>4156</v>
      </c>
      <c r="Q396" s="2">
        <v>1</v>
      </c>
      <c r="R396" t="s">
        <v>43</v>
      </c>
      <c r="S396" s="2">
        <v>3</v>
      </c>
      <c r="T396" s="2">
        <v>2</v>
      </c>
      <c r="U396">
        <v>80</v>
      </c>
      <c r="V396" s="2">
        <v>13</v>
      </c>
      <c r="W396">
        <v>5</v>
      </c>
      <c r="X396">
        <v>1</v>
      </c>
      <c r="Y396">
        <v>13</v>
      </c>
      <c r="Z396">
        <v>10</v>
      </c>
      <c r="AA396">
        <v>3</v>
      </c>
      <c r="AB396">
        <v>12</v>
      </c>
    </row>
    <row r="397" spans="1:28" x14ac:dyDescent="0.35">
      <c r="A397" s="2">
        <v>43</v>
      </c>
      <c r="B397" s="2" t="str" cm="1">
        <f t="array" ref="B397">_xlfn.IFS(HR_table[[#This Row],[Age]]&lt;=20, "Under 20yrs",HR_table[[#This Row],[Age]]&lt;=30,"(21-30)yrs",HR_table[[#This Row],[Age]]&lt;=40,"(31-40)yrs",HR_table[[#This Row],[Age]]&lt;=50,"(41-50)yrs",HR_table[[#This Row],[Age]]&lt;=60,"(51-60)yrs")</f>
        <v>(41-50)yrs</v>
      </c>
      <c r="C397" t="s">
        <v>43</v>
      </c>
      <c r="D397" t="s">
        <v>44</v>
      </c>
      <c r="E397" t="s">
        <v>45</v>
      </c>
      <c r="F397" t="s">
        <v>51</v>
      </c>
      <c r="G397" t="s">
        <v>50</v>
      </c>
      <c r="H397">
        <v>525</v>
      </c>
      <c r="I397" s="2">
        <v>21</v>
      </c>
      <c r="J397" s="2">
        <v>4</v>
      </c>
      <c r="K397" t="s">
        <v>46</v>
      </c>
      <c r="L397" s="2">
        <v>1</v>
      </c>
      <c r="M397" s="2">
        <v>4</v>
      </c>
      <c r="N397" t="s">
        <v>48</v>
      </c>
      <c r="O397" s="2">
        <v>2258</v>
      </c>
      <c r="P397" s="2">
        <v>15238</v>
      </c>
      <c r="Q397" s="2">
        <v>7</v>
      </c>
      <c r="R397" t="s">
        <v>43</v>
      </c>
      <c r="S397" s="2">
        <v>4</v>
      </c>
      <c r="T397" s="2">
        <v>1</v>
      </c>
      <c r="U397">
        <v>80</v>
      </c>
      <c r="V397" s="2">
        <v>8</v>
      </c>
      <c r="W397">
        <v>1</v>
      </c>
      <c r="X397">
        <v>3</v>
      </c>
      <c r="Y397">
        <v>3</v>
      </c>
      <c r="Z397">
        <v>2</v>
      </c>
      <c r="AA397">
        <v>1</v>
      </c>
      <c r="AB397">
        <v>2</v>
      </c>
    </row>
    <row r="398" spans="1:28" x14ac:dyDescent="0.35">
      <c r="A398" s="2">
        <v>43</v>
      </c>
      <c r="B398" s="2" t="str" cm="1">
        <f t="array" ref="B398">_xlfn.IFS(HR_table[[#This Row],[Age]]&lt;=20, "Under 20yrs",HR_table[[#This Row],[Age]]&lt;=30,"(21-30)yrs",HR_table[[#This Row],[Age]]&lt;=40,"(31-40)yrs",HR_table[[#This Row],[Age]]&lt;=50,"(41-50)yrs",HR_table[[#This Row],[Age]]&lt;=60,"(51-60)yrs")</f>
        <v>(41-50)yrs</v>
      </c>
      <c r="C398" t="s">
        <v>43</v>
      </c>
      <c r="D398" t="s">
        <v>36</v>
      </c>
      <c r="E398" t="s">
        <v>45</v>
      </c>
      <c r="F398" t="s">
        <v>49</v>
      </c>
      <c r="G398" t="s">
        <v>54</v>
      </c>
      <c r="H398">
        <v>526</v>
      </c>
      <c r="I398" s="2">
        <v>8</v>
      </c>
      <c r="J398" s="2">
        <v>3</v>
      </c>
      <c r="K398" t="s">
        <v>39</v>
      </c>
      <c r="L398" s="2">
        <v>2</v>
      </c>
      <c r="M398" s="2">
        <v>3</v>
      </c>
      <c r="N398" t="s">
        <v>52</v>
      </c>
      <c r="O398" s="2">
        <v>4522</v>
      </c>
      <c r="P398" s="2">
        <v>2227</v>
      </c>
      <c r="Q398" s="2">
        <v>4</v>
      </c>
      <c r="R398" t="s">
        <v>35</v>
      </c>
      <c r="S398" s="2">
        <v>3</v>
      </c>
      <c r="T398" s="2">
        <v>4</v>
      </c>
      <c r="U398">
        <v>80</v>
      </c>
      <c r="V398" s="2">
        <v>8</v>
      </c>
      <c r="W398">
        <v>3</v>
      </c>
      <c r="X398">
        <v>3</v>
      </c>
      <c r="Y398">
        <v>5</v>
      </c>
      <c r="Z398">
        <v>2</v>
      </c>
      <c r="AA398">
        <v>0</v>
      </c>
      <c r="AB398">
        <v>2</v>
      </c>
    </row>
    <row r="399" spans="1:28" x14ac:dyDescent="0.35">
      <c r="A399" s="2">
        <v>25</v>
      </c>
      <c r="B399" s="2" t="str" cm="1">
        <f t="array" ref="B399">_xlfn.IFS(HR_table[[#This Row],[Age]]&lt;=20, "Under 20yrs",HR_table[[#This Row],[Age]]&lt;=30,"(21-30)yrs",HR_table[[#This Row],[Age]]&lt;=40,"(31-40)yrs",HR_table[[#This Row],[Age]]&lt;=50,"(41-50)yrs",HR_table[[#This Row],[Age]]&lt;=60,"(51-60)yrs")</f>
        <v>(21-30)yrs</v>
      </c>
      <c r="C399" t="s">
        <v>43</v>
      </c>
      <c r="D399" t="s">
        <v>36</v>
      </c>
      <c r="E399" t="s">
        <v>37</v>
      </c>
      <c r="F399" t="s">
        <v>38</v>
      </c>
      <c r="G399" t="s">
        <v>40</v>
      </c>
      <c r="H399">
        <v>527</v>
      </c>
      <c r="I399" s="2">
        <v>4</v>
      </c>
      <c r="J399" s="2">
        <v>2</v>
      </c>
      <c r="K399" t="s">
        <v>39</v>
      </c>
      <c r="L399" s="2">
        <v>2</v>
      </c>
      <c r="M399" s="2">
        <v>4</v>
      </c>
      <c r="N399" t="s">
        <v>41</v>
      </c>
      <c r="O399" s="2">
        <v>4487</v>
      </c>
      <c r="P399" s="2">
        <v>12090</v>
      </c>
      <c r="Q399" s="2">
        <v>1</v>
      </c>
      <c r="R399" t="s">
        <v>35</v>
      </c>
      <c r="S399" s="2">
        <v>3</v>
      </c>
      <c r="T399" s="2">
        <v>2</v>
      </c>
      <c r="U399">
        <v>80</v>
      </c>
      <c r="V399" s="2">
        <v>5</v>
      </c>
      <c r="W399">
        <v>3</v>
      </c>
      <c r="X399">
        <v>3</v>
      </c>
      <c r="Y399">
        <v>5</v>
      </c>
      <c r="Z399">
        <v>4</v>
      </c>
      <c r="AA399">
        <v>1</v>
      </c>
      <c r="AB399">
        <v>3</v>
      </c>
    </row>
    <row r="400" spans="1:28" x14ac:dyDescent="0.35">
      <c r="A400" s="2">
        <v>37</v>
      </c>
      <c r="B400" s="2" t="str" cm="1">
        <f t="array" ref="B400">_xlfn.IFS(HR_table[[#This Row],[Age]]&lt;=20, "Under 20yrs",HR_table[[#This Row],[Age]]&lt;=30,"(21-30)yrs",HR_table[[#This Row],[Age]]&lt;=40,"(31-40)yrs",HR_table[[#This Row],[Age]]&lt;=50,"(41-50)yrs",HR_table[[#This Row],[Age]]&lt;=60,"(51-60)yrs")</f>
        <v>(31-40)yrs</v>
      </c>
      <c r="C400" t="s">
        <v>43</v>
      </c>
      <c r="D400" t="s">
        <v>55</v>
      </c>
      <c r="E400" t="s">
        <v>45</v>
      </c>
      <c r="F400" t="s">
        <v>51</v>
      </c>
      <c r="G400" t="s">
        <v>47</v>
      </c>
      <c r="H400">
        <v>529</v>
      </c>
      <c r="I400" s="2">
        <v>25</v>
      </c>
      <c r="J400" s="2">
        <v>2</v>
      </c>
      <c r="K400" t="s">
        <v>39</v>
      </c>
      <c r="L400" s="2">
        <v>2</v>
      </c>
      <c r="M400" s="2">
        <v>3</v>
      </c>
      <c r="N400" t="s">
        <v>48</v>
      </c>
      <c r="O400" s="2">
        <v>4449</v>
      </c>
      <c r="P400" s="2">
        <v>23866</v>
      </c>
      <c r="Q400" s="2">
        <v>3</v>
      </c>
      <c r="R400" t="s">
        <v>35</v>
      </c>
      <c r="S400" s="2">
        <v>3</v>
      </c>
      <c r="T400" s="2">
        <v>1</v>
      </c>
      <c r="U400">
        <v>80</v>
      </c>
      <c r="V400" s="2">
        <v>15</v>
      </c>
      <c r="W400">
        <v>2</v>
      </c>
      <c r="X400">
        <v>3</v>
      </c>
      <c r="Y400">
        <v>13</v>
      </c>
      <c r="Z400">
        <v>11</v>
      </c>
      <c r="AA400">
        <v>10</v>
      </c>
      <c r="AB400">
        <v>7</v>
      </c>
    </row>
    <row r="401" spans="1:28" x14ac:dyDescent="0.35">
      <c r="A401" s="2">
        <v>31</v>
      </c>
      <c r="B401" s="2" t="str" cm="1">
        <f t="array" ref="B401">_xlfn.IFS(HR_table[[#This Row],[Age]]&lt;=20, "Under 20yrs",HR_table[[#This Row],[Age]]&lt;=30,"(21-30)yrs",HR_table[[#This Row],[Age]]&lt;=40,"(31-40)yrs",HR_table[[#This Row],[Age]]&lt;=50,"(41-50)yrs",HR_table[[#This Row],[Age]]&lt;=60,"(51-60)yrs")</f>
        <v>(31-40)yrs</v>
      </c>
      <c r="C401" t="s">
        <v>43</v>
      </c>
      <c r="D401" t="s">
        <v>36</v>
      </c>
      <c r="E401" t="s">
        <v>45</v>
      </c>
      <c r="F401" t="s">
        <v>38</v>
      </c>
      <c r="G401" t="s">
        <v>50</v>
      </c>
      <c r="H401">
        <v>530</v>
      </c>
      <c r="I401" s="2">
        <v>1</v>
      </c>
      <c r="J401" s="2">
        <v>4</v>
      </c>
      <c r="K401" t="s">
        <v>46</v>
      </c>
      <c r="L401" s="2">
        <v>1</v>
      </c>
      <c r="M401" s="2">
        <v>1</v>
      </c>
      <c r="N401" t="s">
        <v>48</v>
      </c>
      <c r="O401" s="2">
        <v>2218</v>
      </c>
      <c r="P401" s="2">
        <v>16193</v>
      </c>
      <c r="Q401" s="2">
        <v>1</v>
      </c>
      <c r="R401" t="s">
        <v>43</v>
      </c>
      <c r="S401" s="2">
        <v>3</v>
      </c>
      <c r="T401" s="2">
        <v>3</v>
      </c>
      <c r="U401">
        <v>80</v>
      </c>
      <c r="V401" s="2">
        <v>4</v>
      </c>
      <c r="W401">
        <v>3</v>
      </c>
      <c r="X401">
        <v>3</v>
      </c>
      <c r="Y401">
        <v>4</v>
      </c>
      <c r="Z401">
        <v>2</v>
      </c>
      <c r="AA401">
        <v>3</v>
      </c>
      <c r="AB401">
        <v>2</v>
      </c>
    </row>
    <row r="402" spans="1:28" x14ac:dyDescent="0.35">
      <c r="A402" s="2">
        <v>39</v>
      </c>
      <c r="B402" s="2" t="str" cm="1">
        <f t="array" ref="B402">_xlfn.IFS(HR_table[[#This Row],[Age]]&lt;=20, "Under 20yrs",HR_table[[#This Row],[Age]]&lt;=30,"(21-30)yrs",HR_table[[#This Row],[Age]]&lt;=40,"(31-40)yrs",HR_table[[#This Row],[Age]]&lt;=50,"(41-50)yrs",HR_table[[#This Row],[Age]]&lt;=60,"(51-60)yrs")</f>
        <v>(31-40)yrs</v>
      </c>
      <c r="C402" t="s">
        <v>43</v>
      </c>
      <c r="D402" t="s">
        <v>44</v>
      </c>
      <c r="E402" t="s">
        <v>45</v>
      </c>
      <c r="F402" t="s">
        <v>38</v>
      </c>
      <c r="G402" t="s">
        <v>56</v>
      </c>
      <c r="H402">
        <v>531</v>
      </c>
      <c r="I402" s="2">
        <v>1</v>
      </c>
      <c r="J402" s="2">
        <v>2</v>
      </c>
      <c r="K402" t="s">
        <v>46</v>
      </c>
      <c r="L402" s="2">
        <v>5</v>
      </c>
      <c r="M402" s="2">
        <v>3</v>
      </c>
      <c r="N402" t="s">
        <v>52</v>
      </c>
      <c r="O402" s="2">
        <v>19197</v>
      </c>
      <c r="P402" s="2">
        <v>8213</v>
      </c>
      <c r="Q402" s="2">
        <v>1</v>
      </c>
      <c r="R402" t="s">
        <v>35</v>
      </c>
      <c r="S402" s="2">
        <v>3</v>
      </c>
      <c r="T402" s="2">
        <v>3</v>
      </c>
      <c r="U402">
        <v>80</v>
      </c>
      <c r="V402" s="2">
        <v>21</v>
      </c>
      <c r="W402">
        <v>3</v>
      </c>
      <c r="X402">
        <v>3</v>
      </c>
      <c r="Y402">
        <v>21</v>
      </c>
      <c r="Z402">
        <v>8</v>
      </c>
      <c r="AA402">
        <v>1</v>
      </c>
      <c r="AB402">
        <v>6</v>
      </c>
    </row>
    <row r="403" spans="1:28" x14ac:dyDescent="0.35">
      <c r="A403" s="2">
        <v>56</v>
      </c>
      <c r="B403" s="2" t="str" cm="1">
        <f t="array" ref="B403">_xlfn.IFS(HR_table[[#This Row],[Age]]&lt;=20, "Under 20yrs",HR_table[[#This Row],[Age]]&lt;=30,"(21-30)yrs",HR_table[[#This Row],[Age]]&lt;=40,"(31-40)yrs",HR_table[[#This Row],[Age]]&lt;=50,"(41-50)yrs",HR_table[[#This Row],[Age]]&lt;=60,"(51-60)yrs")</f>
        <v>(51-60)yrs</v>
      </c>
      <c r="C403" t="s">
        <v>43</v>
      </c>
      <c r="D403" t="s">
        <v>44</v>
      </c>
      <c r="E403" t="s">
        <v>37</v>
      </c>
      <c r="F403" t="s">
        <v>38</v>
      </c>
      <c r="G403" t="s">
        <v>40</v>
      </c>
      <c r="H403">
        <v>532</v>
      </c>
      <c r="I403" s="2">
        <v>6</v>
      </c>
      <c r="J403" s="2">
        <v>3</v>
      </c>
      <c r="K403" t="s">
        <v>39</v>
      </c>
      <c r="L403" s="2">
        <v>4</v>
      </c>
      <c r="M403" s="2">
        <v>1</v>
      </c>
      <c r="N403" t="s">
        <v>48</v>
      </c>
      <c r="O403" s="2">
        <v>13212</v>
      </c>
      <c r="P403" s="2">
        <v>18256</v>
      </c>
      <c r="Q403" s="2">
        <v>9</v>
      </c>
      <c r="R403" t="s">
        <v>43</v>
      </c>
      <c r="S403" s="2">
        <v>3</v>
      </c>
      <c r="T403" s="2">
        <v>4</v>
      </c>
      <c r="U403">
        <v>80</v>
      </c>
      <c r="V403" s="2">
        <v>36</v>
      </c>
      <c r="W403">
        <v>0</v>
      </c>
      <c r="X403">
        <v>2</v>
      </c>
      <c r="Y403">
        <v>7</v>
      </c>
      <c r="Z403">
        <v>7</v>
      </c>
      <c r="AA403">
        <v>7</v>
      </c>
      <c r="AB403">
        <v>7</v>
      </c>
    </row>
    <row r="404" spans="1:28" x14ac:dyDescent="0.35">
      <c r="A404" s="2">
        <v>30</v>
      </c>
      <c r="B404" s="2" t="str" cm="1">
        <f t="array" ref="B404">_xlfn.IFS(HR_table[[#This Row],[Age]]&lt;=20, "Under 20yrs",HR_table[[#This Row],[Age]]&lt;=30,"(21-30)yrs",HR_table[[#This Row],[Age]]&lt;=40,"(31-40)yrs",HR_table[[#This Row],[Age]]&lt;=50,"(41-50)yrs",HR_table[[#This Row],[Age]]&lt;=60,"(51-60)yrs")</f>
        <v>(21-30)yrs</v>
      </c>
      <c r="C404" t="s">
        <v>43</v>
      </c>
      <c r="D404" t="s">
        <v>36</v>
      </c>
      <c r="E404" t="s">
        <v>37</v>
      </c>
      <c r="F404" t="s">
        <v>60</v>
      </c>
      <c r="G404" t="s">
        <v>40</v>
      </c>
      <c r="H404">
        <v>533</v>
      </c>
      <c r="I404" s="2">
        <v>12</v>
      </c>
      <c r="J404" s="2">
        <v>2</v>
      </c>
      <c r="K404" t="s">
        <v>39</v>
      </c>
      <c r="L404" s="2">
        <v>2</v>
      </c>
      <c r="M404" s="2">
        <v>3</v>
      </c>
      <c r="N404" t="s">
        <v>41</v>
      </c>
      <c r="O404" s="2">
        <v>6577</v>
      </c>
      <c r="P404" s="2">
        <v>19558</v>
      </c>
      <c r="Q404" s="2">
        <v>0</v>
      </c>
      <c r="R404" t="s">
        <v>43</v>
      </c>
      <c r="S404" s="2">
        <v>3</v>
      </c>
      <c r="T404" s="2">
        <v>2</v>
      </c>
      <c r="U404">
        <v>80</v>
      </c>
      <c r="V404" s="2">
        <v>6</v>
      </c>
      <c r="W404">
        <v>6</v>
      </c>
      <c r="X404">
        <v>3</v>
      </c>
      <c r="Y404">
        <v>5</v>
      </c>
      <c r="Z404">
        <v>4</v>
      </c>
      <c r="AA404">
        <v>4</v>
      </c>
      <c r="AB404">
        <v>4</v>
      </c>
    </row>
    <row r="405" spans="1:28" x14ac:dyDescent="0.35">
      <c r="A405" s="2">
        <v>41</v>
      </c>
      <c r="B405" s="2" t="str" cm="1">
        <f t="array" ref="B405">_xlfn.IFS(HR_table[[#This Row],[Age]]&lt;=20, "Under 20yrs",HR_table[[#This Row],[Age]]&lt;=30,"(21-30)yrs",HR_table[[#This Row],[Age]]&lt;=40,"(31-40)yrs",HR_table[[#This Row],[Age]]&lt;=50,"(41-50)yrs",HR_table[[#This Row],[Age]]&lt;=60,"(51-60)yrs")</f>
        <v>(41-50)yrs</v>
      </c>
      <c r="C405" t="s">
        <v>43</v>
      </c>
      <c r="D405" t="s">
        <v>36</v>
      </c>
      <c r="E405" t="s">
        <v>37</v>
      </c>
      <c r="F405" t="s">
        <v>59</v>
      </c>
      <c r="G405" t="s">
        <v>40</v>
      </c>
      <c r="H405">
        <v>534</v>
      </c>
      <c r="I405" s="2">
        <v>1</v>
      </c>
      <c r="J405" s="2">
        <v>2</v>
      </c>
      <c r="K405" t="s">
        <v>46</v>
      </c>
      <c r="L405" s="2">
        <v>3</v>
      </c>
      <c r="M405" s="2">
        <v>1</v>
      </c>
      <c r="N405" t="s">
        <v>48</v>
      </c>
      <c r="O405" s="2">
        <v>8392</v>
      </c>
      <c r="P405" s="2">
        <v>19566</v>
      </c>
      <c r="Q405" s="2">
        <v>1</v>
      </c>
      <c r="R405" t="s">
        <v>43</v>
      </c>
      <c r="S405" s="2">
        <v>3</v>
      </c>
      <c r="T405" s="2">
        <v>3</v>
      </c>
      <c r="U405">
        <v>80</v>
      </c>
      <c r="V405" s="2">
        <v>10</v>
      </c>
      <c r="W405">
        <v>2</v>
      </c>
      <c r="X405">
        <v>3</v>
      </c>
      <c r="Y405">
        <v>10</v>
      </c>
      <c r="Z405">
        <v>7</v>
      </c>
      <c r="AA405">
        <v>0</v>
      </c>
      <c r="AB405">
        <v>7</v>
      </c>
    </row>
    <row r="406" spans="1:28" x14ac:dyDescent="0.35">
      <c r="A406" s="2">
        <v>28</v>
      </c>
      <c r="B406" s="2" t="str" cm="1">
        <f t="array" ref="B406">_xlfn.IFS(HR_table[[#This Row],[Age]]&lt;=20, "Under 20yrs",HR_table[[#This Row],[Age]]&lt;=30,"(21-30)yrs",HR_table[[#This Row],[Age]]&lt;=40,"(31-40)yrs",HR_table[[#This Row],[Age]]&lt;=50,"(41-50)yrs",HR_table[[#This Row],[Age]]&lt;=60,"(51-60)yrs")</f>
        <v>(21-30)yrs</v>
      </c>
      <c r="C406" t="s">
        <v>43</v>
      </c>
      <c r="D406" t="s">
        <v>36</v>
      </c>
      <c r="E406" t="s">
        <v>45</v>
      </c>
      <c r="F406" t="s">
        <v>51</v>
      </c>
      <c r="G406" t="s">
        <v>50</v>
      </c>
      <c r="H406">
        <v>536</v>
      </c>
      <c r="I406" s="2">
        <v>17</v>
      </c>
      <c r="J406" s="2">
        <v>3</v>
      </c>
      <c r="K406" t="s">
        <v>46</v>
      </c>
      <c r="L406" s="2">
        <v>2</v>
      </c>
      <c r="M406" s="2">
        <v>1</v>
      </c>
      <c r="N406" t="s">
        <v>52</v>
      </c>
      <c r="O406" s="2">
        <v>4558</v>
      </c>
      <c r="P406" s="2">
        <v>13535</v>
      </c>
      <c r="Q406" s="2">
        <v>1</v>
      </c>
      <c r="R406" t="s">
        <v>43</v>
      </c>
      <c r="S406" s="2">
        <v>3</v>
      </c>
      <c r="T406" s="2">
        <v>4</v>
      </c>
      <c r="U406">
        <v>80</v>
      </c>
      <c r="V406" s="2">
        <v>10</v>
      </c>
      <c r="W406">
        <v>2</v>
      </c>
      <c r="X406">
        <v>3</v>
      </c>
      <c r="Y406">
        <v>10</v>
      </c>
      <c r="Z406">
        <v>0</v>
      </c>
      <c r="AA406">
        <v>1</v>
      </c>
      <c r="AB406">
        <v>8</v>
      </c>
    </row>
    <row r="407" spans="1:28" x14ac:dyDescent="0.35">
      <c r="A407" s="2">
        <v>25</v>
      </c>
      <c r="B407" s="2" t="str" cm="1">
        <f t="array" ref="B407">_xlfn.IFS(HR_table[[#This Row],[Age]]&lt;=20, "Under 20yrs",HR_table[[#This Row],[Age]]&lt;=30,"(21-30)yrs",HR_table[[#This Row],[Age]]&lt;=40,"(31-40)yrs",HR_table[[#This Row],[Age]]&lt;=50,"(41-50)yrs",HR_table[[#This Row],[Age]]&lt;=60,"(51-60)yrs")</f>
        <v>(21-30)yrs</v>
      </c>
      <c r="C407" t="s">
        <v>35</v>
      </c>
      <c r="D407" t="s">
        <v>36</v>
      </c>
      <c r="E407" t="s">
        <v>45</v>
      </c>
      <c r="F407" t="s">
        <v>51</v>
      </c>
      <c r="G407" t="s">
        <v>50</v>
      </c>
      <c r="H407">
        <v>538</v>
      </c>
      <c r="I407" s="2">
        <v>3</v>
      </c>
      <c r="J407" s="2">
        <v>1</v>
      </c>
      <c r="K407" t="s">
        <v>46</v>
      </c>
      <c r="L407" s="2">
        <v>1</v>
      </c>
      <c r="M407" s="2">
        <v>1</v>
      </c>
      <c r="N407" t="s">
        <v>48</v>
      </c>
      <c r="O407" s="2">
        <v>4031</v>
      </c>
      <c r="P407" s="2">
        <v>9396</v>
      </c>
      <c r="Q407" s="2">
        <v>5</v>
      </c>
      <c r="R407" t="s">
        <v>43</v>
      </c>
      <c r="S407" s="2">
        <v>3</v>
      </c>
      <c r="T407" s="2">
        <v>3</v>
      </c>
      <c r="U407">
        <v>80</v>
      </c>
      <c r="V407" s="2">
        <v>6</v>
      </c>
      <c r="W407">
        <v>5</v>
      </c>
      <c r="X407">
        <v>3</v>
      </c>
      <c r="Y407">
        <v>2</v>
      </c>
      <c r="Z407">
        <v>2</v>
      </c>
      <c r="AA407">
        <v>0</v>
      </c>
      <c r="AB407">
        <v>2</v>
      </c>
    </row>
    <row r="408" spans="1:28" x14ac:dyDescent="0.35">
      <c r="A408" s="2">
        <v>52</v>
      </c>
      <c r="B408" s="2" t="str" cm="1">
        <f t="array" ref="B408">_xlfn.IFS(HR_table[[#This Row],[Age]]&lt;=20, "Under 20yrs",HR_table[[#This Row],[Age]]&lt;=30,"(21-30)yrs",HR_table[[#This Row],[Age]]&lt;=40,"(31-40)yrs",HR_table[[#This Row],[Age]]&lt;=50,"(41-50)yrs",HR_table[[#This Row],[Age]]&lt;=60,"(51-60)yrs")</f>
        <v>(51-60)yrs</v>
      </c>
      <c r="C408" t="s">
        <v>43</v>
      </c>
      <c r="D408" t="s">
        <v>36</v>
      </c>
      <c r="E408" t="s">
        <v>45</v>
      </c>
      <c r="F408" t="s">
        <v>51</v>
      </c>
      <c r="G408" t="s">
        <v>53</v>
      </c>
      <c r="H408">
        <v>543</v>
      </c>
      <c r="I408" s="2">
        <v>3</v>
      </c>
      <c r="J408" s="2">
        <v>4</v>
      </c>
      <c r="K408" t="s">
        <v>46</v>
      </c>
      <c r="L408" s="2">
        <v>3</v>
      </c>
      <c r="M408" s="2">
        <v>3</v>
      </c>
      <c r="N408" t="s">
        <v>48</v>
      </c>
      <c r="O408" s="2">
        <v>7969</v>
      </c>
      <c r="P408" s="2">
        <v>19609</v>
      </c>
      <c r="Q408" s="2">
        <v>2</v>
      </c>
      <c r="R408" t="s">
        <v>35</v>
      </c>
      <c r="S408" s="2">
        <v>3</v>
      </c>
      <c r="T408" s="2">
        <v>3</v>
      </c>
      <c r="U408">
        <v>80</v>
      </c>
      <c r="V408" s="2">
        <v>28</v>
      </c>
      <c r="W408">
        <v>4</v>
      </c>
      <c r="X408">
        <v>3</v>
      </c>
      <c r="Y408">
        <v>5</v>
      </c>
      <c r="Z408">
        <v>4</v>
      </c>
      <c r="AA408">
        <v>0</v>
      </c>
      <c r="AB408">
        <v>4</v>
      </c>
    </row>
    <row r="409" spans="1:28" x14ac:dyDescent="0.35">
      <c r="A409" s="2">
        <v>45</v>
      </c>
      <c r="B409" s="2" t="str" cm="1">
        <f t="array" ref="B409">_xlfn.IFS(HR_table[[#This Row],[Age]]&lt;=20, "Under 20yrs",HR_table[[#This Row],[Age]]&lt;=30,"(21-30)yrs",HR_table[[#This Row],[Age]]&lt;=40,"(31-40)yrs",HR_table[[#This Row],[Age]]&lt;=50,"(41-50)yrs",HR_table[[#This Row],[Age]]&lt;=60,"(51-60)yrs")</f>
        <v>(41-50)yrs</v>
      </c>
      <c r="C409" t="s">
        <v>43</v>
      </c>
      <c r="D409" t="s">
        <v>36</v>
      </c>
      <c r="E409" t="s">
        <v>45</v>
      </c>
      <c r="F409" t="s">
        <v>38</v>
      </c>
      <c r="G409" t="s">
        <v>47</v>
      </c>
      <c r="H409">
        <v>544</v>
      </c>
      <c r="I409" s="2">
        <v>10</v>
      </c>
      <c r="J409" s="2">
        <v>1</v>
      </c>
      <c r="K409" t="s">
        <v>46</v>
      </c>
      <c r="L409" s="2">
        <v>1</v>
      </c>
      <c r="M409" s="2">
        <v>4</v>
      </c>
      <c r="N409" t="s">
        <v>48</v>
      </c>
      <c r="O409" s="2">
        <v>2654</v>
      </c>
      <c r="P409" s="2">
        <v>9655</v>
      </c>
      <c r="Q409" s="2">
        <v>3</v>
      </c>
      <c r="R409" t="s">
        <v>43</v>
      </c>
      <c r="S409" s="2">
        <v>4</v>
      </c>
      <c r="T409" s="2">
        <v>4</v>
      </c>
      <c r="U409">
        <v>80</v>
      </c>
      <c r="V409" s="2">
        <v>8</v>
      </c>
      <c r="W409">
        <v>3</v>
      </c>
      <c r="X409">
        <v>2</v>
      </c>
      <c r="Y409">
        <v>2</v>
      </c>
      <c r="Z409">
        <v>2</v>
      </c>
      <c r="AA409">
        <v>0</v>
      </c>
      <c r="AB409">
        <v>2</v>
      </c>
    </row>
    <row r="410" spans="1:28" x14ac:dyDescent="0.35">
      <c r="A410" s="2">
        <v>52</v>
      </c>
      <c r="B410" s="2" t="str" cm="1">
        <f t="array" ref="B410">_xlfn.IFS(HR_table[[#This Row],[Age]]&lt;=20, "Under 20yrs",HR_table[[#This Row],[Age]]&lt;=30,"(21-30)yrs",HR_table[[#This Row],[Age]]&lt;=40,"(31-40)yrs",HR_table[[#This Row],[Age]]&lt;=50,"(41-50)yrs",HR_table[[#This Row],[Age]]&lt;=60,"(51-60)yrs")</f>
        <v>(51-60)yrs</v>
      </c>
      <c r="C410" t="s">
        <v>43</v>
      </c>
      <c r="D410" t="s">
        <v>36</v>
      </c>
      <c r="E410" t="s">
        <v>45</v>
      </c>
      <c r="F410" t="s">
        <v>38</v>
      </c>
      <c r="G410" t="s">
        <v>56</v>
      </c>
      <c r="H410">
        <v>546</v>
      </c>
      <c r="I410" s="2">
        <v>4</v>
      </c>
      <c r="J410" s="2">
        <v>4</v>
      </c>
      <c r="K410" t="s">
        <v>39</v>
      </c>
      <c r="L410" s="2">
        <v>4</v>
      </c>
      <c r="M410" s="2">
        <v>4</v>
      </c>
      <c r="N410" t="s">
        <v>48</v>
      </c>
      <c r="O410" s="2">
        <v>16555</v>
      </c>
      <c r="P410" s="2">
        <v>10310</v>
      </c>
      <c r="Q410" s="2">
        <v>2</v>
      </c>
      <c r="R410" t="s">
        <v>43</v>
      </c>
      <c r="S410" s="2">
        <v>3</v>
      </c>
      <c r="T410" s="2">
        <v>4</v>
      </c>
      <c r="U410">
        <v>80</v>
      </c>
      <c r="V410" s="2">
        <v>31</v>
      </c>
      <c r="W410">
        <v>2</v>
      </c>
      <c r="X410">
        <v>1</v>
      </c>
      <c r="Y410">
        <v>5</v>
      </c>
      <c r="Z410">
        <v>2</v>
      </c>
      <c r="AA410">
        <v>1</v>
      </c>
      <c r="AB410">
        <v>4</v>
      </c>
    </row>
    <row r="411" spans="1:28" x14ac:dyDescent="0.35">
      <c r="A411" s="2">
        <v>42</v>
      </c>
      <c r="B411" s="2" t="str" cm="1">
        <f t="array" ref="B411">_xlfn.IFS(HR_table[[#This Row],[Age]]&lt;=20, "Under 20yrs",HR_table[[#This Row],[Age]]&lt;=30,"(21-30)yrs",HR_table[[#This Row],[Age]]&lt;=40,"(31-40)yrs",HR_table[[#This Row],[Age]]&lt;=50,"(41-50)yrs",HR_table[[#This Row],[Age]]&lt;=60,"(51-60)yrs")</f>
        <v>(41-50)yrs</v>
      </c>
      <c r="C411" t="s">
        <v>43</v>
      </c>
      <c r="D411" t="s">
        <v>44</v>
      </c>
      <c r="E411" t="s">
        <v>45</v>
      </c>
      <c r="F411" t="s">
        <v>38</v>
      </c>
      <c r="G411" t="s">
        <v>47</v>
      </c>
      <c r="H411">
        <v>547</v>
      </c>
      <c r="I411" s="2">
        <v>29</v>
      </c>
      <c r="J411" s="2">
        <v>1</v>
      </c>
      <c r="K411" t="s">
        <v>39</v>
      </c>
      <c r="L411" s="2">
        <v>2</v>
      </c>
      <c r="M411" s="2">
        <v>3</v>
      </c>
      <c r="N411" t="s">
        <v>52</v>
      </c>
      <c r="O411" s="2">
        <v>4556</v>
      </c>
      <c r="P411" s="2">
        <v>12932</v>
      </c>
      <c r="Q411" s="2">
        <v>2</v>
      </c>
      <c r="R411" t="s">
        <v>43</v>
      </c>
      <c r="S411" s="2">
        <v>3</v>
      </c>
      <c r="T411" s="2">
        <v>2</v>
      </c>
      <c r="U411">
        <v>80</v>
      </c>
      <c r="V411" s="2">
        <v>19</v>
      </c>
      <c r="W411">
        <v>3</v>
      </c>
      <c r="X411">
        <v>3</v>
      </c>
      <c r="Y411">
        <v>5</v>
      </c>
      <c r="Z411">
        <v>4</v>
      </c>
      <c r="AA411">
        <v>0</v>
      </c>
      <c r="AB411">
        <v>2</v>
      </c>
    </row>
    <row r="412" spans="1:28" x14ac:dyDescent="0.35">
      <c r="A412" s="2">
        <v>30</v>
      </c>
      <c r="B412" s="2" t="str" cm="1">
        <f t="array" ref="B412">_xlfn.IFS(HR_table[[#This Row],[Age]]&lt;=20, "Under 20yrs",HR_table[[#This Row],[Age]]&lt;=30,"(21-30)yrs",HR_table[[#This Row],[Age]]&lt;=40,"(31-40)yrs",HR_table[[#This Row],[Age]]&lt;=50,"(41-50)yrs",HR_table[[#This Row],[Age]]&lt;=60,"(51-60)yrs")</f>
        <v>(21-30)yrs</v>
      </c>
      <c r="C412" t="s">
        <v>43</v>
      </c>
      <c r="D412" t="s">
        <v>36</v>
      </c>
      <c r="E412" t="s">
        <v>45</v>
      </c>
      <c r="F412" t="s">
        <v>38</v>
      </c>
      <c r="G412" t="s">
        <v>53</v>
      </c>
      <c r="H412">
        <v>548</v>
      </c>
      <c r="I412" s="2">
        <v>2</v>
      </c>
      <c r="J412" s="2">
        <v>3</v>
      </c>
      <c r="K412" t="s">
        <v>39</v>
      </c>
      <c r="L412" s="2">
        <v>2</v>
      </c>
      <c r="M412" s="2">
        <v>4</v>
      </c>
      <c r="N412" t="s">
        <v>41</v>
      </c>
      <c r="O412" s="2">
        <v>6091</v>
      </c>
      <c r="P412" s="2">
        <v>24793</v>
      </c>
      <c r="Q412" s="2">
        <v>2</v>
      </c>
      <c r="R412" t="s">
        <v>43</v>
      </c>
      <c r="S412" s="2">
        <v>4</v>
      </c>
      <c r="T412" s="2">
        <v>3</v>
      </c>
      <c r="U412">
        <v>80</v>
      </c>
      <c r="V412" s="2">
        <v>11</v>
      </c>
      <c r="W412">
        <v>2</v>
      </c>
      <c r="X412">
        <v>3</v>
      </c>
      <c r="Y412">
        <v>5</v>
      </c>
      <c r="Z412">
        <v>4</v>
      </c>
      <c r="AA412">
        <v>0</v>
      </c>
      <c r="AB412">
        <v>2</v>
      </c>
    </row>
    <row r="413" spans="1:28" x14ac:dyDescent="0.35">
      <c r="A413" s="2">
        <v>60</v>
      </c>
      <c r="B413" s="2" t="str" cm="1">
        <f t="array" ref="B413">_xlfn.IFS(HR_table[[#This Row],[Age]]&lt;=20, "Under 20yrs",HR_table[[#This Row],[Age]]&lt;=30,"(21-30)yrs",HR_table[[#This Row],[Age]]&lt;=40,"(31-40)yrs",HR_table[[#This Row],[Age]]&lt;=50,"(41-50)yrs",HR_table[[#This Row],[Age]]&lt;=60,"(51-60)yrs")</f>
        <v>(51-60)yrs</v>
      </c>
      <c r="C413" t="s">
        <v>43</v>
      </c>
      <c r="D413" t="s">
        <v>36</v>
      </c>
      <c r="E413" t="s">
        <v>45</v>
      </c>
      <c r="F413" t="s">
        <v>38</v>
      </c>
      <c r="G413" t="s">
        <v>56</v>
      </c>
      <c r="H413">
        <v>549</v>
      </c>
      <c r="I413" s="2">
        <v>7</v>
      </c>
      <c r="J413" s="2">
        <v>1</v>
      </c>
      <c r="K413" t="s">
        <v>39</v>
      </c>
      <c r="L413" s="2">
        <v>5</v>
      </c>
      <c r="M413" s="2">
        <v>1</v>
      </c>
      <c r="N413" t="s">
        <v>48</v>
      </c>
      <c r="O413" s="2">
        <v>19566</v>
      </c>
      <c r="P413" s="2">
        <v>3854</v>
      </c>
      <c r="Q413" s="2">
        <v>5</v>
      </c>
      <c r="R413" t="s">
        <v>43</v>
      </c>
      <c r="S413" s="2">
        <v>3</v>
      </c>
      <c r="T413" s="2">
        <v>4</v>
      </c>
      <c r="U413">
        <v>80</v>
      </c>
      <c r="V413" s="2">
        <v>33</v>
      </c>
      <c r="W413">
        <v>5</v>
      </c>
      <c r="X413">
        <v>1</v>
      </c>
      <c r="Y413">
        <v>29</v>
      </c>
      <c r="Z413">
        <v>8</v>
      </c>
      <c r="AA413">
        <v>11</v>
      </c>
      <c r="AB413">
        <v>10</v>
      </c>
    </row>
    <row r="414" spans="1:28" x14ac:dyDescent="0.35">
      <c r="A414" s="2">
        <v>46</v>
      </c>
      <c r="B414" s="2" t="str" cm="1">
        <f t="array" ref="B414">_xlfn.IFS(HR_table[[#This Row],[Age]]&lt;=20, "Under 20yrs",HR_table[[#This Row],[Age]]&lt;=30,"(21-30)yrs",HR_table[[#This Row],[Age]]&lt;=40,"(31-40)yrs",HR_table[[#This Row],[Age]]&lt;=50,"(41-50)yrs",HR_table[[#This Row],[Age]]&lt;=60,"(51-60)yrs")</f>
        <v>(41-50)yrs</v>
      </c>
      <c r="C414" t="s">
        <v>43</v>
      </c>
      <c r="D414" t="s">
        <v>36</v>
      </c>
      <c r="E414" t="s">
        <v>45</v>
      </c>
      <c r="F414" t="s">
        <v>51</v>
      </c>
      <c r="G414" t="s">
        <v>53</v>
      </c>
      <c r="H414">
        <v>550</v>
      </c>
      <c r="I414" s="2">
        <v>18</v>
      </c>
      <c r="J414" s="2">
        <v>3</v>
      </c>
      <c r="K414" t="s">
        <v>39</v>
      </c>
      <c r="L414" s="2">
        <v>2</v>
      </c>
      <c r="M414" s="2">
        <v>3</v>
      </c>
      <c r="N414" t="s">
        <v>52</v>
      </c>
      <c r="O414" s="2">
        <v>4810</v>
      </c>
      <c r="P414" s="2">
        <v>26314</v>
      </c>
      <c r="Q414" s="2">
        <v>2</v>
      </c>
      <c r="R414" t="s">
        <v>43</v>
      </c>
      <c r="S414" s="2">
        <v>3</v>
      </c>
      <c r="T414" s="2">
        <v>3</v>
      </c>
      <c r="U414">
        <v>80</v>
      </c>
      <c r="V414" s="2">
        <v>19</v>
      </c>
      <c r="W414">
        <v>5</v>
      </c>
      <c r="X414">
        <v>2</v>
      </c>
      <c r="Y414">
        <v>10</v>
      </c>
      <c r="Z414">
        <v>7</v>
      </c>
      <c r="AA414">
        <v>0</v>
      </c>
      <c r="AB414">
        <v>8</v>
      </c>
    </row>
    <row r="415" spans="1:28" x14ac:dyDescent="0.35">
      <c r="A415" s="2">
        <v>42</v>
      </c>
      <c r="B415" s="2" t="str" cm="1">
        <f t="array" ref="B415">_xlfn.IFS(HR_table[[#This Row],[Age]]&lt;=20, "Under 20yrs",HR_table[[#This Row],[Age]]&lt;=30,"(21-30)yrs",HR_table[[#This Row],[Age]]&lt;=40,"(31-40)yrs",HR_table[[#This Row],[Age]]&lt;=50,"(41-50)yrs",HR_table[[#This Row],[Age]]&lt;=60,"(51-60)yrs")</f>
        <v>(41-50)yrs</v>
      </c>
      <c r="C415" t="s">
        <v>43</v>
      </c>
      <c r="D415" t="s">
        <v>44</v>
      </c>
      <c r="E415" t="s">
        <v>45</v>
      </c>
      <c r="F415" t="s">
        <v>60</v>
      </c>
      <c r="G415" t="s">
        <v>54</v>
      </c>
      <c r="H415">
        <v>551</v>
      </c>
      <c r="I415" s="2">
        <v>28</v>
      </c>
      <c r="J415" s="2">
        <v>4</v>
      </c>
      <c r="K415" t="s">
        <v>39</v>
      </c>
      <c r="L415" s="2">
        <v>2</v>
      </c>
      <c r="M415" s="2">
        <v>4</v>
      </c>
      <c r="N415" t="s">
        <v>48</v>
      </c>
      <c r="O415" s="2">
        <v>4523</v>
      </c>
      <c r="P415" s="2">
        <v>4386</v>
      </c>
      <c r="Q415" s="2">
        <v>0</v>
      </c>
      <c r="R415" t="s">
        <v>43</v>
      </c>
      <c r="S415" s="2">
        <v>3</v>
      </c>
      <c r="T415" s="2">
        <v>4</v>
      </c>
      <c r="U415">
        <v>80</v>
      </c>
      <c r="V415" s="2">
        <v>7</v>
      </c>
      <c r="W415">
        <v>4</v>
      </c>
      <c r="X415">
        <v>4</v>
      </c>
      <c r="Y415">
        <v>6</v>
      </c>
      <c r="Z415">
        <v>5</v>
      </c>
      <c r="AA415">
        <v>0</v>
      </c>
      <c r="AB415">
        <v>4</v>
      </c>
    </row>
    <row r="416" spans="1:28" x14ac:dyDescent="0.35">
      <c r="A416" s="2">
        <v>24</v>
      </c>
      <c r="B416" s="2" t="str" cm="1">
        <f t="array" ref="B416">_xlfn.IFS(HR_table[[#This Row],[Age]]&lt;=20, "Under 20yrs",HR_table[[#This Row],[Age]]&lt;=30,"(21-30)yrs",HR_table[[#This Row],[Age]]&lt;=40,"(31-40)yrs",HR_table[[#This Row],[Age]]&lt;=50,"(41-50)yrs",HR_table[[#This Row],[Age]]&lt;=60,"(51-60)yrs")</f>
        <v>(21-30)yrs</v>
      </c>
      <c r="C416" t="s">
        <v>35</v>
      </c>
      <c r="D416" t="s">
        <v>36</v>
      </c>
      <c r="E416" t="s">
        <v>37</v>
      </c>
      <c r="F416" t="s">
        <v>60</v>
      </c>
      <c r="G416" t="s">
        <v>57</v>
      </c>
      <c r="H416">
        <v>554</v>
      </c>
      <c r="I416" s="2">
        <v>1</v>
      </c>
      <c r="J416" s="2">
        <v>1</v>
      </c>
      <c r="K416" t="s">
        <v>39</v>
      </c>
      <c r="L416" s="2">
        <v>1</v>
      </c>
      <c r="M416" s="2">
        <v>2</v>
      </c>
      <c r="N416" t="s">
        <v>41</v>
      </c>
      <c r="O416" s="2">
        <v>3202</v>
      </c>
      <c r="P416" s="2">
        <v>21972</v>
      </c>
      <c r="Q416" s="2">
        <v>1</v>
      </c>
      <c r="R416" t="s">
        <v>35</v>
      </c>
      <c r="S416" s="2">
        <v>3</v>
      </c>
      <c r="T416" s="2">
        <v>2</v>
      </c>
      <c r="U416">
        <v>80</v>
      </c>
      <c r="V416" s="2">
        <v>6</v>
      </c>
      <c r="W416">
        <v>4</v>
      </c>
      <c r="X416">
        <v>3</v>
      </c>
      <c r="Y416">
        <v>5</v>
      </c>
      <c r="Z416">
        <v>3</v>
      </c>
      <c r="AA416">
        <v>1</v>
      </c>
      <c r="AB416">
        <v>4</v>
      </c>
    </row>
    <row r="417" spans="1:28" x14ac:dyDescent="0.35">
      <c r="A417" s="2">
        <v>34</v>
      </c>
      <c r="B417" s="2" t="str" cm="1">
        <f t="array" ref="B417">_xlfn.IFS(HR_table[[#This Row],[Age]]&lt;=20, "Under 20yrs",HR_table[[#This Row],[Age]]&lt;=30,"(21-30)yrs",HR_table[[#This Row],[Age]]&lt;=40,"(31-40)yrs",HR_table[[#This Row],[Age]]&lt;=50,"(41-50)yrs",HR_table[[#This Row],[Age]]&lt;=60,"(51-60)yrs")</f>
        <v>(31-40)yrs</v>
      </c>
      <c r="C417" t="s">
        <v>35</v>
      </c>
      <c r="D417" t="s">
        <v>44</v>
      </c>
      <c r="E417" t="s">
        <v>37</v>
      </c>
      <c r="F417" t="s">
        <v>59</v>
      </c>
      <c r="G417" t="s">
        <v>57</v>
      </c>
      <c r="H417">
        <v>555</v>
      </c>
      <c r="I417" s="2">
        <v>6</v>
      </c>
      <c r="J417" s="2">
        <v>4</v>
      </c>
      <c r="K417" t="s">
        <v>39</v>
      </c>
      <c r="L417" s="2">
        <v>1</v>
      </c>
      <c r="M417" s="2">
        <v>3</v>
      </c>
      <c r="N417" t="s">
        <v>52</v>
      </c>
      <c r="O417" s="2">
        <v>2351</v>
      </c>
      <c r="P417" s="2">
        <v>12253</v>
      </c>
      <c r="Q417" s="2">
        <v>0</v>
      </c>
      <c r="R417" t="s">
        <v>43</v>
      </c>
      <c r="S417" s="2">
        <v>3</v>
      </c>
      <c r="T417" s="2">
        <v>4</v>
      </c>
      <c r="U417">
        <v>80</v>
      </c>
      <c r="V417" s="2">
        <v>3</v>
      </c>
      <c r="W417">
        <v>3</v>
      </c>
      <c r="X417">
        <v>2</v>
      </c>
      <c r="Y417">
        <v>2</v>
      </c>
      <c r="Z417">
        <v>2</v>
      </c>
      <c r="AA417">
        <v>1</v>
      </c>
      <c r="AB417">
        <v>0</v>
      </c>
    </row>
    <row r="418" spans="1:28" x14ac:dyDescent="0.35">
      <c r="A418" s="2">
        <v>38</v>
      </c>
      <c r="B418" s="2" t="str" cm="1">
        <f t="array" ref="B418">_xlfn.IFS(HR_table[[#This Row],[Age]]&lt;=20, "Under 20yrs",HR_table[[#This Row],[Age]]&lt;=30,"(21-30)yrs",HR_table[[#This Row],[Age]]&lt;=40,"(31-40)yrs",HR_table[[#This Row],[Age]]&lt;=50,"(41-50)yrs",HR_table[[#This Row],[Age]]&lt;=60,"(51-60)yrs")</f>
        <v>(31-40)yrs</v>
      </c>
      <c r="C418" t="s">
        <v>43</v>
      </c>
      <c r="D418" t="s">
        <v>44</v>
      </c>
      <c r="E418" t="s">
        <v>45</v>
      </c>
      <c r="F418" t="s">
        <v>38</v>
      </c>
      <c r="G418" t="s">
        <v>50</v>
      </c>
      <c r="H418">
        <v>556</v>
      </c>
      <c r="I418" s="2">
        <v>2</v>
      </c>
      <c r="J418" s="2">
        <v>4</v>
      </c>
      <c r="K418" t="s">
        <v>46</v>
      </c>
      <c r="L418" s="2">
        <v>1</v>
      </c>
      <c r="M418" s="2">
        <v>4</v>
      </c>
      <c r="N418" t="s">
        <v>48</v>
      </c>
      <c r="O418" s="2">
        <v>1702</v>
      </c>
      <c r="P418" s="2">
        <v>12106</v>
      </c>
      <c r="Q418" s="2">
        <v>1</v>
      </c>
      <c r="R418" t="s">
        <v>35</v>
      </c>
      <c r="S418" s="2">
        <v>4</v>
      </c>
      <c r="T418" s="2">
        <v>3</v>
      </c>
      <c r="U418">
        <v>80</v>
      </c>
      <c r="V418" s="2">
        <v>1</v>
      </c>
      <c r="W418">
        <v>3</v>
      </c>
      <c r="X418">
        <v>3</v>
      </c>
      <c r="Y418">
        <v>1</v>
      </c>
      <c r="Z418">
        <v>0</v>
      </c>
      <c r="AA418">
        <v>0</v>
      </c>
      <c r="AB418">
        <v>0</v>
      </c>
    </row>
    <row r="419" spans="1:28" x14ac:dyDescent="0.35">
      <c r="A419" s="2">
        <v>40</v>
      </c>
      <c r="B419" s="2" t="str" cm="1">
        <f t="array" ref="B419">_xlfn.IFS(HR_table[[#This Row],[Age]]&lt;=20, "Under 20yrs",HR_table[[#This Row],[Age]]&lt;=30,"(21-30)yrs",HR_table[[#This Row],[Age]]&lt;=40,"(31-40)yrs",HR_table[[#This Row],[Age]]&lt;=50,"(41-50)yrs",HR_table[[#This Row],[Age]]&lt;=60,"(51-60)yrs")</f>
        <v>(31-40)yrs</v>
      </c>
      <c r="C419" t="s">
        <v>43</v>
      </c>
      <c r="D419" t="s">
        <v>36</v>
      </c>
      <c r="E419" t="s">
        <v>37</v>
      </c>
      <c r="F419" t="s">
        <v>38</v>
      </c>
      <c r="G419" t="s">
        <v>56</v>
      </c>
      <c r="H419">
        <v>558</v>
      </c>
      <c r="I419" s="2">
        <v>2</v>
      </c>
      <c r="J419" s="2">
        <v>3</v>
      </c>
      <c r="K419" t="s">
        <v>39</v>
      </c>
      <c r="L419" s="2">
        <v>5</v>
      </c>
      <c r="M419" s="2">
        <v>3</v>
      </c>
      <c r="N419" t="s">
        <v>48</v>
      </c>
      <c r="O419" s="2">
        <v>18041</v>
      </c>
      <c r="P419" s="2">
        <v>13022</v>
      </c>
      <c r="Q419" s="2">
        <v>0</v>
      </c>
      <c r="R419" t="s">
        <v>43</v>
      </c>
      <c r="S419" s="2">
        <v>3</v>
      </c>
      <c r="T419" s="2">
        <v>4</v>
      </c>
      <c r="U419">
        <v>80</v>
      </c>
      <c r="V419" s="2">
        <v>21</v>
      </c>
      <c r="W419">
        <v>2</v>
      </c>
      <c r="X419">
        <v>3</v>
      </c>
      <c r="Y419">
        <v>20</v>
      </c>
      <c r="Z419">
        <v>15</v>
      </c>
      <c r="AA419">
        <v>1</v>
      </c>
      <c r="AB419">
        <v>12</v>
      </c>
    </row>
    <row r="420" spans="1:28" x14ac:dyDescent="0.35">
      <c r="A420" s="2">
        <v>26</v>
      </c>
      <c r="B420" s="2" t="str" cm="1">
        <f t="array" ref="B420">_xlfn.IFS(HR_table[[#This Row],[Age]]&lt;=20, "Under 20yrs",HR_table[[#This Row],[Age]]&lt;=30,"(21-30)yrs",HR_table[[#This Row],[Age]]&lt;=40,"(31-40)yrs",HR_table[[#This Row],[Age]]&lt;=50,"(41-50)yrs",HR_table[[#This Row],[Age]]&lt;=60,"(51-60)yrs")</f>
        <v>(21-30)yrs</v>
      </c>
      <c r="C420" t="s">
        <v>43</v>
      </c>
      <c r="D420" t="s">
        <v>36</v>
      </c>
      <c r="E420" t="s">
        <v>45</v>
      </c>
      <c r="F420" t="s">
        <v>38</v>
      </c>
      <c r="G420" t="s">
        <v>47</v>
      </c>
      <c r="H420">
        <v>560</v>
      </c>
      <c r="I420" s="2">
        <v>23</v>
      </c>
      <c r="J420" s="2">
        <v>1</v>
      </c>
      <c r="K420" t="s">
        <v>39</v>
      </c>
      <c r="L420" s="2">
        <v>1</v>
      </c>
      <c r="M420" s="2">
        <v>4</v>
      </c>
      <c r="N420" t="s">
        <v>52</v>
      </c>
      <c r="O420" s="2">
        <v>2886</v>
      </c>
      <c r="P420" s="2">
        <v>3032</v>
      </c>
      <c r="Q420" s="2">
        <v>1</v>
      </c>
      <c r="R420" t="s">
        <v>43</v>
      </c>
      <c r="S420" s="2">
        <v>4</v>
      </c>
      <c r="T420" s="2">
        <v>2</v>
      </c>
      <c r="U420">
        <v>80</v>
      </c>
      <c r="V420" s="2">
        <v>3</v>
      </c>
      <c r="W420">
        <v>3</v>
      </c>
      <c r="X420">
        <v>1</v>
      </c>
      <c r="Y420">
        <v>3</v>
      </c>
      <c r="Z420">
        <v>2</v>
      </c>
      <c r="AA420">
        <v>0</v>
      </c>
      <c r="AB420">
        <v>2</v>
      </c>
    </row>
    <row r="421" spans="1:28" x14ac:dyDescent="0.35">
      <c r="A421" s="2">
        <v>30</v>
      </c>
      <c r="B421" s="2" t="str" cm="1">
        <f t="array" ref="B421">_xlfn.IFS(HR_table[[#This Row],[Age]]&lt;=20, "Under 20yrs",HR_table[[#This Row],[Age]]&lt;=30,"(21-30)yrs",HR_table[[#This Row],[Age]]&lt;=40,"(31-40)yrs",HR_table[[#This Row],[Age]]&lt;=50,"(41-50)yrs",HR_table[[#This Row],[Age]]&lt;=60,"(51-60)yrs")</f>
        <v>(21-30)yrs</v>
      </c>
      <c r="C421" t="s">
        <v>43</v>
      </c>
      <c r="D421" t="s">
        <v>55</v>
      </c>
      <c r="E421" t="s">
        <v>45</v>
      </c>
      <c r="F421" t="s">
        <v>38</v>
      </c>
      <c r="G421" t="s">
        <v>50</v>
      </c>
      <c r="H421">
        <v>562</v>
      </c>
      <c r="I421" s="2">
        <v>3</v>
      </c>
      <c r="J421" s="2">
        <v>3</v>
      </c>
      <c r="K421" t="s">
        <v>46</v>
      </c>
      <c r="L421" s="2">
        <v>1</v>
      </c>
      <c r="M421" s="2">
        <v>4</v>
      </c>
      <c r="N421" t="s">
        <v>48</v>
      </c>
      <c r="O421" s="2">
        <v>2097</v>
      </c>
      <c r="P421" s="2">
        <v>16734</v>
      </c>
      <c r="Q421" s="2">
        <v>4</v>
      </c>
      <c r="R421" t="s">
        <v>43</v>
      </c>
      <c r="S421" s="2">
        <v>3</v>
      </c>
      <c r="T421" s="2">
        <v>3</v>
      </c>
      <c r="U421">
        <v>80</v>
      </c>
      <c r="V421" s="2">
        <v>9</v>
      </c>
      <c r="W421">
        <v>3</v>
      </c>
      <c r="X421">
        <v>1</v>
      </c>
      <c r="Y421">
        <v>5</v>
      </c>
      <c r="Z421">
        <v>3</v>
      </c>
      <c r="AA421">
        <v>1</v>
      </c>
      <c r="AB421">
        <v>4</v>
      </c>
    </row>
    <row r="422" spans="1:28" x14ac:dyDescent="0.35">
      <c r="A422" s="2">
        <v>29</v>
      </c>
      <c r="B422" s="2" t="str" cm="1">
        <f t="array" ref="B422">_xlfn.IFS(HR_table[[#This Row],[Age]]&lt;=20, "Under 20yrs",HR_table[[#This Row],[Age]]&lt;=30,"(21-30)yrs",HR_table[[#This Row],[Age]]&lt;=40,"(31-40)yrs",HR_table[[#This Row],[Age]]&lt;=50,"(41-50)yrs",HR_table[[#This Row],[Age]]&lt;=60,"(51-60)yrs")</f>
        <v>(21-30)yrs</v>
      </c>
      <c r="C422" t="s">
        <v>43</v>
      </c>
      <c r="D422" t="s">
        <v>36</v>
      </c>
      <c r="E422" t="s">
        <v>45</v>
      </c>
      <c r="F422" t="s">
        <v>51</v>
      </c>
      <c r="G422" t="s">
        <v>58</v>
      </c>
      <c r="H422">
        <v>564</v>
      </c>
      <c r="I422" s="2">
        <v>3</v>
      </c>
      <c r="J422" s="2">
        <v>2</v>
      </c>
      <c r="K422" t="s">
        <v>46</v>
      </c>
      <c r="L422" s="2">
        <v>3</v>
      </c>
      <c r="M422" s="2">
        <v>3</v>
      </c>
      <c r="N422" t="s">
        <v>48</v>
      </c>
      <c r="O422" s="2">
        <v>11935</v>
      </c>
      <c r="P422" s="2">
        <v>21526</v>
      </c>
      <c r="Q422" s="2">
        <v>1</v>
      </c>
      <c r="R422" t="s">
        <v>43</v>
      </c>
      <c r="S422" s="2">
        <v>3</v>
      </c>
      <c r="T422" s="2">
        <v>3</v>
      </c>
      <c r="U422">
        <v>80</v>
      </c>
      <c r="V422" s="2">
        <v>10</v>
      </c>
      <c r="W422">
        <v>2</v>
      </c>
      <c r="X422">
        <v>3</v>
      </c>
      <c r="Y422">
        <v>10</v>
      </c>
      <c r="Z422">
        <v>2</v>
      </c>
      <c r="AA422">
        <v>0</v>
      </c>
      <c r="AB422">
        <v>7</v>
      </c>
    </row>
    <row r="423" spans="1:28" x14ac:dyDescent="0.35">
      <c r="A423" s="2">
        <v>29</v>
      </c>
      <c r="B423" s="2" t="str" cm="1">
        <f t="array" ref="B423">_xlfn.IFS(HR_table[[#This Row],[Age]]&lt;=20, "Under 20yrs",HR_table[[#This Row],[Age]]&lt;=30,"(21-30)yrs",HR_table[[#This Row],[Age]]&lt;=40,"(31-40)yrs",HR_table[[#This Row],[Age]]&lt;=50,"(41-50)yrs",HR_table[[#This Row],[Age]]&lt;=60,"(51-60)yrs")</f>
        <v>(21-30)yrs</v>
      </c>
      <c r="C423" t="s">
        <v>35</v>
      </c>
      <c r="D423" t="s">
        <v>36</v>
      </c>
      <c r="E423" t="s">
        <v>45</v>
      </c>
      <c r="F423" t="s">
        <v>60</v>
      </c>
      <c r="G423" t="s">
        <v>47</v>
      </c>
      <c r="H423">
        <v>565</v>
      </c>
      <c r="I423" s="2">
        <v>25</v>
      </c>
      <c r="J423" s="2">
        <v>3</v>
      </c>
      <c r="K423" t="s">
        <v>39</v>
      </c>
      <c r="L423" s="2">
        <v>1</v>
      </c>
      <c r="M423" s="2">
        <v>2</v>
      </c>
      <c r="N423" t="s">
        <v>48</v>
      </c>
      <c r="O423" s="2">
        <v>2546</v>
      </c>
      <c r="P423" s="2">
        <v>18300</v>
      </c>
      <c r="Q423" s="2">
        <v>5</v>
      </c>
      <c r="R423" t="s">
        <v>43</v>
      </c>
      <c r="S423" s="2">
        <v>3</v>
      </c>
      <c r="T423" s="2">
        <v>2</v>
      </c>
      <c r="U423">
        <v>80</v>
      </c>
      <c r="V423" s="2">
        <v>6</v>
      </c>
      <c r="W423">
        <v>2</v>
      </c>
      <c r="X423">
        <v>4</v>
      </c>
      <c r="Y423">
        <v>2</v>
      </c>
      <c r="Z423">
        <v>2</v>
      </c>
      <c r="AA423">
        <v>1</v>
      </c>
      <c r="AB423">
        <v>1</v>
      </c>
    </row>
    <row r="424" spans="1:28" x14ac:dyDescent="0.35">
      <c r="A424" s="2">
        <v>19</v>
      </c>
      <c r="B424" s="2" t="str" cm="1">
        <f t="array" ref="B424">_xlfn.IFS(HR_table[[#This Row],[Age]]&lt;=20, "Under 20yrs",HR_table[[#This Row],[Age]]&lt;=30,"(21-30)yrs",HR_table[[#This Row],[Age]]&lt;=40,"(31-40)yrs",HR_table[[#This Row],[Age]]&lt;=50,"(41-50)yrs",HR_table[[#This Row],[Age]]&lt;=60,"(51-60)yrs")</f>
        <v>Under 20yrs</v>
      </c>
      <c r="C424" t="s">
        <v>35</v>
      </c>
      <c r="D424" t="s">
        <v>36</v>
      </c>
      <c r="E424" t="s">
        <v>61</v>
      </c>
      <c r="F424" t="s">
        <v>60</v>
      </c>
      <c r="G424" t="s">
        <v>61</v>
      </c>
      <c r="H424">
        <v>566</v>
      </c>
      <c r="I424" s="2">
        <v>2</v>
      </c>
      <c r="J424" s="2">
        <v>1</v>
      </c>
      <c r="K424" t="s">
        <v>46</v>
      </c>
      <c r="L424" s="2">
        <v>1</v>
      </c>
      <c r="M424" s="2">
        <v>4</v>
      </c>
      <c r="N424" t="s">
        <v>41</v>
      </c>
      <c r="O424" s="2">
        <v>2564</v>
      </c>
      <c r="P424" s="2">
        <v>18437</v>
      </c>
      <c r="Q424" s="2">
        <v>1</v>
      </c>
      <c r="R424" t="s">
        <v>43</v>
      </c>
      <c r="S424" s="2">
        <v>3</v>
      </c>
      <c r="T424" s="2">
        <v>3</v>
      </c>
      <c r="U424">
        <v>80</v>
      </c>
      <c r="V424" s="2">
        <v>1</v>
      </c>
      <c r="W424">
        <v>3</v>
      </c>
      <c r="X424">
        <v>4</v>
      </c>
      <c r="Y424">
        <v>1</v>
      </c>
      <c r="Z424">
        <v>0</v>
      </c>
      <c r="AA424">
        <v>0</v>
      </c>
      <c r="AB424">
        <v>0</v>
      </c>
    </row>
    <row r="425" spans="1:28" x14ac:dyDescent="0.35">
      <c r="A425" s="2">
        <v>30</v>
      </c>
      <c r="B425" s="2" t="str" cm="1">
        <f t="array" ref="B425">_xlfn.IFS(HR_table[[#This Row],[Age]]&lt;=20, "Under 20yrs",HR_table[[#This Row],[Age]]&lt;=30,"(21-30)yrs",HR_table[[#This Row],[Age]]&lt;=40,"(31-40)yrs",HR_table[[#This Row],[Age]]&lt;=50,"(41-50)yrs",HR_table[[#This Row],[Age]]&lt;=60,"(51-60)yrs")</f>
        <v>(21-30)yrs</v>
      </c>
      <c r="C425" t="s">
        <v>43</v>
      </c>
      <c r="D425" t="s">
        <v>55</v>
      </c>
      <c r="E425" t="s">
        <v>37</v>
      </c>
      <c r="F425" t="s">
        <v>49</v>
      </c>
      <c r="G425" t="s">
        <v>40</v>
      </c>
      <c r="H425">
        <v>567</v>
      </c>
      <c r="I425" s="2">
        <v>22</v>
      </c>
      <c r="J425" s="2">
        <v>3</v>
      </c>
      <c r="K425" t="s">
        <v>39</v>
      </c>
      <c r="L425" s="2">
        <v>3</v>
      </c>
      <c r="M425" s="2">
        <v>1</v>
      </c>
      <c r="N425" t="s">
        <v>48</v>
      </c>
      <c r="O425" s="2">
        <v>8412</v>
      </c>
      <c r="P425" s="2">
        <v>2890</v>
      </c>
      <c r="Q425" s="2">
        <v>0</v>
      </c>
      <c r="R425" t="s">
        <v>43</v>
      </c>
      <c r="S425" s="2">
        <v>3</v>
      </c>
      <c r="T425" s="2">
        <v>3</v>
      </c>
      <c r="U425">
        <v>80</v>
      </c>
      <c r="V425" s="2">
        <v>10</v>
      </c>
      <c r="W425">
        <v>3</v>
      </c>
      <c r="X425">
        <v>3</v>
      </c>
      <c r="Y425">
        <v>9</v>
      </c>
      <c r="Z425">
        <v>8</v>
      </c>
      <c r="AA425">
        <v>7</v>
      </c>
      <c r="AB425">
        <v>8</v>
      </c>
    </row>
    <row r="426" spans="1:28" x14ac:dyDescent="0.35">
      <c r="A426" s="2">
        <v>57</v>
      </c>
      <c r="B426" s="2" t="str" cm="1">
        <f t="array" ref="B426">_xlfn.IFS(HR_table[[#This Row],[Age]]&lt;=20, "Under 20yrs",HR_table[[#This Row],[Age]]&lt;=30,"(21-30)yrs",HR_table[[#This Row],[Age]]&lt;=40,"(31-40)yrs",HR_table[[#This Row],[Age]]&lt;=50,"(41-50)yrs",HR_table[[#This Row],[Age]]&lt;=60,"(51-60)yrs")</f>
        <v>(51-60)yrs</v>
      </c>
      <c r="C426" t="s">
        <v>43</v>
      </c>
      <c r="D426" t="s">
        <v>36</v>
      </c>
      <c r="E426" t="s">
        <v>37</v>
      </c>
      <c r="F426" t="s">
        <v>59</v>
      </c>
      <c r="G426" t="s">
        <v>56</v>
      </c>
      <c r="H426">
        <v>568</v>
      </c>
      <c r="I426" s="2">
        <v>29</v>
      </c>
      <c r="J426" s="2">
        <v>1</v>
      </c>
      <c r="K426" t="s">
        <v>46</v>
      </c>
      <c r="L426" s="2">
        <v>4</v>
      </c>
      <c r="M426" s="2">
        <v>4</v>
      </c>
      <c r="N426" t="s">
        <v>52</v>
      </c>
      <c r="O426" s="2">
        <v>14118</v>
      </c>
      <c r="P426" s="2">
        <v>22102</v>
      </c>
      <c r="Q426" s="2">
        <v>3</v>
      </c>
      <c r="R426" t="s">
        <v>43</v>
      </c>
      <c r="S426" s="2">
        <v>3</v>
      </c>
      <c r="T426" s="2">
        <v>3</v>
      </c>
      <c r="U426">
        <v>80</v>
      </c>
      <c r="V426" s="2">
        <v>32</v>
      </c>
      <c r="W426">
        <v>3</v>
      </c>
      <c r="X426">
        <v>2</v>
      </c>
      <c r="Y426">
        <v>1</v>
      </c>
      <c r="Z426">
        <v>0</v>
      </c>
      <c r="AA426">
        <v>0</v>
      </c>
      <c r="AB426">
        <v>0</v>
      </c>
    </row>
    <row r="427" spans="1:28" x14ac:dyDescent="0.35">
      <c r="A427" s="2">
        <v>50</v>
      </c>
      <c r="B427" s="2" t="str" cm="1">
        <f t="array" ref="B427">_xlfn.IFS(HR_table[[#This Row],[Age]]&lt;=20, "Under 20yrs",HR_table[[#This Row],[Age]]&lt;=30,"(21-30)yrs",HR_table[[#This Row],[Age]]&lt;=40,"(31-40)yrs",HR_table[[#This Row],[Age]]&lt;=50,"(41-50)yrs",HR_table[[#This Row],[Age]]&lt;=60,"(51-60)yrs")</f>
        <v>(41-50)yrs</v>
      </c>
      <c r="C427" t="s">
        <v>43</v>
      </c>
      <c r="D427" t="s">
        <v>36</v>
      </c>
      <c r="E427" t="s">
        <v>45</v>
      </c>
      <c r="F427" t="s">
        <v>38</v>
      </c>
      <c r="G427" t="s">
        <v>56</v>
      </c>
      <c r="H427">
        <v>569</v>
      </c>
      <c r="I427" s="2">
        <v>29</v>
      </c>
      <c r="J427" s="2">
        <v>2</v>
      </c>
      <c r="K427" t="s">
        <v>46</v>
      </c>
      <c r="L427" s="2">
        <v>4</v>
      </c>
      <c r="M427" s="2">
        <v>3</v>
      </c>
      <c r="N427" t="s">
        <v>48</v>
      </c>
      <c r="O427" s="2">
        <v>17046</v>
      </c>
      <c r="P427" s="2">
        <v>9314</v>
      </c>
      <c r="Q427" s="2">
        <v>0</v>
      </c>
      <c r="R427" t="s">
        <v>43</v>
      </c>
      <c r="S427" s="2">
        <v>3</v>
      </c>
      <c r="T427" s="2">
        <v>2</v>
      </c>
      <c r="U427">
        <v>80</v>
      </c>
      <c r="V427" s="2">
        <v>28</v>
      </c>
      <c r="W427">
        <v>2</v>
      </c>
      <c r="X427">
        <v>3</v>
      </c>
      <c r="Y427">
        <v>27</v>
      </c>
      <c r="Z427">
        <v>10</v>
      </c>
      <c r="AA427">
        <v>15</v>
      </c>
      <c r="AB427">
        <v>7</v>
      </c>
    </row>
    <row r="428" spans="1:28" x14ac:dyDescent="0.35">
      <c r="A428" s="2">
        <v>30</v>
      </c>
      <c r="B428" s="2" t="str" cm="1">
        <f t="array" ref="B428">_xlfn.IFS(HR_table[[#This Row],[Age]]&lt;=20, "Under 20yrs",HR_table[[#This Row],[Age]]&lt;=30,"(21-30)yrs",HR_table[[#This Row],[Age]]&lt;=40,"(31-40)yrs",HR_table[[#This Row],[Age]]&lt;=50,"(41-50)yrs",HR_table[[#This Row],[Age]]&lt;=60,"(51-60)yrs")</f>
        <v>(21-30)yrs</v>
      </c>
      <c r="C428" t="s">
        <v>43</v>
      </c>
      <c r="D428" t="s">
        <v>55</v>
      </c>
      <c r="E428" t="s">
        <v>45</v>
      </c>
      <c r="F428" t="s">
        <v>51</v>
      </c>
      <c r="G428" t="s">
        <v>50</v>
      </c>
      <c r="H428">
        <v>571</v>
      </c>
      <c r="I428" s="2">
        <v>2</v>
      </c>
      <c r="J428" s="2">
        <v>3</v>
      </c>
      <c r="K428" t="s">
        <v>39</v>
      </c>
      <c r="L428" s="2">
        <v>1</v>
      </c>
      <c r="M428" s="2">
        <v>4</v>
      </c>
      <c r="N428" t="s">
        <v>41</v>
      </c>
      <c r="O428" s="2">
        <v>2564</v>
      </c>
      <c r="P428" s="2">
        <v>7181</v>
      </c>
      <c r="Q428" s="2">
        <v>0</v>
      </c>
      <c r="R428" t="s">
        <v>43</v>
      </c>
      <c r="S428" s="2">
        <v>3</v>
      </c>
      <c r="T428" s="2">
        <v>3</v>
      </c>
      <c r="U428">
        <v>80</v>
      </c>
      <c r="V428" s="2">
        <v>12</v>
      </c>
      <c r="W428">
        <v>2</v>
      </c>
      <c r="X428">
        <v>2</v>
      </c>
      <c r="Y428">
        <v>11</v>
      </c>
      <c r="Z428">
        <v>7</v>
      </c>
      <c r="AA428">
        <v>6</v>
      </c>
      <c r="AB428">
        <v>7</v>
      </c>
    </row>
    <row r="429" spans="1:28" x14ac:dyDescent="0.35">
      <c r="A429" s="2">
        <v>60</v>
      </c>
      <c r="B429" s="2" t="str" cm="1">
        <f t="array" ref="B429">_xlfn.IFS(HR_table[[#This Row],[Age]]&lt;=20, "Under 20yrs",HR_table[[#This Row],[Age]]&lt;=30,"(21-30)yrs",HR_table[[#This Row],[Age]]&lt;=40,"(31-40)yrs",HR_table[[#This Row],[Age]]&lt;=50,"(41-50)yrs",HR_table[[#This Row],[Age]]&lt;=60,"(51-60)yrs")</f>
        <v>(51-60)yrs</v>
      </c>
      <c r="C429" t="s">
        <v>43</v>
      </c>
      <c r="D429" t="s">
        <v>44</v>
      </c>
      <c r="E429" t="s">
        <v>37</v>
      </c>
      <c r="F429" t="s">
        <v>59</v>
      </c>
      <c r="G429" t="s">
        <v>40</v>
      </c>
      <c r="H429">
        <v>573</v>
      </c>
      <c r="I429" s="2">
        <v>28</v>
      </c>
      <c r="J429" s="2">
        <v>3</v>
      </c>
      <c r="K429" t="s">
        <v>39</v>
      </c>
      <c r="L429" s="2">
        <v>3</v>
      </c>
      <c r="M429" s="2">
        <v>1</v>
      </c>
      <c r="N429" t="s">
        <v>48</v>
      </c>
      <c r="O429" s="2">
        <v>10266</v>
      </c>
      <c r="P429" s="2">
        <v>2845</v>
      </c>
      <c r="Q429" s="2">
        <v>4</v>
      </c>
      <c r="R429" t="s">
        <v>43</v>
      </c>
      <c r="S429" s="2">
        <v>3</v>
      </c>
      <c r="T429" s="2">
        <v>4</v>
      </c>
      <c r="U429">
        <v>80</v>
      </c>
      <c r="V429" s="2">
        <v>22</v>
      </c>
      <c r="W429">
        <v>5</v>
      </c>
      <c r="X429">
        <v>4</v>
      </c>
      <c r="Y429">
        <v>18</v>
      </c>
      <c r="Z429">
        <v>13</v>
      </c>
      <c r="AA429">
        <v>13</v>
      </c>
      <c r="AB429">
        <v>11</v>
      </c>
    </row>
    <row r="430" spans="1:28" x14ac:dyDescent="0.35">
      <c r="A430" s="2">
        <v>47</v>
      </c>
      <c r="B430" s="2" t="str" cm="1">
        <f t="array" ref="B430">_xlfn.IFS(HR_table[[#This Row],[Age]]&lt;=20, "Under 20yrs",HR_table[[#This Row],[Age]]&lt;=30,"(21-30)yrs",HR_table[[#This Row],[Age]]&lt;=40,"(31-40)yrs",HR_table[[#This Row],[Age]]&lt;=50,"(41-50)yrs",HR_table[[#This Row],[Age]]&lt;=60,"(51-60)yrs")</f>
        <v>(41-50)yrs</v>
      </c>
      <c r="C430" t="s">
        <v>43</v>
      </c>
      <c r="D430" t="s">
        <v>36</v>
      </c>
      <c r="E430" t="s">
        <v>45</v>
      </c>
      <c r="F430" t="s">
        <v>51</v>
      </c>
      <c r="G430" t="s">
        <v>53</v>
      </c>
      <c r="H430">
        <v>574</v>
      </c>
      <c r="I430" s="2">
        <v>2</v>
      </c>
      <c r="J430" s="2">
        <v>1</v>
      </c>
      <c r="K430" t="s">
        <v>39</v>
      </c>
      <c r="L430" s="2">
        <v>2</v>
      </c>
      <c r="M430" s="2">
        <v>4</v>
      </c>
      <c r="N430" t="s">
        <v>52</v>
      </c>
      <c r="O430" s="2">
        <v>5070</v>
      </c>
      <c r="P430" s="2">
        <v>7389</v>
      </c>
      <c r="Q430" s="2">
        <v>5</v>
      </c>
      <c r="R430" t="s">
        <v>43</v>
      </c>
      <c r="S430" s="2">
        <v>3</v>
      </c>
      <c r="T430" s="2">
        <v>3</v>
      </c>
      <c r="U430">
        <v>80</v>
      </c>
      <c r="V430" s="2">
        <v>20</v>
      </c>
      <c r="W430">
        <v>2</v>
      </c>
      <c r="X430">
        <v>3</v>
      </c>
      <c r="Y430">
        <v>5</v>
      </c>
      <c r="Z430">
        <v>0</v>
      </c>
      <c r="AA430">
        <v>0</v>
      </c>
      <c r="AB430">
        <v>4</v>
      </c>
    </row>
    <row r="431" spans="1:28" x14ac:dyDescent="0.35">
      <c r="A431" s="2">
        <v>46</v>
      </c>
      <c r="B431" s="2" t="str" cm="1">
        <f t="array" ref="B431">_xlfn.IFS(HR_table[[#This Row],[Age]]&lt;=20, "Under 20yrs",HR_table[[#This Row],[Age]]&lt;=30,"(21-30)yrs",HR_table[[#This Row],[Age]]&lt;=40,"(31-40)yrs",HR_table[[#This Row],[Age]]&lt;=50,"(41-50)yrs",HR_table[[#This Row],[Age]]&lt;=60,"(51-60)yrs")</f>
        <v>(41-50)yrs</v>
      </c>
      <c r="C431" t="s">
        <v>43</v>
      </c>
      <c r="D431" t="s">
        <v>36</v>
      </c>
      <c r="E431" t="s">
        <v>45</v>
      </c>
      <c r="F431" t="s">
        <v>38</v>
      </c>
      <c r="G431" t="s">
        <v>58</v>
      </c>
      <c r="H431">
        <v>575</v>
      </c>
      <c r="I431" s="2">
        <v>2</v>
      </c>
      <c r="J431" s="2">
        <v>1</v>
      </c>
      <c r="K431" t="s">
        <v>46</v>
      </c>
      <c r="L431" s="2">
        <v>4</v>
      </c>
      <c r="M431" s="2">
        <v>3</v>
      </c>
      <c r="N431" t="s">
        <v>48</v>
      </c>
      <c r="O431" s="2">
        <v>17861</v>
      </c>
      <c r="P431" s="2">
        <v>2288</v>
      </c>
      <c r="Q431" s="2">
        <v>6</v>
      </c>
      <c r="R431" t="s">
        <v>43</v>
      </c>
      <c r="S431" s="2">
        <v>3</v>
      </c>
      <c r="T431" s="2">
        <v>3</v>
      </c>
      <c r="U431">
        <v>80</v>
      </c>
      <c r="V431" s="2">
        <v>26</v>
      </c>
      <c r="W431">
        <v>2</v>
      </c>
      <c r="X431">
        <v>1</v>
      </c>
      <c r="Y431">
        <v>3</v>
      </c>
      <c r="Z431">
        <v>2</v>
      </c>
      <c r="AA431">
        <v>0</v>
      </c>
      <c r="AB431">
        <v>1</v>
      </c>
    </row>
    <row r="432" spans="1:28" x14ac:dyDescent="0.35">
      <c r="A432" s="2">
        <v>35</v>
      </c>
      <c r="B432" s="2" t="str" cm="1">
        <f t="array" ref="B432">_xlfn.IFS(HR_table[[#This Row],[Age]]&lt;=20, "Under 20yrs",HR_table[[#This Row],[Age]]&lt;=30,"(21-30)yrs",HR_table[[#This Row],[Age]]&lt;=40,"(31-40)yrs",HR_table[[#This Row],[Age]]&lt;=50,"(41-50)yrs",HR_table[[#This Row],[Age]]&lt;=60,"(51-60)yrs")</f>
        <v>(31-40)yrs</v>
      </c>
      <c r="C432" t="s">
        <v>43</v>
      </c>
      <c r="D432" t="s">
        <v>36</v>
      </c>
      <c r="E432" t="s">
        <v>45</v>
      </c>
      <c r="F432" t="s">
        <v>38</v>
      </c>
      <c r="G432" t="s">
        <v>50</v>
      </c>
      <c r="H432">
        <v>577</v>
      </c>
      <c r="I432" s="2">
        <v>22</v>
      </c>
      <c r="J432" s="2">
        <v>4</v>
      </c>
      <c r="K432" t="s">
        <v>46</v>
      </c>
      <c r="L432" s="2">
        <v>1</v>
      </c>
      <c r="M432" s="2">
        <v>3</v>
      </c>
      <c r="N432" t="s">
        <v>41</v>
      </c>
      <c r="O432" s="2">
        <v>4230</v>
      </c>
      <c r="P432" s="2">
        <v>19225</v>
      </c>
      <c r="Q432" s="2">
        <v>0</v>
      </c>
      <c r="R432" t="s">
        <v>43</v>
      </c>
      <c r="S432" s="2">
        <v>3</v>
      </c>
      <c r="T432" s="2">
        <v>3</v>
      </c>
      <c r="U432">
        <v>80</v>
      </c>
      <c r="V432" s="2">
        <v>6</v>
      </c>
      <c r="W432">
        <v>2</v>
      </c>
      <c r="X432">
        <v>3</v>
      </c>
      <c r="Y432">
        <v>5</v>
      </c>
      <c r="Z432">
        <v>4</v>
      </c>
      <c r="AA432">
        <v>4</v>
      </c>
      <c r="AB432">
        <v>3</v>
      </c>
    </row>
    <row r="433" spans="1:28" x14ac:dyDescent="0.35">
      <c r="A433" s="2">
        <v>54</v>
      </c>
      <c r="B433" s="2" t="str" cm="1">
        <f t="array" ref="B433">_xlfn.IFS(HR_table[[#This Row],[Age]]&lt;=20, "Under 20yrs",HR_table[[#This Row],[Age]]&lt;=30,"(21-30)yrs",HR_table[[#This Row],[Age]]&lt;=40,"(31-40)yrs",HR_table[[#This Row],[Age]]&lt;=50,"(41-50)yrs",HR_table[[#This Row],[Age]]&lt;=60,"(51-60)yrs")</f>
        <v>(51-60)yrs</v>
      </c>
      <c r="C433" t="s">
        <v>43</v>
      </c>
      <c r="D433" t="s">
        <v>36</v>
      </c>
      <c r="E433" t="s">
        <v>45</v>
      </c>
      <c r="F433" t="s">
        <v>38</v>
      </c>
      <c r="G433" t="s">
        <v>50</v>
      </c>
      <c r="H433">
        <v>578</v>
      </c>
      <c r="I433" s="2">
        <v>8</v>
      </c>
      <c r="J433" s="2">
        <v>3</v>
      </c>
      <c r="K433" t="s">
        <v>39</v>
      </c>
      <c r="L433" s="2">
        <v>2</v>
      </c>
      <c r="M433" s="2">
        <v>3</v>
      </c>
      <c r="N433" t="s">
        <v>41</v>
      </c>
      <c r="O433" s="2">
        <v>3780</v>
      </c>
      <c r="P433" s="2">
        <v>23428</v>
      </c>
      <c r="Q433" s="2">
        <v>7</v>
      </c>
      <c r="R433" t="s">
        <v>43</v>
      </c>
      <c r="S433" s="2">
        <v>3</v>
      </c>
      <c r="T433" s="2">
        <v>3</v>
      </c>
      <c r="U433">
        <v>80</v>
      </c>
      <c r="V433" s="2">
        <v>19</v>
      </c>
      <c r="W433">
        <v>3</v>
      </c>
      <c r="X433">
        <v>3</v>
      </c>
      <c r="Y433">
        <v>1</v>
      </c>
      <c r="Z433">
        <v>0</v>
      </c>
      <c r="AA433">
        <v>0</v>
      </c>
      <c r="AB433">
        <v>0</v>
      </c>
    </row>
    <row r="434" spans="1:28" x14ac:dyDescent="0.35">
      <c r="A434" s="2">
        <v>34</v>
      </c>
      <c r="B434" s="2" t="str" cm="1">
        <f t="array" ref="B434">_xlfn.IFS(HR_table[[#This Row],[Age]]&lt;=20, "Under 20yrs",HR_table[[#This Row],[Age]]&lt;=30,"(21-30)yrs",HR_table[[#This Row],[Age]]&lt;=40,"(31-40)yrs",HR_table[[#This Row],[Age]]&lt;=50,"(41-50)yrs",HR_table[[#This Row],[Age]]&lt;=60,"(51-60)yrs")</f>
        <v>(31-40)yrs</v>
      </c>
      <c r="C434" t="s">
        <v>43</v>
      </c>
      <c r="D434" t="s">
        <v>36</v>
      </c>
      <c r="E434" t="s">
        <v>45</v>
      </c>
      <c r="F434" t="s">
        <v>38</v>
      </c>
      <c r="G434" t="s">
        <v>47</v>
      </c>
      <c r="H434">
        <v>579</v>
      </c>
      <c r="I434" s="2">
        <v>2</v>
      </c>
      <c r="J434" s="2">
        <v>4</v>
      </c>
      <c r="K434" t="s">
        <v>46</v>
      </c>
      <c r="L434" s="2">
        <v>1</v>
      </c>
      <c r="M434" s="2">
        <v>3</v>
      </c>
      <c r="N434" t="s">
        <v>52</v>
      </c>
      <c r="O434" s="2">
        <v>2768</v>
      </c>
      <c r="P434" s="2">
        <v>8416</v>
      </c>
      <c r="Q434" s="2">
        <v>3</v>
      </c>
      <c r="R434" t="s">
        <v>43</v>
      </c>
      <c r="S434" s="2">
        <v>3</v>
      </c>
      <c r="T434" s="2">
        <v>3</v>
      </c>
      <c r="U434">
        <v>80</v>
      </c>
      <c r="V434" s="2">
        <v>14</v>
      </c>
      <c r="W434">
        <v>3</v>
      </c>
      <c r="X434">
        <v>3</v>
      </c>
      <c r="Y434">
        <v>7</v>
      </c>
      <c r="Z434">
        <v>3</v>
      </c>
      <c r="AA434">
        <v>5</v>
      </c>
      <c r="AB434">
        <v>7</v>
      </c>
    </row>
    <row r="435" spans="1:28" x14ac:dyDescent="0.35">
      <c r="A435" s="2">
        <v>46</v>
      </c>
      <c r="B435" s="2" t="str" cm="1">
        <f t="array" ref="B435">_xlfn.IFS(HR_table[[#This Row],[Age]]&lt;=20, "Under 20yrs",HR_table[[#This Row],[Age]]&lt;=30,"(21-30)yrs",HR_table[[#This Row],[Age]]&lt;=40,"(31-40)yrs",HR_table[[#This Row],[Age]]&lt;=50,"(41-50)yrs",HR_table[[#This Row],[Age]]&lt;=60,"(51-60)yrs")</f>
        <v>(41-50)yrs</v>
      </c>
      <c r="C435" t="s">
        <v>43</v>
      </c>
      <c r="D435" t="s">
        <v>36</v>
      </c>
      <c r="E435" t="s">
        <v>37</v>
      </c>
      <c r="F435" t="s">
        <v>59</v>
      </c>
      <c r="G435" t="s">
        <v>40</v>
      </c>
      <c r="H435">
        <v>580</v>
      </c>
      <c r="I435" s="2">
        <v>10</v>
      </c>
      <c r="J435" s="2">
        <v>3</v>
      </c>
      <c r="K435" t="s">
        <v>39</v>
      </c>
      <c r="L435" s="2">
        <v>3</v>
      </c>
      <c r="M435" s="2">
        <v>4</v>
      </c>
      <c r="N435" t="s">
        <v>48</v>
      </c>
      <c r="O435" s="2">
        <v>9071</v>
      </c>
      <c r="P435" s="2">
        <v>11563</v>
      </c>
      <c r="Q435" s="2">
        <v>2</v>
      </c>
      <c r="R435" t="s">
        <v>35</v>
      </c>
      <c r="S435" s="2">
        <v>3</v>
      </c>
      <c r="T435" s="2">
        <v>3</v>
      </c>
      <c r="U435">
        <v>80</v>
      </c>
      <c r="V435" s="2">
        <v>15</v>
      </c>
      <c r="W435">
        <v>3</v>
      </c>
      <c r="X435">
        <v>3</v>
      </c>
      <c r="Y435">
        <v>3</v>
      </c>
      <c r="Z435">
        <v>2</v>
      </c>
      <c r="AA435">
        <v>1</v>
      </c>
      <c r="AB435">
        <v>2</v>
      </c>
    </row>
    <row r="436" spans="1:28" x14ac:dyDescent="0.35">
      <c r="A436" s="2">
        <v>31</v>
      </c>
      <c r="B436" s="2" t="str" cm="1">
        <f t="array" ref="B436">_xlfn.IFS(HR_table[[#This Row],[Age]]&lt;=20, "Under 20yrs",HR_table[[#This Row],[Age]]&lt;=30,"(21-30)yrs",HR_table[[#This Row],[Age]]&lt;=40,"(31-40)yrs",HR_table[[#This Row],[Age]]&lt;=50,"(41-50)yrs",HR_table[[#This Row],[Age]]&lt;=60,"(51-60)yrs")</f>
        <v>(31-40)yrs</v>
      </c>
      <c r="C436" t="s">
        <v>43</v>
      </c>
      <c r="D436" t="s">
        <v>36</v>
      </c>
      <c r="E436" t="s">
        <v>45</v>
      </c>
      <c r="F436" t="s">
        <v>38</v>
      </c>
      <c r="G436" t="s">
        <v>53</v>
      </c>
      <c r="H436">
        <v>581</v>
      </c>
      <c r="I436" s="2">
        <v>9</v>
      </c>
      <c r="J436" s="2">
        <v>3</v>
      </c>
      <c r="K436" t="s">
        <v>46</v>
      </c>
      <c r="L436" s="2">
        <v>3</v>
      </c>
      <c r="M436" s="2">
        <v>2</v>
      </c>
      <c r="N436" t="s">
        <v>52</v>
      </c>
      <c r="O436" s="2">
        <v>10648</v>
      </c>
      <c r="P436" s="2">
        <v>14394</v>
      </c>
      <c r="Q436" s="2">
        <v>1</v>
      </c>
      <c r="R436" t="s">
        <v>43</v>
      </c>
      <c r="S436" s="2">
        <v>4</v>
      </c>
      <c r="T436" s="2">
        <v>4</v>
      </c>
      <c r="U436">
        <v>80</v>
      </c>
      <c r="V436" s="2">
        <v>13</v>
      </c>
      <c r="W436">
        <v>6</v>
      </c>
      <c r="X436">
        <v>4</v>
      </c>
      <c r="Y436">
        <v>13</v>
      </c>
      <c r="Z436">
        <v>8</v>
      </c>
      <c r="AA436">
        <v>0</v>
      </c>
      <c r="AB436">
        <v>8</v>
      </c>
    </row>
    <row r="437" spans="1:28" x14ac:dyDescent="0.35">
      <c r="A437" s="2">
        <v>33</v>
      </c>
      <c r="B437" s="2" t="str" cm="1">
        <f t="array" ref="B437">_xlfn.IFS(HR_table[[#This Row],[Age]]&lt;=20, "Under 20yrs",HR_table[[#This Row],[Age]]&lt;=30,"(21-30)yrs",HR_table[[#This Row],[Age]]&lt;=40,"(31-40)yrs",HR_table[[#This Row],[Age]]&lt;=50,"(41-50)yrs",HR_table[[#This Row],[Age]]&lt;=60,"(51-60)yrs")</f>
        <v>(31-40)yrs</v>
      </c>
      <c r="C437" t="s">
        <v>35</v>
      </c>
      <c r="D437" t="s">
        <v>36</v>
      </c>
      <c r="E437" t="s">
        <v>45</v>
      </c>
      <c r="F437" t="s">
        <v>51</v>
      </c>
      <c r="G437" t="s">
        <v>56</v>
      </c>
      <c r="H437">
        <v>582</v>
      </c>
      <c r="I437" s="2">
        <v>15</v>
      </c>
      <c r="J437" s="2">
        <v>2</v>
      </c>
      <c r="K437" t="s">
        <v>46</v>
      </c>
      <c r="L437" s="2">
        <v>3</v>
      </c>
      <c r="M437" s="2">
        <v>3</v>
      </c>
      <c r="N437" t="s">
        <v>48</v>
      </c>
      <c r="O437" s="2">
        <v>13610</v>
      </c>
      <c r="P437" s="2">
        <v>24619</v>
      </c>
      <c r="Q437" s="2">
        <v>7</v>
      </c>
      <c r="R437" t="s">
        <v>35</v>
      </c>
      <c r="S437" s="2">
        <v>3</v>
      </c>
      <c r="T437" s="2">
        <v>4</v>
      </c>
      <c r="U437">
        <v>80</v>
      </c>
      <c r="V437" s="2">
        <v>15</v>
      </c>
      <c r="W437">
        <v>2</v>
      </c>
      <c r="X437">
        <v>4</v>
      </c>
      <c r="Y437">
        <v>7</v>
      </c>
      <c r="Z437">
        <v>6</v>
      </c>
      <c r="AA437">
        <v>7</v>
      </c>
      <c r="AB437">
        <v>7</v>
      </c>
    </row>
    <row r="438" spans="1:28" x14ac:dyDescent="0.35">
      <c r="A438" s="2">
        <v>33</v>
      </c>
      <c r="B438" s="2" t="str" cm="1">
        <f t="array" ref="B438">_xlfn.IFS(HR_table[[#This Row],[Age]]&lt;=20, "Under 20yrs",HR_table[[#This Row],[Age]]&lt;=30,"(21-30)yrs",HR_table[[#This Row],[Age]]&lt;=40,"(31-40)yrs",HR_table[[#This Row],[Age]]&lt;=50,"(41-50)yrs",HR_table[[#This Row],[Age]]&lt;=60,"(51-60)yrs")</f>
        <v>(31-40)yrs</v>
      </c>
      <c r="C438" t="s">
        <v>35</v>
      </c>
      <c r="D438" t="s">
        <v>36</v>
      </c>
      <c r="E438" t="s">
        <v>45</v>
      </c>
      <c r="F438" t="s">
        <v>51</v>
      </c>
      <c r="G438" t="s">
        <v>50</v>
      </c>
      <c r="H438">
        <v>584</v>
      </c>
      <c r="I438" s="2">
        <v>10</v>
      </c>
      <c r="J438" s="2">
        <v>1</v>
      </c>
      <c r="K438" t="s">
        <v>46</v>
      </c>
      <c r="L438" s="2">
        <v>1</v>
      </c>
      <c r="M438" s="2">
        <v>4</v>
      </c>
      <c r="N438" t="s">
        <v>52</v>
      </c>
      <c r="O438" s="2">
        <v>3408</v>
      </c>
      <c r="P438" s="2">
        <v>6705</v>
      </c>
      <c r="Q438" s="2">
        <v>7</v>
      </c>
      <c r="R438" t="s">
        <v>43</v>
      </c>
      <c r="S438" s="2">
        <v>3</v>
      </c>
      <c r="T438" s="2">
        <v>1</v>
      </c>
      <c r="U438">
        <v>80</v>
      </c>
      <c r="V438" s="2">
        <v>8</v>
      </c>
      <c r="W438">
        <v>2</v>
      </c>
      <c r="X438">
        <v>3</v>
      </c>
      <c r="Y438">
        <v>4</v>
      </c>
      <c r="Z438">
        <v>3</v>
      </c>
      <c r="AA438">
        <v>1</v>
      </c>
      <c r="AB438">
        <v>3</v>
      </c>
    </row>
    <row r="439" spans="1:28" x14ac:dyDescent="0.35">
      <c r="A439" s="2">
        <v>30</v>
      </c>
      <c r="B439" s="2" t="str" cm="1">
        <f t="array" ref="B439">_xlfn.IFS(HR_table[[#This Row],[Age]]&lt;=20, "Under 20yrs",HR_table[[#This Row],[Age]]&lt;=30,"(21-30)yrs",HR_table[[#This Row],[Age]]&lt;=40,"(31-40)yrs",HR_table[[#This Row],[Age]]&lt;=50,"(41-50)yrs",HR_table[[#This Row],[Age]]&lt;=60,"(51-60)yrs")</f>
        <v>(21-30)yrs</v>
      </c>
      <c r="C439" t="s">
        <v>43</v>
      </c>
      <c r="D439" t="s">
        <v>36</v>
      </c>
      <c r="E439" t="s">
        <v>37</v>
      </c>
      <c r="F439" t="s">
        <v>59</v>
      </c>
      <c r="G439" t="s">
        <v>57</v>
      </c>
      <c r="H439">
        <v>585</v>
      </c>
      <c r="I439" s="2">
        <v>7</v>
      </c>
      <c r="J439" s="2">
        <v>4</v>
      </c>
      <c r="K439" t="s">
        <v>46</v>
      </c>
      <c r="L439" s="2">
        <v>1</v>
      </c>
      <c r="M439" s="2">
        <v>2</v>
      </c>
      <c r="N439" t="s">
        <v>41</v>
      </c>
      <c r="O439" s="2">
        <v>2983</v>
      </c>
      <c r="P439" s="2">
        <v>18398</v>
      </c>
      <c r="Q439" s="2">
        <v>0</v>
      </c>
      <c r="R439" t="s">
        <v>43</v>
      </c>
      <c r="S439" s="2">
        <v>3</v>
      </c>
      <c r="T439" s="2">
        <v>1</v>
      </c>
      <c r="U439">
        <v>80</v>
      </c>
      <c r="V439" s="2">
        <v>4</v>
      </c>
      <c r="W439">
        <v>3</v>
      </c>
      <c r="X439">
        <v>3</v>
      </c>
      <c r="Y439">
        <v>3</v>
      </c>
      <c r="Z439">
        <v>2</v>
      </c>
      <c r="AA439">
        <v>1</v>
      </c>
      <c r="AB439">
        <v>2</v>
      </c>
    </row>
    <row r="440" spans="1:28" x14ac:dyDescent="0.35">
      <c r="A440" s="2">
        <v>35</v>
      </c>
      <c r="B440" s="2" t="str" cm="1">
        <f t="array" ref="B440">_xlfn.IFS(HR_table[[#This Row],[Age]]&lt;=20, "Under 20yrs",HR_table[[#This Row],[Age]]&lt;=30,"(21-30)yrs",HR_table[[#This Row],[Age]]&lt;=40,"(31-40)yrs",HR_table[[#This Row],[Age]]&lt;=50,"(41-50)yrs",HR_table[[#This Row],[Age]]&lt;=60,"(51-60)yrs")</f>
        <v>(31-40)yrs</v>
      </c>
      <c r="C440" t="s">
        <v>43</v>
      </c>
      <c r="D440" t="s">
        <v>36</v>
      </c>
      <c r="E440" t="s">
        <v>45</v>
      </c>
      <c r="F440" t="s">
        <v>38</v>
      </c>
      <c r="G440" t="s">
        <v>54</v>
      </c>
      <c r="H440">
        <v>586</v>
      </c>
      <c r="I440" s="2">
        <v>16</v>
      </c>
      <c r="J440" s="2">
        <v>4</v>
      </c>
      <c r="K440" t="s">
        <v>46</v>
      </c>
      <c r="L440" s="2">
        <v>3</v>
      </c>
      <c r="M440" s="2">
        <v>3</v>
      </c>
      <c r="N440" t="s">
        <v>48</v>
      </c>
      <c r="O440" s="2">
        <v>7632</v>
      </c>
      <c r="P440" s="2">
        <v>14295</v>
      </c>
      <c r="Q440" s="2">
        <v>4</v>
      </c>
      <c r="R440" t="s">
        <v>35</v>
      </c>
      <c r="S440" s="2">
        <v>3</v>
      </c>
      <c r="T440" s="2">
        <v>3</v>
      </c>
      <c r="U440">
        <v>80</v>
      </c>
      <c r="V440" s="2">
        <v>10</v>
      </c>
      <c r="W440">
        <v>2</v>
      </c>
      <c r="X440">
        <v>3</v>
      </c>
      <c r="Y440">
        <v>8</v>
      </c>
      <c r="Z440">
        <v>7</v>
      </c>
      <c r="AA440">
        <v>0</v>
      </c>
      <c r="AB440">
        <v>0</v>
      </c>
    </row>
    <row r="441" spans="1:28" x14ac:dyDescent="0.35">
      <c r="A441" s="2">
        <v>31</v>
      </c>
      <c r="B441" s="2" t="str" cm="1">
        <f t="array" ref="B441">_xlfn.IFS(HR_table[[#This Row],[Age]]&lt;=20, "Under 20yrs",HR_table[[#This Row],[Age]]&lt;=30,"(21-30)yrs",HR_table[[#This Row],[Age]]&lt;=40,"(31-40)yrs",HR_table[[#This Row],[Age]]&lt;=50,"(41-50)yrs",HR_table[[#This Row],[Age]]&lt;=60,"(51-60)yrs")</f>
        <v>(31-40)yrs</v>
      </c>
      <c r="C441" t="s">
        <v>35</v>
      </c>
      <c r="D441" t="s">
        <v>44</v>
      </c>
      <c r="E441" t="s">
        <v>45</v>
      </c>
      <c r="F441" t="s">
        <v>38</v>
      </c>
      <c r="G441" t="s">
        <v>54</v>
      </c>
      <c r="H441">
        <v>587</v>
      </c>
      <c r="I441" s="2">
        <v>20</v>
      </c>
      <c r="J441" s="2">
        <v>1</v>
      </c>
      <c r="K441" t="s">
        <v>46</v>
      </c>
      <c r="L441" s="2">
        <v>3</v>
      </c>
      <c r="M441" s="2">
        <v>3</v>
      </c>
      <c r="N441" t="s">
        <v>48</v>
      </c>
      <c r="O441" s="2">
        <v>9824</v>
      </c>
      <c r="P441" s="2">
        <v>22908</v>
      </c>
      <c r="Q441" s="2">
        <v>3</v>
      </c>
      <c r="R441" t="s">
        <v>43</v>
      </c>
      <c r="S441" s="2">
        <v>3</v>
      </c>
      <c r="T441" s="2">
        <v>1</v>
      </c>
      <c r="U441">
        <v>80</v>
      </c>
      <c r="V441" s="2">
        <v>12</v>
      </c>
      <c r="W441">
        <v>2</v>
      </c>
      <c r="X441">
        <v>3</v>
      </c>
      <c r="Y441">
        <v>1</v>
      </c>
      <c r="Z441">
        <v>0</v>
      </c>
      <c r="AA441">
        <v>0</v>
      </c>
      <c r="AB441">
        <v>0</v>
      </c>
    </row>
    <row r="442" spans="1:28" x14ac:dyDescent="0.35">
      <c r="A442" s="2">
        <v>34</v>
      </c>
      <c r="B442" s="2" t="str" cm="1">
        <f t="array" ref="B442">_xlfn.IFS(HR_table[[#This Row],[Age]]&lt;=20, "Under 20yrs",HR_table[[#This Row],[Age]]&lt;=30,"(21-30)yrs",HR_table[[#This Row],[Age]]&lt;=40,"(31-40)yrs",HR_table[[#This Row],[Age]]&lt;=50,"(41-50)yrs",HR_table[[#This Row],[Age]]&lt;=60,"(51-60)yrs")</f>
        <v>(31-40)yrs</v>
      </c>
      <c r="C442" t="s">
        <v>35</v>
      </c>
      <c r="D442" t="s">
        <v>44</v>
      </c>
      <c r="E442" t="s">
        <v>61</v>
      </c>
      <c r="F442" t="s">
        <v>61</v>
      </c>
      <c r="G442" t="s">
        <v>61</v>
      </c>
      <c r="H442">
        <v>590</v>
      </c>
      <c r="I442" s="2">
        <v>23</v>
      </c>
      <c r="J442" s="2">
        <v>2</v>
      </c>
      <c r="K442" t="s">
        <v>39</v>
      </c>
      <c r="L442" s="2">
        <v>3</v>
      </c>
      <c r="M442" s="2">
        <v>1</v>
      </c>
      <c r="N442" t="s">
        <v>52</v>
      </c>
      <c r="O442" s="2">
        <v>9950</v>
      </c>
      <c r="P442" s="2">
        <v>11533</v>
      </c>
      <c r="Q442" s="2">
        <v>9</v>
      </c>
      <c r="R442" t="s">
        <v>35</v>
      </c>
      <c r="S442" s="2">
        <v>3</v>
      </c>
      <c r="T442" s="2">
        <v>3</v>
      </c>
      <c r="U442">
        <v>80</v>
      </c>
      <c r="V442" s="2">
        <v>11</v>
      </c>
      <c r="W442">
        <v>2</v>
      </c>
      <c r="X442">
        <v>3</v>
      </c>
      <c r="Y442">
        <v>3</v>
      </c>
      <c r="Z442">
        <v>2</v>
      </c>
      <c r="AA442">
        <v>0</v>
      </c>
      <c r="AB442">
        <v>2</v>
      </c>
    </row>
    <row r="443" spans="1:28" x14ac:dyDescent="0.35">
      <c r="A443" s="2">
        <v>42</v>
      </c>
      <c r="B443" s="2" t="str" cm="1">
        <f t="array" ref="B443">_xlfn.IFS(HR_table[[#This Row],[Age]]&lt;=20, "Under 20yrs",HR_table[[#This Row],[Age]]&lt;=30,"(21-30)yrs",HR_table[[#This Row],[Age]]&lt;=40,"(31-40)yrs",HR_table[[#This Row],[Age]]&lt;=50,"(41-50)yrs",HR_table[[#This Row],[Age]]&lt;=60,"(51-60)yrs")</f>
        <v>(41-50)yrs</v>
      </c>
      <c r="C443" t="s">
        <v>43</v>
      </c>
      <c r="D443" t="s">
        <v>44</v>
      </c>
      <c r="E443" t="s">
        <v>45</v>
      </c>
      <c r="F443" t="s">
        <v>49</v>
      </c>
      <c r="G443" t="s">
        <v>50</v>
      </c>
      <c r="H443">
        <v>591</v>
      </c>
      <c r="I443" s="2">
        <v>5</v>
      </c>
      <c r="J443" s="2">
        <v>2</v>
      </c>
      <c r="K443" t="s">
        <v>46</v>
      </c>
      <c r="L443" s="2">
        <v>1</v>
      </c>
      <c r="M443" s="2">
        <v>3</v>
      </c>
      <c r="N443" t="s">
        <v>48</v>
      </c>
      <c r="O443" s="2">
        <v>2093</v>
      </c>
      <c r="P443" s="2">
        <v>9260</v>
      </c>
      <c r="Q443" s="2">
        <v>4</v>
      </c>
      <c r="R443" t="s">
        <v>43</v>
      </c>
      <c r="S443" s="2">
        <v>3</v>
      </c>
      <c r="T443" s="2">
        <v>4</v>
      </c>
      <c r="U443">
        <v>80</v>
      </c>
      <c r="V443" s="2">
        <v>8</v>
      </c>
      <c r="W443">
        <v>4</v>
      </c>
      <c r="X443">
        <v>3</v>
      </c>
      <c r="Y443">
        <v>2</v>
      </c>
      <c r="Z443">
        <v>2</v>
      </c>
      <c r="AA443">
        <v>2</v>
      </c>
      <c r="AB443">
        <v>0</v>
      </c>
    </row>
    <row r="444" spans="1:28" x14ac:dyDescent="0.35">
      <c r="A444" s="2">
        <v>36</v>
      </c>
      <c r="B444" s="2" t="str" cm="1">
        <f t="array" ref="B444">_xlfn.IFS(HR_table[[#This Row],[Age]]&lt;=20, "Under 20yrs",HR_table[[#This Row],[Age]]&lt;=30,"(21-30)yrs",HR_table[[#This Row],[Age]]&lt;=40,"(31-40)yrs",HR_table[[#This Row],[Age]]&lt;=50,"(41-50)yrs",HR_table[[#This Row],[Age]]&lt;=60,"(51-60)yrs")</f>
        <v>(31-40)yrs</v>
      </c>
      <c r="C444" t="s">
        <v>43</v>
      </c>
      <c r="D444" t="s">
        <v>55</v>
      </c>
      <c r="E444" t="s">
        <v>37</v>
      </c>
      <c r="F444" t="s">
        <v>51</v>
      </c>
      <c r="G444" t="s">
        <v>40</v>
      </c>
      <c r="H444">
        <v>592</v>
      </c>
      <c r="I444" s="2">
        <v>10</v>
      </c>
      <c r="J444" s="2">
        <v>2</v>
      </c>
      <c r="K444" t="s">
        <v>46</v>
      </c>
      <c r="L444" s="2">
        <v>3</v>
      </c>
      <c r="M444" s="2">
        <v>4</v>
      </c>
      <c r="N444" t="s">
        <v>41</v>
      </c>
      <c r="O444" s="2">
        <v>9980</v>
      </c>
      <c r="P444" s="2">
        <v>15318</v>
      </c>
      <c r="Q444" s="2">
        <v>1</v>
      </c>
      <c r="R444" t="s">
        <v>43</v>
      </c>
      <c r="S444" s="2">
        <v>3</v>
      </c>
      <c r="T444" s="2">
        <v>4</v>
      </c>
      <c r="U444">
        <v>80</v>
      </c>
      <c r="V444" s="2">
        <v>10</v>
      </c>
      <c r="W444">
        <v>3</v>
      </c>
      <c r="X444">
        <v>2</v>
      </c>
      <c r="Y444">
        <v>10</v>
      </c>
      <c r="Z444">
        <v>3</v>
      </c>
      <c r="AA444">
        <v>9</v>
      </c>
      <c r="AB444">
        <v>7</v>
      </c>
    </row>
    <row r="445" spans="1:28" x14ac:dyDescent="0.35">
      <c r="A445" s="2">
        <v>22</v>
      </c>
      <c r="B445" s="2" t="str" cm="1">
        <f t="array" ref="B445">_xlfn.IFS(HR_table[[#This Row],[Age]]&lt;=20, "Under 20yrs",HR_table[[#This Row],[Age]]&lt;=30,"(21-30)yrs",HR_table[[#This Row],[Age]]&lt;=40,"(31-40)yrs",HR_table[[#This Row],[Age]]&lt;=50,"(41-50)yrs",HR_table[[#This Row],[Age]]&lt;=60,"(51-60)yrs")</f>
        <v>(21-30)yrs</v>
      </c>
      <c r="C445" t="s">
        <v>35</v>
      </c>
      <c r="D445" t="s">
        <v>44</v>
      </c>
      <c r="E445" t="s">
        <v>45</v>
      </c>
      <c r="F445" t="s">
        <v>60</v>
      </c>
      <c r="G445" t="s">
        <v>50</v>
      </c>
      <c r="H445">
        <v>593</v>
      </c>
      <c r="I445" s="2">
        <v>4</v>
      </c>
      <c r="J445" s="2">
        <v>3</v>
      </c>
      <c r="K445" t="s">
        <v>46</v>
      </c>
      <c r="L445" s="2">
        <v>1</v>
      </c>
      <c r="M445" s="2">
        <v>3</v>
      </c>
      <c r="N445" t="s">
        <v>41</v>
      </c>
      <c r="O445" s="2">
        <v>3894</v>
      </c>
      <c r="P445" s="2">
        <v>9129</v>
      </c>
      <c r="Q445" s="2">
        <v>5</v>
      </c>
      <c r="R445" t="s">
        <v>43</v>
      </c>
      <c r="S445" s="2">
        <v>3</v>
      </c>
      <c r="T445" s="2">
        <v>3</v>
      </c>
      <c r="U445">
        <v>80</v>
      </c>
      <c r="V445" s="2">
        <v>4</v>
      </c>
      <c r="W445">
        <v>3</v>
      </c>
      <c r="X445">
        <v>3</v>
      </c>
      <c r="Y445">
        <v>2</v>
      </c>
      <c r="Z445">
        <v>2</v>
      </c>
      <c r="AA445">
        <v>1</v>
      </c>
      <c r="AB445">
        <v>2</v>
      </c>
    </row>
    <row r="446" spans="1:28" x14ac:dyDescent="0.35">
      <c r="A446" s="2">
        <v>48</v>
      </c>
      <c r="B446" s="2" t="str" cm="1">
        <f t="array" ref="B446">_xlfn.IFS(HR_table[[#This Row],[Age]]&lt;=20, "Under 20yrs",HR_table[[#This Row],[Age]]&lt;=30,"(21-30)yrs",HR_table[[#This Row],[Age]]&lt;=40,"(31-40)yrs",HR_table[[#This Row],[Age]]&lt;=50,"(41-50)yrs",HR_table[[#This Row],[Age]]&lt;=60,"(51-60)yrs")</f>
        <v>(41-50)yrs</v>
      </c>
      <c r="C446" t="s">
        <v>43</v>
      </c>
      <c r="D446" t="s">
        <v>36</v>
      </c>
      <c r="E446" t="s">
        <v>37</v>
      </c>
      <c r="F446" t="s">
        <v>59</v>
      </c>
      <c r="G446" t="s">
        <v>40</v>
      </c>
      <c r="H446">
        <v>595</v>
      </c>
      <c r="I446" s="2">
        <v>2</v>
      </c>
      <c r="J446" s="2">
        <v>2</v>
      </c>
      <c r="K446" t="s">
        <v>39</v>
      </c>
      <c r="L446" s="2">
        <v>2</v>
      </c>
      <c r="M446" s="2">
        <v>4</v>
      </c>
      <c r="N446" t="s">
        <v>48</v>
      </c>
      <c r="O446" s="2">
        <v>4051</v>
      </c>
      <c r="P446" s="2">
        <v>19658</v>
      </c>
      <c r="Q446" s="2">
        <v>2</v>
      </c>
      <c r="R446" t="s">
        <v>43</v>
      </c>
      <c r="S446" s="2">
        <v>3</v>
      </c>
      <c r="T446" s="2">
        <v>1</v>
      </c>
      <c r="U446">
        <v>80</v>
      </c>
      <c r="V446" s="2">
        <v>14</v>
      </c>
      <c r="W446">
        <v>2</v>
      </c>
      <c r="X446">
        <v>3</v>
      </c>
      <c r="Y446">
        <v>9</v>
      </c>
      <c r="Z446">
        <v>7</v>
      </c>
      <c r="AA446">
        <v>6</v>
      </c>
      <c r="AB446">
        <v>7</v>
      </c>
    </row>
    <row r="447" spans="1:28" x14ac:dyDescent="0.35">
      <c r="A447" s="2">
        <v>55</v>
      </c>
      <c r="B447" s="2" t="str" cm="1">
        <f t="array" ref="B447">_xlfn.IFS(HR_table[[#This Row],[Age]]&lt;=20, "Under 20yrs",HR_table[[#This Row],[Age]]&lt;=30,"(21-30)yrs",HR_table[[#This Row],[Age]]&lt;=40,"(31-40)yrs",HR_table[[#This Row],[Age]]&lt;=50,"(41-50)yrs",HR_table[[#This Row],[Age]]&lt;=60,"(51-60)yrs")</f>
        <v>(51-60)yrs</v>
      </c>
      <c r="C447" t="s">
        <v>43</v>
      </c>
      <c r="D447" t="s">
        <v>36</v>
      </c>
      <c r="E447" t="s">
        <v>37</v>
      </c>
      <c r="F447" t="s">
        <v>38</v>
      </c>
      <c r="G447" t="s">
        <v>56</v>
      </c>
      <c r="H447">
        <v>597</v>
      </c>
      <c r="I447" s="2">
        <v>18</v>
      </c>
      <c r="J447" s="2">
        <v>1</v>
      </c>
      <c r="K447" t="s">
        <v>39</v>
      </c>
      <c r="L447" s="2">
        <v>4</v>
      </c>
      <c r="M447" s="2">
        <v>2</v>
      </c>
      <c r="N447" t="s">
        <v>41</v>
      </c>
      <c r="O447" s="2">
        <v>16835</v>
      </c>
      <c r="P447" s="2">
        <v>9873</v>
      </c>
      <c r="Q447" s="2">
        <v>3</v>
      </c>
      <c r="R447" t="s">
        <v>43</v>
      </c>
      <c r="S447" s="2">
        <v>4</v>
      </c>
      <c r="T447" s="2">
        <v>4</v>
      </c>
      <c r="U447">
        <v>80</v>
      </c>
      <c r="V447" s="2">
        <v>37</v>
      </c>
      <c r="W447">
        <v>2</v>
      </c>
      <c r="X447">
        <v>3</v>
      </c>
      <c r="Y447">
        <v>10</v>
      </c>
      <c r="Z447">
        <v>9</v>
      </c>
      <c r="AA447">
        <v>7</v>
      </c>
      <c r="AB447">
        <v>7</v>
      </c>
    </row>
    <row r="448" spans="1:28" x14ac:dyDescent="0.35">
      <c r="A448" s="2">
        <v>41</v>
      </c>
      <c r="B448" s="2" t="str" cm="1">
        <f t="array" ref="B448">_xlfn.IFS(HR_table[[#This Row],[Age]]&lt;=20, "Under 20yrs",HR_table[[#This Row],[Age]]&lt;=30,"(21-30)yrs",HR_table[[#This Row],[Age]]&lt;=40,"(31-40)yrs",HR_table[[#This Row],[Age]]&lt;=50,"(41-50)yrs",HR_table[[#This Row],[Age]]&lt;=60,"(51-60)yrs")</f>
        <v>(41-50)yrs</v>
      </c>
      <c r="C448" t="s">
        <v>43</v>
      </c>
      <c r="D448" t="s">
        <v>55</v>
      </c>
      <c r="E448" t="s">
        <v>37</v>
      </c>
      <c r="F448" t="s">
        <v>38</v>
      </c>
      <c r="G448" t="s">
        <v>40</v>
      </c>
      <c r="H448">
        <v>599</v>
      </c>
      <c r="I448" s="2">
        <v>10</v>
      </c>
      <c r="J448" s="2">
        <v>4</v>
      </c>
      <c r="K448" t="s">
        <v>46</v>
      </c>
      <c r="L448" s="2">
        <v>2</v>
      </c>
      <c r="M448" s="2">
        <v>4</v>
      </c>
      <c r="N448" t="s">
        <v>41</v>
      </c>
      <c r="O448" s="2">
        <v>6230</v>
      </c>
      <c r="P448" s="2">
        <v>13430</v>
      </c>
      <c r="Q448" s="2">
        <v>7</v>
      </c>
      <c r="R448" t="s">
        <v>43</v>
      </c>
      <c r="S448" s="2">
        <v>3</v>
      </c>
      <c r="T448" s="2">
        <v>4</v>
      </c>
      <c r="U448">
        <v>80</v>
      </c>
      <c r="V448" s="2">
        <v>16</v>
      </c>
      <c r="W448">
        <v>3</v>
      </c>
      <c r="X448">
        <v>3</v>
      </c>
      <c r="Y448">
        <v>14</v>
      </c>
      <c r="Z448">
        <v>3</v>
      </c>
      <c r="AA448">
        <v>1</v>
      </c>
      <c r="AB448">
        <v>10</v>
      </c>
    </row>
    <row r="449" spans="1:28" x14ac:dyDescent="0.35">
      <c r="A449" s="2">
        <v>35</v>
      </c>
      <c r="B449" s="2" t="str" cm="1">
        <f t="array" ref="B449">_xlfn.IFS(HR_table[[#This Row],[Age]]&lt;=20, "Under 20yrs",HR_table[[#This Row],[Age]]&lt;=30,"(21-30)yrs",HR_table[[#This Row],[Age]]&lt;=40,"(31-40)yrs",HR_table[[#This Row],[Age]]&lt;=50,"(41-50)yrs",HR_table[[#This Row],[Age]]&lt;=60,"(51-60)yrs")</f>
        <v>(31-40)yrs</v>
      </c>
      <c r="C449" t="s">
        <v>43</v>
      </c>
      <c r="D449" t="s">
        <v>36</v>
      </c>
      <c r="E449" t="s">
        <v>37</v>
      </c>
      <c r="F449" t="s">
        <v>59</v>
      </c>
      <c r="G449" t="s">
        <v>40</v>
      </c>
      <c r="H449">
        <v>600</v>
      </c>
      <c r="I449" s="2">
        <v>1</v>
      </c>
      <c r="J449" s="2">
        <v>2</v>
      </c>
      <c r="K449" t="s">
        <v>46</v>
      </c>
      <c r="L449" s="2">
        <v>2</v>
      </c>
      <c r="M449" s="2">
        <v>3</v>
      </c>
      <c r="N449" t="s">
        <v>48</v>
      </c>
      <c r="O449" s="2">
        <v>4717</v>
      </c>
      <c r="P449" s="2">
        <v>18659</v>
      </c>
      <c r="Q449" s="2">
        <v>9</v>
      </c>
      <c r="R449" t="s">
        <v>43</v>
      </c>
      <c r="S449" s="2">
        <v>3</v>
      </c>
      <c r="T449" s="2">
        <v>3</v>
      </c>
      <c r="U449">
        <v>80</v>
      </c>
      <c r="V449" s="2">
        <v>15</v>
      </c>
      <c r="W449">
        <v>2</v>
      </c>
      <c r="X449">
        <v>3</v>
      </c>
      <c r="Y449">
        <v>11</v>
      </c>
      <c r="Z449">
        <v>9</v>
      </c>
      <c r="AA449">
        <v>6</v>
      </c>
      <c r="AB449">
        <v>9</v>
      </c>
    </row>
    <row r="450" spans="1:28" x14ac:dyDescent="0.35">
      <c r="A450" s="2">
        <v>40</v>
      </c>
      <c r="B450" s="2" t="str" cm="1">
        <f t="array" ref="B450">_xlfn.IFS(HR_table[[#This Row],[Age]]&lt;=20, "Under 20yrs",HR_table[[#This Row],[Age]]&lt;=30,"(21-30)yrs",HR_table[[#This Row],[Age]]&lt;=40,"(31-40)yrs",HR_table[[#This Row],[Age]]&lt;=50,"(41-50)yrs",HR_table[[#This Row],[Age]]&lt;=60,"(51-60)yrs")</f>
        <v>(31-40)yrs</v>
      </c>
      <c r="C450" t="s">
        <v>43</v>
      </c>
      <c r="D450" t="s">
        <v>36</v>
      </c>
      <c r="E450" t="s">
        <v>45</v>
      </c>
      <c r="F450" t="s">
        <v>38</v>
      </c>
      <c r="G450" t="s">
        <v>53</v>
      </c>
      <c r="H450">
        <v>601</v>
      </c>
      <c r="I450" s="2">
        <v>6</v>
      </c>
      <c r="J450" s="2">
        <v>2</v>
      </c>
      <c r="K450" t="s">
        <v>39</v>
      </c>
      <c r="L450" s="2">
        <v>4</v>
      </c>
      <c r="M450" s="2">
        <v>3</v>
      </c>
      <c r="N450" t="s">
        <v>41</v>
      </c>
      <c r="O450" s="2">
        <v>13237</v>
      </c>
      <c r="P450" s="2">
        <v>20364</v>
      </c>
      <c r="Q450" s="2">
        <v>7</v>
      </c>
      <c r="R450" t="s">
        <v>43</v>
      </c>
      <c r="S450" s="2">
        <v>3</v>
      </c>
      <c r="T450" s="2">
        <v>3</v>
      </c>
      <c r="U450">
        <v>80</v>
      </c>
      <c r="V450" s="2">
        <v>22</v>
      </c>
      <c r="W450">
        <v>3</v>
      </c>
      <c r="X450">
        <v>3</v>
      </c>
      <c r="Y450">
        <v>20</v>
      </c>
      <c r="Z450">
        <v>6</v>
      </c>
      <c r="AA450">
        <v>5</v>
      </c>
      <c r="AB450">
        <v>13</v>
      </c>
    </row>
    <row r="451" spans="1:28" x14ac:dyDescent="0.35">
      <c r="A451" s="2">
        <v>39</v>
      </c>
      <c r="B451" s="2" t="str" cm="1">
        <f t="array" ref="B451">_xlfn.IFS(HR_table[[#This Row],[Age]]&lt;=20, "Under 20yrs",HR_table[[#This Row],[Age]]&lt;=30,"(21-30)yrs",HR_table[[#This Row],[Age]]&lt;=40,"(31-40)yrs",HR_table[[#This Row],[Age]]&lt;=50,"(41-50)yrs",HR_table[[#This Row],[Age]]&lt;=60,"(51-60)yrs")</f>
        <v>(31-40)yrs</v>
      </c>
      <c r="C451" t="s">
        <v>43</v>
      </c>
      <c r="D451" t="s">
        <v>44</v>
      </c>
      <c r="E451" t="s">
        <v>45</v>
      </c>
      <c r="F451" t="s">
        <v>38</v>
      </c>
      <c r="G451" t="s">
        <v>50</v>
      </c>
      <c r="H451">
        <v>602</v>
      </c>
      <c r="I451" s="2">
        <v>8</v>
      </c>
      <c r="J451" s="2">
        <v>3</v>
      </c>
      <c r="K451" t="s">
        <v>39</v>
      </c>
      <c r="L451" s="2">
        <v>1</v>
      </c>
      <c r="M451" s="2">
        <v>3</v>
      </c>
      <c r="N451" t="s">
        <v>48</v>
      </c>
      <c r="O451" s="2">
        <v>3755</v>
      </c>
      <c r="P451" s="2">
        <v>17872</v>
      </c>
      <c r="Q451" s="2">
        <v>1</v>
      </c>
      <c r="R451" t="s">
        <v>43</v>
      </c>
      <c r="S451" s="2">
        <v>3</v>
      </c>
      <c r="T451" s="2">
        <v>1</v>
      </c>
      <c r="U451">
        <v>80</v>
      </c>
      <c r="V451" s="2">
        <v>8</v>
      </c>
      <c r="W451">
        <v>3</v>
      </c>
      <c r="X451">
        <v>3</v>
      </c>
      <c r="Y451">
        <v>8</v>
      </c>
      <c r="Z451">
        <v>3</v>
      </c>
      <c r="AA451">
        <v>0</v>
      </c>
      <c r="AB451">
        <v>7</v>
      </c>
    </row>
    <row r="452" spans="1:28" x14ac:dyDescent="0.35">
      <c r="A452" s="2">
        <v>31</v>
      </c>
      <c r="B452" s="2" t="str" cm="1">
        <f t="array" ref="B452">_xlfn.IFS(HR_table[[#This Row],[Age]]&lt;=20, "Under 20yrs",HR_table[[#This Row],[Age]]&lt;=30,"(21-30)yrs",HR_table[[#This Row],[Age]]&lt;=40,"(31-40)yrs",HR_table[[#This Row],[Age]]&lt;=50,"(41-50)yrs",HR_table[[#This Row],[Age]]&lt;=60,"(51-60)yrs")</f>
        <v>(31-40)yrs</v>
      </c>
      <c r="C452" t="s">
        <v>43</v>
      </c>
      <c r="D452" t="s">
        <v>36</v>
      </c>
      <c r="E452" t="s">
        <v>37</v>
      </c>
      <c r="F452" t="s">
        <v>38</v>
      </c>
      <c r="G452" t="s">
        <v>40</v>
      </c>
      <c r="H452">
        <v>604</v>
      </c>
      <c r="I452" s="2">
        <v>2</v>
      </c>
      <c r="J452" s="2">
        <v>2</v>
      </c>
      <c r="K452" t="s">
        <v>46</v>
      </c>
      <c r="L452" s="2">
        <v>2</v>
      </c>
      <c r="M452" s="2">
        <v>4</v>
      </c>
      <c r="N452" t="s">
        <v>41</v>
      </c>
      <c r="O452" s="2">
        <v>6582</v>
      </c>
      <c r="P452" s="2">
        <v>8346</v>
      </c>
      <c r="Q452" s="2">
        <v>4</v>
      </c>
      <c r="R452" t="s">
        <v>35</v>
      </c>
      <c r="S452" s="2">
        <v>3</v>
      </c>
      <c r="T452" s="2">
        <v>3</v>
      </c>
      <c r="U452">
        <v>80</v>
      </c>
      <c r="V452" s="2">
        <v>10</v>
      </c>
      <c r="W452">
        <v>2</v>
      </c>
      <c r="X452">
        <v>4</v>
      </c>
      <c r="Y452">
        <v>6</v>
      </c>
      <c r="Z452">
        <v>5</v>
      </c>
      <c r="AA452">
        <v>0</v>
      </c>
      <c r="AB452">
        <v>5</v>
      </c>
    </row>
    <row r="453" spans="1:28" x14ac:dyDescent="0.35">
      <c r="A453" s="2">
        <v>42</v>
      </c>
      <c r="B453" s="2" t="str" cm="1">
        <f t="array" ref="B453">_xlfn.IFS(HR_table[[#This Row],[Age]]&lt;=20, "Under 20yrs",HR_table[[#This Row],[Age]]&lt;=30,"(21-30)yrs",HR_table[[#This Row],[Age]]&lt;=40,"(31-40)yrs",HR_table[[#This Row],[Age]]&lt;=50,"(41-50)yrs",HR_table[[#This Row],[Age]]&lt;=60,"(51-60)yrs")</f>
        <v>(41-50)yrs</v>
      </c>
      <c r="C453" t="s">
        <v>43</v>
      </c>
      <c r="D453" t="s">
        <v>36</v>
      </c>
      <c r="E453" t="s">
        <v>45</v>
      </c>
      <c r="F453" t="s">
        <v>51</v>
      </c>
      <c r="G453" t="s">
        <v>53</v>
      </c>
      <c r="H453">
        <v>605</v>
      </c>
      <c r="I453" s="2">
        <v>24</v>
      </c>
      <c r="J453" s="2">
        <v>4</v>
      </c>
      <c r="K453" t="s">
        <v>46</v>
      </c>
      <c r="L453" s="2">
        <v>3</v>
      </c>
      <c r="M453" s="2">
        <v>1</v>
      </c>
      <c r="N453" t="s">
        <v>48</v>
      </c>
      <c r="O453" s="2">
        <v>7406</v>
      </c>
      <c r="P453" s="2">
        <v>6950</v>
      </c>
      <c r="Q453" s="2">
        <v>1</v>
      </c>
      <c r="R453" t="s">
        <v>35</v>
      </c>
      <c r="S453" s="2">
        <v>4</v>
      </c>
      <c r="T453" s="2">
        <v>4</v>
      </c>
      <c r="U453">
        <v>80</v>
      </c>
      <c r="V453" s="2">
        <v>10</v>
      </c>
      <c r="W453">
        <v>5</v>
      </c>
      <c r="X453">
        <v>2</v>
      </c>
      <c r="Y453">
        <v>10</v>
      </c>
      <c r="Z453">
        <v>9</v>
      </c>
      <c r="AA453">
        <v>5</v>
      </c>
      <c r="AB453">
        <v>8</v>
      </c>
    </row>
    <row r="454" spans="1:28" x14ac:dyDescent="0.35">
      <c r="A454" s="2">
        <v>45</v>
      </c>
      <c r="B454" s="2" t="str" cm="1">
        <f t="array" ref="B454">_xlfn.IFS(HR_table[[#This Row],[Age]]&lt;=20, "Under 20yrs",HR_table[[#This Row],[Age]]&lt;=30,"(21-30)yrs",HR_table[[#This Row],[Age]]&lt;=40,"(31-40)yrs",HR_table[[#This Row],[Age]]&lt;=50,"(41-50)yrs",HR_table[[#This Row],[Age]]&lt;=60,"(51-60)yrs")</f>
        <v>(41-50)yrs</v>
      </c>
      <c r="C454" t="s">
        <v>43</v>
      </c>
      <c r="D454" t="s">
        <v>36</v>
      </c>
      <c r="E454" t="s">
        <v>37</v>
      </c>
      <c r="F454" t="s">
        <v>49</v>
      </c>
      <c r="G454" t="s">
        <v>40</v>
      </c>
      <c r="H454">
        <v>606</v>
      </c>
      <c r="I454" s="2">
        <v>2</v>
      </c>
      <c r="J454" s="2">
        <v>4</v>
      </c>
      <c r="K454" t="s">
        <v>46</v>
      </c>
      <c r="L454" s="2">
        <v>2</v>
      </c>
      <c r="M454" s="2">
        <v>2</v>
      </c>
      <c r="N454" t="s">
        <v>48</v>
      </c>
      <c r="O454" s="2">
        <v>4805</v>
      </c>
      <c r="P454" s="2">
        <v>16177</v>
      </c>
      <c r="Q454" s="2">
        <v>0</v>
      </c>
      <c r="R454" t="s">
        <v>43</v>
      </c>
      <c r="S454" s="2">
        <v>3</v>
      </c>
      <c r="T454" s="2">
        <v>2</v>
      </c>
      <c r="U454">
        <v>80</v>
      </c>
      <c r="V454" s="2">
        <v>9</v>
      </c>
      <c r="W454">
        <v>3</v>
      </c>
      <c r="X454">
        <v>4</v>
      </c>
      <c r="Y454">
        <v>8</v>
      </c>
      <c r="Z454">
        <v>7</v>
      </c>
      <c r="AA454">
        <v>3</v>
      </c>
      <c r="AB454">
        <v>7</v>
      </c>
    </row>
    <row r="455" spans="1:28" x14ac:dyDescent="0.35">
      <c r="A455" s="2">
        <v>26</v>
      </c>
      <c r="B455" s="2" t="str" cm="1">
        <f t="array" ref="B455">_xlfn.IFS(HR_table[[#This Row],[Age]]&lt;=20, "Under 20yrs",HR_table[[#This Row],[Age]]&lt;=30,"(21-30)yrs",HR_table[[#This Row],[Age]]&lt;=40,"(31-40)yrs",HR_table[[#This Row],[Age]]&lt;=50,"(41-50)yrs",HR_table[[#This Row],[Age]]&lt;=60,"(51-60)yrs")</f>
        <v>(21-30)yrs</v>
      </c>
      <c r="C455" t="s">
        <v>35</v>
      </c>
      <c r="D455" t="s">
        <v>44</v>
      </c>
      <c r="E455" t="s">
        <v>61</v>
      </c>
      <c r="F455" t="s">
        <v>38</v>
      </c>
      <c r="G455" t="s">
        <v>61</v>
      </c>
      <c r="H455">
        <v>608</v>
      </c>
      <c r="I455" s="2">
        <v>17</v>
      </c>
      <c r="J455" s="2">
        <v>2</v>
      </c>
      <c r="K455" t="s">
        <v>39</v>
      </c>
      <c r="L455" s="2">
        <v>1</v>
      </c>
      <c r="M455" s="2">
        <v>3</v>
      </c>
      <c r="N455" t="s">
        <v>52</v>
      </c>
      <c r="O455" s="2">
        <v>2741</v>
      </c>
      <c r="P455" s="2">
        <v>22808</v>
      </c>
      <c r="Q455" s="2">
        <v>0</v>
      </c>
      <c r="R455" t="s">
        <v>35</v>
      </c>
      <c r="S455" s="2">
        <v>3</v>
      </c>
      <c r="T455" s="2">
        <v>2</v>
      </c>
      <c r="U455">
        <v>80</v>
      </c>
      <c r="V455" s="2">
        <v>8</v>
      </c>
      <c r="W455">
        <v>2</v>
      </c>
      <c r="X455">
        <v>2</v>
      </c>
      <c r="Y455">
        <v>7</v>
      </c>
      <c r="Z455">
        <v>7</v>
      </c>
      <c r="AA455">
        <v>1</v>
      </c>
      <c r="AB455">
        <v>0</v>
      </c>
    </row>
    <row r="456" spans="1:28" x14ac:dyDescent="0.35">
      <c r="A456" s="2">
        <v>29</v>
      </c>
      <c r="B456" s="2" t="str" cm="1">
        <f t="array" ref="B456">_xlfn.IFS(HR_table[[#This Row],[Age]]&lt;=20, "Under 20yrs",HR_table[[#This Row],[Age]]&lt;=30,"(21-30)yrs",HR_table[[#This Row],[Age]]&lt;=40,"(31-40)yrs",HR_table[[#This Row],[Age]]&lt;=50,"(41-50)yrs",HR_table[[#This Row],[Age]]&lt;=60,"(51-60)yrs")</f>
        <v>(21-30)yrs</v>
      </c>
      <c r="C456" t="s">
        <v>43</v>
      </c>
      <c r="D456" t="s">
        <v>36</v>
      </c>
      <c r="E456" t="s">
        <v>45</v>
      </c>
      <c r="F456" t="s">
        <v>60</v>
      </c>
      <c r="G456" t="s">
        <v>53</v>
      </c>
      <c r="H456">
        <v>611</v>
      </c>
      <c r="I456" s="2">
        <v>19</v>
      </c>
      <c r="J456" s="2">
        <v>4</v>
      </c>
      <c r="K456" t="s">
        <v>46</v>
      </c>
      <c r="L456" s="2">
        <v>2</v>
      </c>
      <c r="M456" s="2">
        <v>4</v>
      </c>
      <c r="N456" t="s">
        <v>52</v>
      </c>
      <c r="O456" s="2">
        <v>4262</v>
      </c>
      <c r="P456" s="2">
        <v>22645</v>
      </c>
      <c r="Q456" s="2">
        <v>4</v>
      </c>
      <c r="R456" t="s">
        <v>43</v>
      </c>
      <c r="S456" s="2">
        <v>3</v>
      </c>
      <c r="T456" s="2">
        <v>2</v>
      </c>
      <c r="U456">
        <v>80</v>
      </c>
      <c r="V456" s="2">
        <v>8</v>
      </c>
      <c r="W456">
        <v>2</v>
      </c>
      <c r="X456">
        <v>4</v>
      </c>
      <c r="Y456">
        <v>3</v>
      </c>
      <c r="Z456">
        <v>2</v>
      </c>
      <c r="AA456">
        <v>1</v>
      </c>
      <c r="AB456">
        <v>2</v>
      </c>
    </row>
    <row r="457" spans="1:28" x14ac:dyDescent="0.35">
      <c r="A457" s="2">
        <v>33</v>
      </c>
      <c r="B457" s="2" t="str" cm="1">
        <f t="array" ref="B457">_xlfn.IFS(HR_table[[#This Row],[Age]]&lt;=20, "Under 20yrs",HR_table[[#This Row],[Age]]&lt;=30,"(21-30)yrs",HR_table[[#This Row],[Age]]&lt;=40,"(31-40)yrs",HR_table[[#This Row],[Age]]&lt;=50,"(41-50)yrs",HR_table[[#This Row],[Age]]&lt;=60,"(51-60)yrs")</f>
        <v>(31-40)yrs</v>
      </c>
      <c r="C457" t="s">
        <v>43</v>
      </c>
      <c r="D457" t="s">
        <v>36</v>
      </c>
      <c r="E457" t="s">
        <v>45</v>
      </c>
      <c r="F457" t="s">
        <v>51</v>
      </c>
      <c r="G457" t="s">
        <v>58</v>
      </c>
      <c r="H457">
        <v>612</v>
      </c>
      <c r="I457" s="2">
        <v>1</v>
      </c>
      <c r="J457" s="2">
        <v>1</v>
      </c>
      <c r="K457" t="s">
        <v>39</v>
      </c>
      <c r="L457" s="2">
        <v>4</v>
      </c>
      <c r="M457" s="2">
        <v>3</v>
      </c>
      <c r="N457" t="s">
        <v>52</v>
      </c>
      <c r="O457" s="2">
        <v>16184</v>
      </c>
      <c r="P457" s="2">
        <v>22578</v>
      </c>
      <c r="Q457" s="2">
        <v>4</v>
      </c>
      <c r="R457" t="s">
        <v>43</v>
      </c>
      <c r="S457" s="2">
        <v>3</v>
      </c>
      <c r="T457" s="2">
        <v>3</v>
      </c>
      <c r="U457">
        <v>80</v>
      </c>
      <c r="V457" s="2">
        <v>10</v>
      </c>
      <c r="W457">
        <v>2</v>
      </c>
      <c r="X457">
        <v>3</v>
      </c>
      <c r="Y457">
        <v>6</v>
      </c>
      <c r="Z457">
        <v>1</v>
      </c>
      <c r="AA457">
        <v>0</v>
      </c>
      <c r="AB457">
        <v>5</v>
      </c>
    </row>
    <row r="458" spans="1:28" x14ac:dyDescent="0.35">
      <c r="A458" s="2">
        <v>31</v>
      </c>
      <c r="B458" s="2" t="str" cm="1">
        <f t="array" ref="B458">_xlfn.IFS(HR_table[[#This Row],[Age]]&lt;=20, "Under 20yrs",HR_table[[#This Row],[Age]]&lt;=30,"(21-30)yrs",HR_table[[#This Row],[Age]]&lt;=40,"(31-40)yrs",HR_table[[#This Row],[Age]]&lt;=50,"(41-50)yrs",HR_table[[#This Row],[Age]]&lt;=60,"(51-60)yrs")</f>
        <v>(31-40)yrs</v>
      </c>
      <c r="C458" t="s">
        <v>43</v>
      </c>
      <c r="D458" t="s">
        <v>36</v>
      </c>
      <c r="E458" t="s">
        <v>37</v>
      </c>
      <c r="F458" t="s">
        <v>38</v>
      </c>
      <c r="G458" t="s">
        <v>56</v>
      </c>
      <c r="H458">
        <v>613</v>
      </c>
      <c r="I458" s="2">
        <v>7</v>
      </c>
      <c r="J458" s="2">
        <v>3</v>
      </c>
      <c r="K458" t="s">
        <v>46</v>
      </c>
      <c r="L458" s="2">
        <v>3</v>
      </c>
      <c r="M458" s="2">
        <v>4</v>
      </c>
      <c r="N458" t="s">
        <v>52</v>
      </c>
      <c r="O458" s="2">
        <v>11557</v>
      </c>
      <c r="P458" s="2">
        <v>25291</v>
      </c>
      <c r="Q458" s="2">
        <v>9</v>
      </c>
      <c r="R458" t="s">
        <v>43</v>
      </c>
      <c r="S458" s="2">
        <v>4</v>
      </c>
      <c r="T458" s="2">
        <v>3</v>
      </c>
      <c r="U458">
        <v>80</v>
      </c>
      <c r="V458" s="2">
        <v>10</v>
      </c>
      <c r="W458">
        <v>3</v>
      </c>
      <c r="X458">
        <v>2</v>
      </c>
      <c r="Y458">
        <v>5</v>
      </c>
      <c r="Z458">
        <v>4</v>
      </c>
      <c r="AA458">
        <v>0</v>
      </c>
      <c r="AB458">
        <v>1</v>
      </c>
    </row>
    <row r="459" spans="1:28" x14ac:dyDescent="0.35">
      <c r="A459" s="2">
        <v>18</v>
      </c>
      <c r="B459" s="2" t="str" cm="1">
        <f t="array" ref="B459">_xlfn.IFS(HR_table[[#This Row],[Age]]&lt;=20, "Under 20yrs",HR_table[[#This Row],[Age]]&lt;=30,"(21-30)yrs",HR_table[[#This Row],[Age]]&lt;=40,"(31-40)yrs",HR_table[[#This Row],[Age]]&lt;=50,"(41-50)yrs",HR_table[[#This Row],[Age]]&lt;=60,"(51-60)yrs")</f>
        <v>Under 20yrs</v>
      </c>
      <c r="C459" t="s">
        <v>35</v>
      </c>
      <c r="D459" t="s">
        <v>44</v>
      </c>
      <c r="E459" t="s">
        <v>37</v>
      </c>
      <c r="F459" t="s">
        <v>59</v>
      </c>
      <c r="G459" t="s">
        <v>57</v>
      </c>
      <c r="H459">
        <v>614</v>
      </c>
      <c r="I459" s="2">
        <v>5</v>
      </c>
      <c r="J459" s="2">
        <v>2</v>
      </c>
      <c r="K459" t="s">
        <v>46</v>
      </c>
      <c r="L459" s="2">
        <v>1</v>
      </c>
      <c r="M459" s="2">
        <v>2</v>
      </c>
      <c r="N459" t="s">
        <v>41</v>
      </c>
      <c r="O459" s="2">
        <v>1878</v>
      </c>
      <c r="P459" s="2">
        <v>8059</v>
      </c>
      <c r="Q459" s="2">
        <v>1</v>
      </c>
      <c r="R459" t="s">
        <v>35</v>
      </c>
      <c r="S459" s="2">
        <v>3</v>
      </c>
      <c r="T459" s="2">
        <v>4</v>
      </c>
      <c r="U459">
        <v>80</v>
      </c>
      <c r="V459" s="2">
        <v>0</v>
      </c>
      <c r="W459">
        <v>3</v>
      </c>
      <c r="X459">
        <v>3</v>
      </c>
      <c r="Y459">
        <v>0</v>
      </c>
      <c r="Z459">
        <v>0</v>
      </c>
      <c r="AA459">
        <v>0</v>
      </c>
      <c r="AB459">
        <v>0</v>
      </c>
    </row>
    <row r="460" spans="1:28" x14ac:dyDescent="0.35">
      <c r="A460" s="2">
        <v>40</v>
      </c>
      <c r="B460" s="2" t="str" cm="1">
        <f t="array" ref="B460">_xlfn.IFS(HR_table[[#This Row],[Age]]&lt;=20, "Under 20yrs",HR_table[[#This Row],[Age]]&lt;=30,"(21-30)yrs",HR_table[[#This Row],[Age]]&lt;=40,"(31-40)yrs",HR_table[[#This Row],[Age]]&lt;=50,"(41-50)yrs",HR_table[[#This Row],[Age]]&lt;=60,"(51-60)yrs")</f>
        <v>(31-40)yrs</v>
      </c>
      <c r="C460" t="s">
        <v>43</v>
      </c>
      <c r="D460" t="s">
        <v>55</v>
      </c>
      <c r="E460" t="s">
        <v>37</v>
      </c>
      <c r="F460" t="s">
        <v>49</v>
      </c>
      <c r="G460" t="s">
        <v>40</v>
      </c>
      <c r="H460">
        <v>615</v>
      </c>
      <c r="I460" s="2">
        <v>28</v>
      </c>
      <c r="J460" s="2">
        <v>3</v>
      </c>
      <c r="K460" t="s">
        <v>46</v>
      </c>
      <c r="L460" s="2">
        <v>3</v>
      </c>
      <c r="M460" s="2">
        <v>1</v>
      </c>
      <c r="N460" t="s">
        <v>52</v>
      </c>
      <c r="O460" s="2">
        <v>10932</v>
      </c>
      <c r="P460" s="2">
        <v>11373</v>
      </c>
      <c r="Q460" s="2">
        <v>3</v>
      </c>
      <c r="R460" t="s">
        <v>43</v>
      </c>
      <c r="S460" s="2">
        <v>3</v>
      </c>
      <c r="T460" s="2">
        <v>3</v>
      </c>
      <c r="U460">
        <v>80</v>
      </c>
      <c r="V460" s="2">
        <v>20</v>
      </c>
      <c r="W460">
        <v>2</v>
      </c>
      <c r="X460">
        <v>3</v>
      </c>
      <c r="Y460">
        <v>1</v>
      </c>
      <c r="Z460">
        <v>0</v>
      </c>
      <c r="AA460">
        <v>0</v>
      </c>
      <c r="AB460">
        <v>1</v>
      </c>
    </row>
    <row r="461" spans="1:28" x14ac:dyDescent="0.35">
      <c r="A461" s="2">
        <v>41</v>
      </c>
      <c r="B461" s="2" t="str" cm="1">
        <f t="array" ref="B461">_xlfn.IFS(HR_table[[#This Row],[Age]]&lt;=20, "Under 20yrs",HR_table[[#This Row],[Age]]&lt;=30,"(21-30)yrs",HR_table[[#This Row],[Age]]&lt;=40,"(31-40)yrs",HR_table[[#This Row],[Age]]&lt;=50,"(41-50)yrs",HR_table[[#This Row],[Age]]&lt;=60,"(51-60)yrs")</f>
        <v>(41-50)yrs</v>
      </c>
      <c r="C461" t="s">
        <v>43</v>
      </c>
      <c r="D461" t="s">
        <v>55</v>
      </c>
      <c r="E461" t="s">
        <v>45</v>
      </c>
      <c r="F461" t="s">
        <v>49</v>
      </c>
      <c r="G461" t="s">
        <v>54</v>
      </c>
      <c r="H461">
        <v>616</v>
      </c>
      <c r="I461" s="2">
        <v>2</v>
      </c>
      <c r="J461" s="2">
        <v>1</v>
      </c>
      <c r="K461" t="s">
        <v>39</v>
      </c>
      <c r="L461" s="2">
        <v>2</v>
      </c>
      <c r="M461" s="2">
        <v>3</v>
      </c>
      <c r="N461" t="s">
        <v>41</v>
      </c>
      <c r="O461" s="2">
        <v>6811</v>
      </c>
      <c r="P461" s="2">
        <v>2112</v>
      </c>
      <c r="Q461" s="2">
        <v>2</v>
      </c>
      <c r="R461" t="s">
        <v>35</v>
      </c>
      <c r="S461" s="2">
        <v>3</v>
      </c>
      <c r="T461" s="2">
        <v>1</v>
      </c>
      <c r="U461">
        <v>80</v>
      </c>
      <c r="V461" s="2">
        <v>10</v>
      </c>
      <c r="W461">
        <v>3</v>
      </c>
      <c r="X461">
        <v>3</v>
      </c>
      <c r="Y461">
        <v>8</v>
      </c>
      <c r="Z461">
        <v>7</v>
      </c>
      <c r="AA461">
        <v>0</v>
      </c>
      <c r="AB461">
        <v>7</v>
      </c>
    </row>
    <row r="462" spans="1:28" x14ac:dyDescent="0.35">
      <c r="A462" s="2">
        <v>26</v>
      </c>
      <c r="B462" s="2" t="str" cm="1">
        <f t="array" ref="B462">_xlfn.IFS(HR_table[[#This Row],[Age]]&lt;=20, "Under 20yrs",HR_table[[#This Row],[Age]]&lt;=30,"(21-30)yrs",HR_table[[#This Row],[Age]]&lt;=40,"(31-40)yrs",HR_table[[#This Row],[Age]]&lt;=50,"(41-50)yrs",HR_table[[#This Row],[Age]]&lt;=60,"(51-60)yrs")</f>
        <v>(21-30)yrs</v>
      </c>
      <c r="C462" t="s">
        <v>43</v>
      </c>
      <c r="D462" t="s">
        <v>36</v>
      </c>
      <c r="E462" t="s">
        <v>37</v>
      </c>
      <c r="F462" t="s">
        <v>51</v>
      </c>
      <c r="G462" t="s">
        <v>40</v>
      </c>
      <c r="H462">
        <v>618</v>
      </c>
      <c r="I462" s="2">
        <v>29</v>
      </c>
      <c r="J462" s="2">
        <v>1</v>
      </c>
      <c r="K462" t="s">
        <v>46</v>
      </c>
      <c r="L462" s="2">
        <v>2</v>
      </c>
      <c r="M462" s="2">
        <v>3</v>
      </c>
      <c r="N462" t="s">
        <v>52</v>
      </c>
      <c r="O462" s="2">
        <v>4306</v>
      </c>
      <c r="P462" s="2">
        <v>4267</v>
      </c>
      <c r="Q462" s="2">
        <v>5</v>
      </c>
      <c r="R462" t="s">
        <v>43</v>
      </c>
      <c r="S462" s="2">
        <v>3</v>
      </c>
      <c r="T462" s="2">
        <v>1</v>
      </c>
      <c r="U462">
        <v>80</v>
      </c>
      <c r="V462" s="2">
        <v>8</v>
      </c>
      <c r="W462">
        <v>5</v>
      </c>
      <c r="X462">
        <v>3</v>
      </c>
      <c r="Y462">
        <v>0</v>
      </c>
      <c r="Z462">
        <v>0</v>
      </c>
      <c r="AA462">
        <v>0</v>
      </c>
      <c r="AB462">
        <v>0</v>
      </c>
    </row>
    <row r="463" spans="1:28" x14ac:dyDescent="0.35">
      <c r="A463" s="2">
        <v>35</v>
      </c>
      <c r="B463" s="2" t="str" cm="1">
        <f t="array" ref="B463">_xlfn.IFS(HR_table[[#This Row],[Age]]&lt;=20, "Under 20yrs",HR_table[[#This Row],[Age]]&lt;=30,"(21-30)yrs",HR_table[[#This Row],[Age]]&lt;=40,"(31-40)yrs",HR_table[[#This Row],[Age]]&lt;=50,"(41-50)yrs",HR_table[[#This Row],[Age]]&lt;=60,"(51-60)yrs")</f>
        <v>(31-40)yrs</v>
      </c>
      <c r="C463" t="s">
        <v>43</v>
      </c>
      <c r="D463" t="s">
        <v>36</v>
      </c>
      <c r="E463" t="s">
        <v>37</v>
      </c>
      <c r="F463" t="s">
        <v>51</v>
      </c>
      <c r="G463" t="s">
        <v>40</v>
      </c>
      <c r="H463">
        <v>620</v>
      </c>
      <c r="I463" s="2">
        <v>1</v>
      </c>
      <c r="J463" s="2">
        <v>1</v>
      </c>
      <c r="K463" t="s">
        <v>39</v>
      </c>
      <c r="L463" s="2">
        <v>2</v>
      </c>
      <c r="M463" s="2">
        <v>3</v>
      </c>
      <c r="N463" t="s">
        <v>41</v>
      </c>
      <c r="O463" s="2">
        <v>4859</v>
      </c>
      <c r="P463" s="2">
        <v>6698</v>
      </c>
      <c r="Q463" s="2">
        <v>1</v>
      </c>
      <c r="R463" t="s">
        <v>43</v>
      </c>
      <c r="S463" s="2">
        <v>3</v>
      </c>
      <c r="T463" s="2">
        <v>4</v>
      </c>
      <c r="U463">
        <v>80</v>
      </c>
      <c r="V463" s="2">
        <v>5</v>
      </c>
      <c r="W463">
        <v>3</v>
      </c>
      <c r="X463">
        <v>3</v>
      </c>
      <c r="Y463">
        <v>5</v>
      </c>
      <c r="Z463">
        <v>4</v>
      </c>
      <c r="AA463">
        <v>0</v>
      </c>
      <c r="AB463">
        <v>3</v>
      </c>
    </row>
    <row r="464" spans="1:28" x14ac:dyDescent="0.35">
      <c r="A464" s="2">
        <v>34</v>
      </c>
      <c r="B464" s="2" t="str" cm="1">
        <f t="array" ref="B464">_xlfn.IFS(HR_table[[#This Row],[Age]]&lt;=20, "Under 20yrs",HR_table[[#This Row],[Age]]&lt;=30,"(21-30)yrs",HR_table[[#This Row],[Age]]&lt;=40,"(31-40)yrs",HR_table[[#This Row],[Age]]&lt;=50,"(41-50)yrs",HR_table[[#This Row],[Age]]&lt;=60,"(51-60)yrs")</f>
        <v>(31-40)yrs</v>
      </c>
      <c r="C464" t="s">
        <v>43</v>
      </c>
      <c r="D464" t="s">
        <v>36</v>
      </c>
      <c r="E464" t="s">
        <v>37</v>
      </c>
      <c r="F464" t="s">
        <v>38</v>
      </c>
      <c r="G464" t="s">
        <v>40</v>
      </c>
      <c r="H464">
        <v>621</v>
      </c>
      <c r="I464" s="2">
        <v>21</v>
      </c>
      <c r="J464" s="2">
        <v>4</v>
      </c>
      <c r="K464" t="s">
        <v>46</v>
      </c>
      <c r="L464" s="2">
        <v>2</v>
      </c>
      <c r="M464" s="2">
        <v>4</v>
      </c>
      <c r="N464" t="s">
        <v>41</v>
      </c>
      <c r="O464" s="2">
        <v>5337</v>
      </c>
      <c r="P464" s="2">
        <v>19921</v>
      </c>
      <c r="Q464" s="2">
        <v>1</v>
      </c>
      <c r="R464" t="s">
        <v>43</v>
      </c>
      <c r="S464" s="2">
        <v>3</v>
      </c>
      <c r="T464" s="2">
        <v>4</v>
      </c>
      <c r="U464">
        <v>80</v>
      </c>
      <c r="V464" s="2">
        <v>10</v>
      </c>
      <c r="W464">
        <v>3</v>
      </c>
      <c r="X464">
        <v>3</v>
      </c>
      <c r="Y464">
        <v>10</v>
      </c>
      <c r="Z464">
        <v>7</v>
      </c>
      <c r="AA464">
        <v>5</v>
      </c>
      <c r="AB464">
        <v>7</v>
      </c>
    </row>
    <row r="465" spans="1:28" x14ac:dyDescent="0.35">
      <c r="A465" s="2">
        <v>26</v>
      </c>
      <c r="B465" s="2" t="str" cm="1">
        <f t="array" ref="B465">_xlfn.IFS(HR_table[[#This Row],[Age]]&lt;=20, "Under 20yrs",HR_table[[#This Row],[Age]]&lt;=30,"(21-30)yrs",HR_table[[#This Row],[Age]]&lt;=40,"(31-40)yrs",HR_table[[#This Row],[Age]]&lt;=50,"(41-50)yrs",HR_table[[#This Row],[Age]]&lt;=60,"(51-60)yrs")</f>
        <v>(21-30)yrs</v>
      </c>
      <c r="C465" t="s">
        <v>35</v>
      </c>
      <c r="D465" t="s">
        <v>36</v>
      </c>
      <c r="E465" t="s">
        <v>45</v>
      </c>
      <c r="F465" t="s">
        <v>60</v>
      </c>
      <c r="G465" t="s">
        <v>50</v>
      </c>
      <c r="H465">
        <v>622</v>
      </c>
      <c r="I465" s="2">
        <v>24</v>
      </c>
      <c r="J465" s="2">
        <v>3</v>
      </c>
      <c r="K465" t="s">
        <v>46</v>
      </c>
      <c r="L465" s="2">
        <v>1</v>
      </c>
      <c r="M465" s="2">
        <v>4</v>
      </c>
      <c r="N465" t="s">
        <v>41</v>
      </c>
      <c r="O465" s="2">
        <v>2340</v>
      </c>
      <c r="P465" s="2">
        <v>23213</v>
      </c>
      <c r="Q465" s="2">
        <v>1</v>
      </c>
      <c r="R465" t="s">
        <v>35</v>
      </c>
      <c r="S465" s="2">
        <v>3</v>
      </c>
      <c r="T465" s="2">
        <v>2</v>
      </c>
      <c r="U465">
        <v>80</v>
      </c>
      <c r="V465" s="2">
        <v>1</v>
      </c>
      <c r="W465">
        <v>3</v>
      </c>
      <c r="X465">
        <v>1</v>
      </c>
      <c r="Y465">
        <v>1</v>
      </c>
      <c r="Z465">
        <v>0</v>
      </c>
      <c r="AA465">
        <v>0</v>
      </c>
      <c r="AB465">
        <v>0</v>
      </c>
    </row>
    <row r="466" spans="1:28" x14ac:dyDescent="0.35">
      <c r="A466" s="2">
        <v>37</v>
      </c>
      <c r="B466" s="2" t="str" cm="1">
        <f t="array" ref="B466">_xlfn.IFS(HR_table[[#This Row],[Age]]&lt;=20, "Under 20yrs",HR_table[[#This Row],[Age]]&lt;=30,"(21-30)yrs",HR_table[[#This Row],[Age]]&lt;=40,"(31-40)yrs",HR_table[[#This Row],[Age]]&lt;=50,"(41-50)yrs",HR_table[[#This Row],[Age]]&lt;=60,"(51-60)yrs")</f>
        <v>(31-40)yrs</v>
      </c>
      <c r="C466" t="s">
        <v>43</v>
      </c>
      <c r="D466" t="s">
        <v>36</v>
      </c>
      <c r="E466" t="s">
        <v>45</v>
      </c>
      <c r="F466" t="s">
        <v>60</v>
      </c>
      <c r="G466" t="s">
        <v>53</v>
      </c>
      <c r="H466">
        <v>623</v>
      </c>
      <c r="I466" s="2">
        <v>1</v>
      </c>
      <c r="J466" s="2">
        <v>2</v>
      </c>
      <c r="K466" t="s">
        <v>39</v>
      </c>
      <c r="L466" s="2">
        <v>3</v>
      </c>
      <c r="M466" s="2">
        <v>4</v>
      </c>
      <c r="N466" t="s">
        <v>41</v>
      </c>
      <c r="O466" s="2">
        <v>7491</v>
      </c>
      <c r="P466" s="2">
        <v>23848</v>
      </c>
      <c r="Q466" s="2">
        <v>4</v>
      </c>
      <c r="R466" t="s">
        <v>43</v>
      </c>
      <c r="S466" s="2">
        <v>3</v>
      </c>
      <c r="T466" s="2">
        <v>4</v>
      </c>
      <c r="U466">
        <v>80</v>
      </c>
      <c r="V466" s="2">
        <v>12</v>
      </c>
      <c r="W466">
        <v>3</v>
      </c>
      <c r="X466">
        <v>4</v>
      </c>
      <c r="Y466">
        <v>6</v>
      </c>
      <c r="Z466">
        <v>5</v>
      </c>
      <c r="AA466">
        <v>1</v>
      </c>
      <c r="AB466">
        <v>2</v>
      </c>
    </row>
    <row r="467" spans="1:28" x14ac:dyDescent="0.35">
      <c r="A467" s="2">
        <v>46</v>
      </c>
      <c r="B467" s="2" t="str" cm="1">
        <f t="array" ref="B467">_xlfn.IFS(HR_table[[#This Row],[Age]]&lt;=20, "Under 20yrs",HR_table[[#This Row],[Age]]&lt;=30,"(21-30)yrs",HR_table[[#This Row],[Age]]&lt;=40,"(31-40)yrs",HR_table[[#This Row],[Age]]&lt;=50,"(41-50)yrs",HR_table[[#This Row],[Age]]&lt;=60,"(51-60)yrs")</f>
        <v>(41-50)yrs</v>
      </c>
      <c r="C467" t="s">
        <v>43</v>
      </c>
      <c r="D467" t="s">
        <v>44</v>
      </c>
      <c r="E467" t="s">
        <v>45</v>
      </c>
      <c r="F467" t="s">
        <v>51</v>
      </c>
      <c r="G467" t="s">
        <v>54</v>
      </c>
      <c r="H467">
        <v>624</v>
      </c>
      <c r="I467" s="2">
        <v>18</v>
      </c>
      <c r="J467" s="2">
        <v>1</v>
      </c>
      <c r="K467" t="s">
        <v>39</v>
      </c>
      <c r="L467" s="2">
        <v>3</v>
      </c>
      <c r="M467" s="2">
        <v>3</v>
      </c>
      <c r="N467" t="s">
        <v>48</v>
      </c>
      <c r="O467" s="2">
        <v>10527</v>
      </c>
      <c r="P467" s="2">
        <v>8984</v>
      </c>
      <c r="Q467" s="2">
        <v>5</v>
      </c>
      <c r="R467" t="s">
        <v>43</v>
      </c>
      <c r="S467" s="2">
        <v>3</v>
      </c>
      <c r="T467" s="2">
        <v>4</v>
      </c>
      <c r="U467">
        <v>80</v>
      </c>
      <c r="V467" s="2">
        <v>28</v>
      </c>
      <c r="W467">
        <v>3</v>
      </c>
      <c r="X467">
        <v>2</v>
      </c>
      <c r="Y467">
        <v>2</v>
      </c>
      <c r="Z467">
        <v>2</v>
      </c>
      <c r="AA467">
        <v>1</v>
      </c>
      <c r="AB467">
        <v>2</v>
      </c>
    </row>
    <row r="468" spans="1:28" x14ac:dyDescent="0.35">
      <c r="A468" s="2">
        <v>41</v>
      </c>
      <c r="B468" s="2" t="str" cm="1">
        <f t="array" ref="B468">_xlfn.IFS(HR_table[[#This Row],[Age]]&lt;=20, "Under 20yrs",HR_table[[#This Row],[Age]]&lt;=30,"(21-30)yrs",HR_table[[#This Row],[Age]]&lt;=40,"(31-40)yrs",HR_table[[#This Row],[Age]]&lt;=50,"(41-50)yrs",HR_table[[#This Row],[Age]]&lt;=60,"(51-60)yrs")</f>
        <v>(41-50)yrs</v>
      </c>
      <c r="C468" t="s">
        <v>43</v>
      </c>
      <c r="D468" t="s">
        <v>36</v>
      </c>
      <c r="E468" t="s">
        <v>37</v>
      </c>
      <c r="F468" t="s">
        <v>38</v>
      </c>
      <c r="G468" t="s">
        <v>56</v>
      </c>
      <c r="H468">
        <v>625</v>
      </c>
      <c r="I468" s="2">
        <v>2</v>
      </c>
      <c r="J468" s="2">
        <v>2</v>
      </c>
      <c r="K468" t="s">
        <v>39</v>
      </c>
      <c r="L468" s="2">
        <v>4</v>
      </c>
      <c r="M468" s="2">
        <v>1</v>
      </c>
      <c r="N468" t="s">
        <v>48</v>
      </c>
      <c r="O468" s="2">
        <v>16595</v>
      </c>
      <c r="P468" s="2">
        <v>5626</v>
      </c>
      <c r="Q468" s="2">
        <v>7</v>
      </c>
      <c r="R468" t="s">
        <v>43</v>
      </c>
      <c r="S468" s="2">
        <v>3</v>
      </c>
      <c r="T468" s="2">
        <v>2</v>
      </c>
      <c r="U468">
        <v>80</v>
      </c>
      <c r="V468" s="2">
        <v>22</v>
      </c>
      <c r="W468">
        <v>2</v>
      </c>
      <c r="X468">
        <v>3</v>
      </c>
      <c r="Y468">
        <v>18</v>
      </c>
      <c r="Z468">
        <v>16</v>
      </c>
      <c r="AA468">
        <v>11</v>
      </c>
      <c r="AB468">
        <v>8</v>
      </c>
    </row>
    <row r="469" spans="1:28" x14ac:dyDescent="0.35">
      <c r="A469" s="2">
        <v>37</v>
      </c>
      <c r="B469" s="2" t="str" cm="1">
        <f t="array" ref="B469">_xlfn.IFS(HR_table[[#This Row],[Age]]&lt;=20, "Under 20yrs",HR_table[[#This Row],[Age]]&lt;=30,"(21-30)yrs",HR_table[[#This Row],[Age]]&lt;=40,"(31-40)yrs",HR_table[[#This Row],[Age]]&lt;=50,"(41-50)yrs",HR_table[[#This Row],[Age]]&lt;=60,"(51-60)yrs")</f>
        <v>(31-40)yrs</v>
      </c>
      <c r="C469" t="s">
        <v>43</v>
      </c>
      <c r="D469" t="s">
        <v>55</v>
      </c>
      <c r="E469" t="s">
        <v>37</v>
      </c>
      <c r="F469" t="s">
        <v>51</v>
      </c>
      <c r="G469" t="s">
        <v>40</v>
      </c>
      <c r="H469">
        <v>626</v>
      </c>
      <c r="I469" s="2">
        <v>9</v>
      </c>
      <c r="J469" s="2">
        <v>1</v>
      </c>
      <c r="K469" t="s">
        <v>46</v>
      </c>
      <c r="L469" s="2">
        <v>3</v>
      </c>
      <c r="M469" s="2">
        <v>2</v>
      </c>
      <c r="N469" t="s">
        <v>52</v>
      </c>
      <c r="O469" s="2">
        <v>8834</v>
      </c>
      <c r="P469" s="2">
        <v>24666</v>
      </c>
      <c r="Q469" s="2">
        <v>1</v>
      </c>
      <c r="R469" t="s">
        <v>43</v>
      </c>
      <c r="S469" s="2">
        <v>3</v>
      </c>
      <c r="T469" s="2">
        <v>4</v>
      </c>
      <c r="U469">
        <v>80</v>
      </c>
      <c r="V469" s="2">
        <v>9</v>
      </c>
      <c r="W469">
        <v>6</v>
      </c>
      <c r="X469">
        <v>3</v>
      </c>
      <c r="Y469">
        <v>9</v>
      </c>
      <c r="Z469">
        <v>5</v>
      </c>
      <c r="AA469">
        <v>7</v>
      </c>
      <c r="AB469">
        <v>7</v>
      </c>
    </row>
    <row r="470" spans="1:28" x14ac:dyDescent="0.35">
      <c r="A470" s="2">
        <v>52</v>
      </c>
      <c r="B470" s="2" t="str" cm="1">
        <f t="array" ref="B470">_xlfn.IFS(HR_table[[#This Row],[Age]]&lt;=20, "Under 20yrs",HR_table[[#This Row],[Age]]&lt;=30,"(21-30)yrs",HR_table[[#This Row],[Age]]&lt;=40,"(31-40)yrs",HR_table[[#This Row],[Age]]&lt;=50,"(41-50)yrs",HR_table[[#This Row],[Age]]&lt;=60,"(51-60)yrs")</f>
        <v>(51-60)yrs</v>
      </c>
      <c r="C470" t="s">
        <v>43</v>
      </c>
      <c r="D470" t="s">
        <v>36</v>
      </c>
      <c r="E470" t="s">
        <v>45</v>
      </c>
      <c r="F470" t="s">
        <v>60</v>
      </c>
      <c r="G470" t="s">
        <v>47</v>
      </c>
      <c r="H470">
        <v>630</v>
      </c>
      <c r="I470" s="2">
        <v>6</v>
      </c>
      <c r="J470" s="2">
        <v>4</v>
      </c>
      <c r="K470" t="s">
        <v>46</v>
      </c>
      <c r="L470" s="2">
        <v>2</v>
      </c>
      <c r="M470" s="2">
        <v>1</v>
      </c>
      <c r="N470" t="s">
        <v>52</v>
      </c>
      <c r="O470" s="2">
        <v>5577</v>
      </c>
      <c r="P470" s="2">
        <v>22087</v>
      </c>
      <c r="Q470" s="2">
        <v>3</v>
      </c>
      <c r="R470" t="s">
        <v>35</v>
      </c>
      <c r="S470" s="2">
        <v>3</v>
      </c>
      <c r="T470" s="2">
        <v>2</v>
      </c>
      <c r="U470">
        <v>80</v>
      </c>
      <c r="V470" s="2">
        <v>18</v>
      </c>
      <c r="W470">
        <v>3</v>
      </c>
      <c r="X470">
        <v>3</v>
      </c>
      <c r="Y470">
        <v>10</v>
      </c>
      <c r="Z470">
        <v>9</v>
      </c>
      <c r="AA470">
        <v>6</v>
      </c>
      <c r="AB470">
        <v>9</v>
      </c>
    </row>
    <row r="471" spans="1:28" x14ac:dyDescent="0.35">
      <c r="A471" s="2">
        <v>32</v>
      </c>
      <c r="B471" s="2" t="str" cm="1">
        <f t="array" ref="B471">_xlfn.IFS(HR_table[[#This Row],[Age]]&lt;=20, "Under 20yrs",HR_table[[#This Row],[Age]]&lt;=30,"(21-30)yrs",HR_table[[#This Row],[Age]]&lt;=40,"(31-40)yrs",HR_table[[#This Row],[Age]]&lt;=50,"(41-50)yrs",HR_table[[#This Row],[Age]]&lt;=60,"(51-60)yrs")</f>
        <v>(31-40)yrs</v>
      </c>
      <c r="C471" t="s">
        <v>35</v>
      </c>
      <c r="D471" t="s">
        <v>55</v>
      </c>
      <c r="E471" t="s">
        <v>37</v>
      </c>
      <c r="F471" t="s">
        <v>49</v>
      </c>
      <c r="G471" t="s">
        <v>40</v>
      </c>
      <c r="H471">
        <v>631</v>
      </c>
      <c r="I471" s="2">
        <v>11</v>
      </c>
      <c r="J471" s="2">
        <v>4</v>
      </c>
      <c r="K471" t="s">
        <v>46</v>
      </c>
      <c r="L471" s="2">
        <v>2</v>
      </c>
      <c r="M471" s="2">
        <v>3</v>
      </c>
      <c r="N471" t="s">
        <v>48</v>
      </c>
      <c r="O471" s="2">
        <v>4707</v>
      </c>
      <c r="P471" s="2">
        <v>23914</v>
      </c>
      <c r="Q471" s="2">
        <v>8</v>
      </c>
      <c r="R471" t="s">
        <v>43</v>
      </c>
      <c r="S471" s="2">
        <v>3</v>
      </c>
      <c r="T471" s="2">
        <v>4</v>
      </c>
      <c r="U471">
        <v>80</v>
      </c>
      <c r="V471" s="2">
        <v>6</v>
      </c>
      <c r="W471">
        <v>2</v>
      </c>
      <c r="X471">
        <v>3</v>
      </c>
      <c r="Y471">
        <v>4</v>
      </c>
      <c r="Z471">
        <v>2</v>
      </c>
      <c r="AA471">
        <v>1</v>
      </c>
      <c r="AB471">
        <v>2</v>
      </c>
    </row>
    <row r="472" spans="1:28" x14ac:dyDescent="0.35">
      <c r="A472" s="2">
        <v>24</v>
      </c>
      <c r="B472" s="2" t="str" cm="1">
        <f t="array" ref="B472">_xlfn.IFS(HR_table[[#This Row],[Age]]&lt;=20, "Under 20yrs",HR_table[[#This Row],[Age]]&lt;=30,"(21-30)yrs",HR_table[[#This Row],[Age]]&lt;=40,"(31-40)yrs",HR_table[[#This Row],[Age]]&lt;=50,"(41-50)yrs",HR_table[[#This Row],[Age]]&lt;=60,"(51-60)yrs")</f>
        <v>(21-30)yrs</v>
      </c>
      <c r="C472" t="s">
        <v>43</v>
      </c>
      <c r="D472" t="s">
        <v>44</v>
      </c>
      <c r="E472" t="s">
        <v>37</v>
      </c>
      <c r="F472" t="s">
        <v>51</v>
      </c>
      <c r="G472" t="s">
        <v>57</v>
      </c>
      <c r="H472">
        <v>632</v>
      </c>
      <c r="I472" s="2">
        <v>24</v>
      </c>
      <c r="J472" s="2">
        <v>4</v>
      </c>
      <c r="K472" t="s">
        <v>46</v>
      </c>
      <c r="L472" s="2">
        <v>1</v>
      </c>
      <c r="M472" s="2">
        <v>4</v>
      </c>
      <c r="N472" t="s">
        <v>48</v>
      </c>
      <c r="O472" s="2">
        <v>2400</v>
      </c>
      <c r="P472" s="2">
        <v>5530</v>
      </c>
      <c r="Q472" s="2">
        <v>0</v>
      </c>
      <c r="R472" t="s">
        <v>43</v>
      </c>
      <c r="S472" s="2">
        <v>3</v>
      </c>
      <c r="T472" s="2">
        <v>3</v>
      </c>
      <c r="U472">
        <v>80</v>
      </c>
      <c r="V472" s="2">
        <v>3</v>
      </c>
      <c r="W472">
        <v>3</v>
      </c>
      <c r="X472">
        <v>3</v>
      </c>
      <c r="Y472">
        <v>2</v>
      </c>
      <c r="Z472">
        <v>2</v>
      </c>
      <c r="AA472">
        <v>2</v>
      </c>
      <c r="AB472">
        <v>1</v>
      </c>
    </row>
    <row r="473" spans="1:28" x14ac:dyDescent="0.35">
      <c r="A473" s="2">
        <v>38</v>
      </c>
      <c r="B473" s="2" t="str" cm="1">
        <f t="array" ref="B473">_xlfn.IFS(HR_table[[#This Row],[Age]]&lt;=20, "Under 20yrs",HR_table[[#This Row],[Age]]&lt;=30,"(21-30)yrs",HR_table[[#This Row],[Age]]&lt;=40,"(31-40)yrs",HR_table[[#This Row],[Age]]&lt;=50,"(41-50)yrs",HR_table[[#This Row],[Age]]&lt;=60,"(51-60)yrs")</f>
        <v>(31-40)yrs</v>
      </c>
      <c r="C473" t="s">
        <v>43</v>
      </c>
      <c r="D473" t="s">
        <v>36</v>
      </c>
      <c r="E473" t="s">
        <v>45</v>
      </c>
      <c r="F473" t="s">
        <v>51</v>
      </c>
      <c r="G473" t="s">
        <v>54</v>
      </c>
      <c r="H473">
        <v>634</v>
      </c>
      <c r="I473" s="2">
        <v>10</v>
      </c>
      <c r="J473" s="2">
        <v>3</v>
      </c>
      <c r="K473" t="s">
        <v>39</v>
      </c>
      <c r="L473" s="2">
        <v>2</v>
      </c>
      <c r="M473" s="2">
        <v>3</v>
      </c>
      <c r="N473" t="s">
        <v>48</v>
      </c>
      <c r="O473" s="2">
        <v>9824</v>
      </c>
      <c r="P473" s="2">
        <v>22174</v>
      </c>
      <c r="Q473" s="2">
        <v>3</v>
      </c>
      <c r="R473" t="s">
        <v>43</v>
      </c>
      <c r="S473" s="2">
        <v>3</v>
      </c>
      <c r="T473" s="2">
        <v>3</v>
      </c>
      <c r="U473">
        <v>80</v>
      </c>
      <c r="V473" s="2">
        <v>18</v>
      </c>
      <c r="W473">
        <v>4</v>
      </c>
      <c r="X473">
        <v>3</v>
      </c>
      <c r="Y473">
        <v>1</v>
      </c>
      <c r="Z473">
        <v>0</v>
      </c>
      <c r="AA473">
        <v>0</v>
      </c>
      <c r="AB473">
        <v>0</v>
      </c>
    </row>
    <row r="474" spans="1:28" x14ac:dyDescent="0.35">
      <c r="A474" s="2">
        <v>37</v>
      </c>
      <c r="B474" s="2" t="str" cm="1">
        <f t="array" ref="B474">_xlfn.IFS(HR_table[[#This Row],[Age]]&lt;=20, "Under 20yrs",HR_table[[#This Row],[Age]]&lt;=30,"(21-30)yrs",HR_table[[#This Row],[Age]]&lt;=40,"(31-40)yrs",HR_table[[#This Row],[Age]]&lt;=50,"(41-50)yrs",HR_table[[#This Row],[Age]]&lt;=60,"(51-60)yrs")</f>
        <v>(31-40)yrs</v>
      </c>
      <c r="C474" t="s">
        <v>43</v>
      </c>
      <c r="D474" t="s">
        <v>36</v>
      </c>
      <c r="E474" t="s">
        <v>45</v>
      </c>
      <c r="F474" t="s">
        <v>38</v>
      </c>
      <c r="G474" t="s">
        <v>53</v>
      </c>
      <c r="H474">
        <v>635</v>
      </c>
      <c r="I474" s="2">
        <v>1</v>
      </c>
      <c r="J474" s="2">
        <v>2</v>
      </c>
      <c r="K474" t="s">
        <v>39</v>
      </c>
      <c r="L474" s="2">
        <v>2</v>
      </c>
      <c r="M474" s="2">
        <v>2</v>
      </c>
      <c r="N474" t="s">
        <v>48</v>
      </c>
      <c r="O474" s="2">
        <v>6447</v>
      </c>
      <c r="P474" s="2">
        <v>15701</v>
      </c>
      <c r="Q474" s="2">
        <v>6</v>
      </c>
      <c r="R474" t="s">
        <v>43</v>
      </c>
      <c r="S474" s="2">
        <v>3</v>
      </c>
      <c r="T474" s="2">
        <v>2</v>
      </c>
      <c r="U474">
        <v>80</v>
      </c>
      <c r="V474" s="2">
        <v>8</v>
      </c>
      <c r="W474">
        <v>2</v>
      </c>
      <c r="X474">
        <v>2</v>
      </c>
      <c r="Y474">
        <v>6</v>
      </c>
      <c r="Z474">
        <v>5</v>
      </c>
      <c r="AA474">
        <v>4</v>
      </c>
      <c r="AB474">
        <v>3</v>
      </c>
    </row>
    <row r="475" spans="1:28" x14ac:dyDescent="0.35">
      <c r="A475" s="2">
        <v>49</v>
      </c>
      <c r="B475" s="2" t="str" cm="1">
        <f t="array" ref="B475">_xlfn.IFS(HR_table[[#This Row],[Age]]&lt;=20, "Under 20yrs",HR_table[[#This Row],[Age]]&lt;=30,"(21-30)yrs",HR_table[[#This Row],[Age]]&lt;=40,"(31-40)yrs",HR_table[[#This Row],[Age]]&lt;=50,"(41-50)yrs",HR_table[[#This Row],[Age]]&lt;=60,"(51-60)yrs")</f>
        <v>(41-50)yrs</v>
      </c>
      <c r="C475" t="s">
        <v>43</v>
      </c>
      <c r="D475" t="s">
        <v>36</v>
      </c>
      <c r="E475" t="s">
        <v>45</v>
      </c>
      <c r="F475" t="s">
        <v>38</v>
      </c>
      <c r="G475" t="s">
        <v>58</v>
      </c>
      <c r="H475">
        <v>638</v>
      </c>
      <c r="I475" s="2">
        <v>18</v>
      </c>
      <c r="J475" s="2">
        <v>4</v>
      </c>
      <c r="K475" t="s">
        <v>46</v>
      </c>
      <c r="L475" s="2">
        <v>5</v>
      </c>
      <c r="M475" s="2">
        <v>3</v>
      </c>
      <c r="N475" t="s">
        <v>52</v>
      </c>
      <c r="O475" s="2">
        <v>19502</v>
      </c>
      <c r="P475" s="2">
        <v>2125</v>
      </c>
      <c r="Q475" s="2">
        <v>1</v>
      </c>
      <c r="R475" t="s">
        <v>35</v>
      </c>
      <c r="S475" s="2">
        <v>3</v>
      </c>
      <c r="T475" s="2">
        <v>3</v>
      </c>
      <c r="U475">
        <v>80</v>
      </c>
      <c r="V475" s="2">
        <v>31</v>
      </c>
      <c r="W475">
        <v>5</v>
      </c>
      <c r="X475">
        <v>3</v>
      </c>
      <c r="Y475">
        <v>31</v>
      </c>
      <c r="Z475">
        <v>9</v>
      </c>
      <c r="AA475">
        <v>0</v>
      </c>
      <c r="AB475">
        <v>9</v>
      </c>
    </row>
    <row r="476" spans="1:28" x14ac:dyDescent="0.35">
      <c r="A476" s="2">
        <v>24</v>
      </c>
      <c r="B476" s="2" t="str" cm="1">
        <f t="array" ref="B476">_xlfn.IFS(HR_table[[#This Row],[Age]]&lt;=20, "Under 20yrs",HR_table[[#This Row],[Age]]&lt;=30,"(21-30)yrs",HR_table[[#This Row],[Age]]&lt;=40,"(31-40)yrs",HR_table[[#This Row],[Age]]&lt;=50,"(41-50)yrs",HR_table[[#This Row],[Age]]&lt;=60,"(51-60)yrs")</f>
        <v>(21-30)yrs</v>
      </c>
      <c r="C476" t="s">
        <v>43</v>
      </c>
      <c r="D476" t="s">
        <v>36</v>
      </c>
      <c r="E476" t="s">
        <v>45</v>
      </c>
      <c r="F476" t="s">
        <v>51</v>
      </c>
      <c r="G476" t="s">
        <v>47</v>
      </c>
      <c r="H476">
        <v>639</v>
      </c>
      <c r="I476" s="2">
        <v>23</v>
      </c>
      <c r="J476" s="2">
        <v>2</v>
      </c>
      <c r="K476" t="s">
        <v>46</v>
      </c>
      <c r="L476" s="2">
        <v>1</v>
      </c>
      <c r="M476" s="2">
        <v>4</v>
      </c>
      <c r="N476" t="s">
        <v>48</v>
      </c>
      <c r="O476" s="2">
        <v>2725</v>
      </c>
      <c r="P476" s="2">
        <v>21630</v>
      </c>
      <c r="Q476" s="2">
        <v>1</v>
      </c>
      <c r="R476" t="s">
        <v>35</v>
      </c>
      <c r="S476" s="2">
        <v>3</v>
      </c>
      <c r="T476" s="2">
        <v>2</v>
      </c>
      <c r="U476">
        <v>80</v>
      </c>
      <c r="V476" s="2">
        <v>6</v>
      </c>
      <c r="W476">
        <v>3</v>
      </c>
      <c r="X476">
        <v>3</v>
      </c>
      <c r="Y476">
        <v>6</v>
      </c>
      <c r="Z476">
        <v>5</v>
      </c>
      <c r="AA476">
        <v>1</v>
      </c>
      <c r="AB476">
        <v>4</v>
      </c>
    </row>
    <row r="477" spans="1:28" x14ac:dyDescent="0.35">
      <c r="A477" s="2">
        <v>26</v>
      </c>
      <c r="B477" s="2" t="str" cm="1">
        <f t="array" ref="B477">_xlfn.IFS(HR_table[[#This Row],[Age]]&lt;=20, "Under 20yrs",HR_table[[#This Row],[Age]]&lt;=30,"(21-30)yrs",HR_table[[#This Row],[Age]]&lt;=40,"(31-40)yrs",HR_table[[#This Row],[Age]]&lt;=50,"(41-50)yrs",HR_table[[#This Row],[Age]]&lt;=60,"(51-60)yrs")</f>
        <v>(21-30)yrs</v>
      </c>
      <c r="C477" t="s">
        <v>43</v>
      </c>
      <c r="D477" t="s">
        <v>36</v>
      </c>
      <c r="E477" t="s">
        <v>37</v>
      </c>
      <c r="F477" t="s">
        <v>59</v>
      </c>
      <c r="G477" t="s">
        <v>40</v>
      </c>
      <c r="H477">
        <v>641</v>
      </c>
      <c r="I477" s="2">
        <v>28</v>
      </c>
      <c r="J477" s="2">
        <v>1</v>
      </c>
      <c r="K477" t="s">
        <v>46</v>
      </c>
      <c r="L477" s="2">
        <v>2</v>
      </c>
      <c r="M477" s="2">
        <v>2</v>
      </c>
      <c r="N477" t="s">
        <v>48</v>
      </c>
      <c r="O477" s="2">
        <v>6272</v>
      </c>
      <c r="P477" s="2">
        <v>7428</v>
      </c>
      <c r="Q477" s="2">
        <v>1</v>
      </c>
      <c r="R477" t="s">
        <v>43</v>
      </c>
      <c r="S477" s="2">
        <v>4</v>
      </c>
      <c r="T477" s="2">
        <v>4</v>
      </c>
      <c r="U477">
        <v>80</v>
      </c>
      <c r="V477" s="2">
        <v>6</v>
      </c>
      <c r="W477">
        <v>5</v>
      </c>
      <c r="X477">
        <v>4</v>
      </c>
      <c r="Y477">
        <v>5</v>
      </c>
      <c r="Z477">
        <v>3</v>
      </c>
      <c r="AA477">
        <v>1</v>
      </c>
      <c r="AB477">
        <v>4</v>
      </c>
    </row>
    <row r="478" spans="1:28" x14ac:dyDescent="0.35">
      <c r="A478" s="2">
        <v>24</v>
      </c>
      <c r="B478" s="2" t="str" cm="1">
        <f t="array" ref="B478">_xlfn.IFS(HR_table[[#This Row],[Age]]&lt;=20, "Under 20yrs",HR_table[[#This Row],[Age]]&lt;=30,"(21-30)yrs",HR_table[[#This Row],[Age]]&lt;=40,"(31-40)yrs",HR_table[[#This Row],[Age]]&lt;=50,"(41-50)yrs",HR_table[[#This Row],[Age]]&lt;=60,"(51-60)yrs")</f>
        <v>(21-30)yrs</v>
      </c>
      <c r="C478" t="s">
        <v>43</v>
      </c>
      <c r="D478" t="s">
        <v>36</v>
      </c>
      <c r="E478" t="s">
        <v>45</v>
      </c>
      <c r="F478" t="s">
        <v>49</v>
      </c>
      <c r="G478" t="s">
        <v>50</v>
      </c>
      <c r="H478">
        <v>643</v>
      </c>
      <c r="I478" s="2">
        <v>17</v>
      </c>
      <c r="J478" s="2">
        <v>4</v>
      </c>
      <c r="K478" t="s">
        <v>46</v>
      </c>
      <c r="L478" s="2">
        <v>1</v>
      </c>
      <c r="M478" s="2">
        <v>2</v>
      </c>
      <c r="N478" t="s">
        <v>48</v>
      </c>
      <c r="O478" s="2">
        <v>2127</v>
      </c>
      <c r="P478" s="2">
        <v>9100</v>
      </c>
      <c r="Q478" s="2">
        <v>1</v>
      </c>
      <c r="R478" t="s">
        <v>43</v>
      </c>
      <c r="S478" s="2">
        <v>4</v>
      </c>
      <c r="T478" s="2">
        <v>4</v>
      </c>
      <c r="U478">
        <v>80</v>
      </c>
      <c r="V478" s="2">
        <v>1</v>
      </c>
      <c r="W478">
        <v>2</v>
      </c>
      <c r="X478">
        <v>3</v>
      </c>
      <c r="Y478">
        <v>1</v>
      </c>
      <c r="Z478">
        <v>0</v>
      </c>
      <c r="AA478">
        <v>0</v>
      </c>
      <c r="AB478">
        <v>0</v>
      </c>
    </row>
    <row r="479" spans="1:28" x14ac:dyDescent="0.35">
      <c r="A479" s="2">
        <v>50</v>
      </c>
      <c r="B479" s="2" t="str" cm="1">
        <f t="array" ref="B479">_xlfn.IFS(HR_table[[#This Row],[Age]]&lt;=20, "Under 20yrs",HR_table[[#This Row],[Age]]&lt;=30,"(21-30)yrs",HR_table[[#This Row],[Age]]&lt;=40,"(31-40)yrs",HR_table[[#This Row],[Age]]&lt;=50,"(41-50)yrs",HR_table[[#This Row],[Age]]&lt;=60,"(51-60)yrs")</f>
        <v>(41-50)yrs</v>
      </c>
      <c r="C479" t="s">
        <v>43</v>
      </c>
      <c r="D479" t="s">
        <v>44</v>
      </c>
      <c r="E479" t="s">
        <v>61</v>
      </c>
      <c r="F479" t="s">
        <v>51</v>
      </c>
      <c r="G479" t="s">
        <v>56</v>
      </c>
      <c r="H479">
        <v>644</v>
      </c>
      <c r="I479" s="2">
        <v>3</v>
      </c>
      <c r="J479" s="2">
        <v>1</v>
      </c>
      <c r="K479" t="s">
        <v>46</v>
      </c>
      <c r="L479" s="2">
        <v>5</v>
      </c>
      <c r="M479" s="2">
        <v>2</v>
      </c>
      <c r="N479" t="s">
        <v>48</v>
      </c>
      <c r="O479" s="2">
        <v>18200</v>
      </c>
      <c r="P479" s="2">
        <v>7999</v>
      </c>
      <c r="Q479" s="2">
        <v>1</v>
      </c>
      <c r="R479" t="s">
        <v>43</v>
      </c>
      <c r="S479" s="2">
        <v>3</v>
      </c>
      <c r="T479" s="2">
        <v>3</v>
      </c>
      <c r="U479">
        <v>80</v>
      </c>
      <c r="V479" s="2">
        <v>32</v>
      </c>
      <c r="W479">
        <v>2</v>
      </c>
      <c r="X479">
        <v>3</v>
      </c>
      <c r="Y479">
        <v>32</v>
      </c>
      <c r="Z479">
        <v>5</v>
      </c>
      <c r="AA479">
        <v>10</v>
      </c>
      <c r="AB479">
        <v>7</v>
      </c>
    </row>
    <row r="480" spans="1:28" x14ac:dyDescent="0.35">
      <c r="A480" s="2">
        <v>25</v>
      </c>
      <c r="B480" s="2" t="str" cm="1">
        <f t="array" ref="B480">_xlfn.IFS(HR_table[[#This Row],[Age]]&lt;=20, "Under 20yrs",HR_table[[#This Row],[Age]]&lt;=30,"(21-30)yrs",HR_table[[#This Row],[Age]]&lt;=40,"(31-40)yrs",HR_table[[#This Row],[Age]]&lt;=50,"(41-50)yrs",HR_table[[#This Row],[Age]]&lt;=60,"(51-60)yrs")</f>
        <v>(21-30)yrs</v>
      </c>
      <c r="C480" t="s">
        <v>43</v>
      </c>
      <c r="D480" t="s">
        <v>36</v>
      </c>
      <c r="E480" t="s">
        <v>37</v>
      </c>
      <c r="F480" t="s">
        <v>51</v>
      </c>
      <c r="G480" t="s">
        <v>57</v>
      </c>
      <c r="H480">
        <v>645</v>
      </c>
      <c r="I480" s="2">
        <v>13</v>
      </c>
      <c r="J480" s="2">
        <v>2</v>
      </c>
      <c r="K480" t="s">
        <v>46</v>
      </c>
      <c r="L480" s="2">
        <v>1</v>
      </c>
      <c r="M480" s="2">
        <v>3</v>
      </c>
      <c r="N480" t="s">
        <v>48</v>
      </c>
      <c r="O480" s="2">
        <v>2096</v>
      </c>
      <c r="P480" s="2">
        <v>26376</v>
      </c>
      <c r="Q480" s="2">
        <v>1</v>
      </c>
      <c r="R480" t="s">
        <v>43</v>
      </c>
      <c r="S480" s="2">
        <v>3</v>
      </c>
      <c r="T480" s="2">
        <v>3</v>
      </c>
      <c r="U480">
        <v>80</v>
      </c>
      <c r="V480" s="2">
        <v>7</v>
      </c>
      <c r="W480">
        <v>1</v>
      </c>
      <c r="X480">
        <v>3</v>
      </c>
      <c r="Y480">
        <v>7</v>
      </c>
      <c r="Z480">
        <v>4</v>
      </c>
      <c r="AA480">
        <v>0</v>
      </c>
      <c r="AB480">
        <v>6</v>
      </c>
    </row>
    <row r="481" spans="1:28" x14ac:dyDescent="0.35">
      <c r="A481" s="2">
        <v>24</v>
      </c>
      <c r="B481" s="2" t="str" cm="1">
        <f t="array" ref="B481">_xlfn.IFS(HR_table[[#This Row],[Age]]&lt;=20, "Under 20yrs",HR_table[[#This Row],[Age]]&lt;=30,"(21-30)yrs",HR_table[[#This Row],[Age]]&lt;=40,"(31-40)yrs",HR_table[[#This Row],[Age]]&lt;=50,"(41-50)yrs",HR_table[[#This Row],[Age]]&lt;=60,"(51-60)yrs")</f>
        <v>(21-30)yrs</v>
      </c>
      <c r="C481" t="s">
        <v>35</v>
      </c>
      <c r="D481" t="s">
        <v>44</v>
      </c>
      <c r="E481" t="s">
        <v>45</v>
      </c>
      <c r="F481" t="s">
        <v>38</v>
      </c>
      <c r="G481" t="s">
        <v>50</v>
      </c>
      <c r="H481">
        <v>647</v>
      </c>
      <c r="I481" s="2">
        <v>7</v>
      </c>
      <c r="J481" s="2">
        <v>1</v>
      </c>
      <c r="K481" t="s">
        <v>39</v>
      </c>
      <c r="L481" s="2">
        <v>1</v>
      </c>
      <c r="M481" s="2">
        <v>3</v>
      </c>
      <c r="N481" t="s">
        <v>48</v>
      </c>
      <c r="O481" s="2">
        <v>2886</v>
      </c>
      <c r="P481" s="2">
        <v>14168</v>
      </c>
      <c r="Q481" s="2">
        <v>1</v>
      </c>
      <c r="R481" t="s">
        <v>35</v>
      </c>
      <c r="S481" s="2">
        <v>3</v>
      </c>
      <c r="T481" s="2">
        <v>4</v>
      </c>
      <c r="U481">
        <v>80</v>
      </c>
      <c r="V481" s="2">
        <v>6</v>
      </c>
      <c r="W481">
        <v>4</v>
      </c>
      <c r="X481">
        <v>3</v>
      </c>
      <c r="Y481">
        <v>6</v>
      </c>
      <c r="Z481">
        <v>3</v>
      </c>
      <c r="AA481">
        <v>1</v>
      </c>
      <c r="AB481">
        <v>2</v>
      </c>
    </row>
    <row r="482" spans="1:28" x14ac:dyDescent="0.35">
      <c r="A482" s="2">
        <v>30</v>
      </c>
      <c r="B482" s="2" t="str" cm="1">
        <f t="array" ref="B482">_xlfn.IFS(HR_table[[#This Row],[Age]]&lt;=20, "Under 20yrs",HR_table[[#This Row],[Age]]&lt;=30,"(21-30)yrs",HR_table[[#This Row],[Age]]&lt;=40,"(31-40)yrs",HR_table[[#This Row],[Age]]&lt;=50,"(41-50)yrs",HR_table[[#This Row],[Age]]&lt;=60,"(51-60)yrs")</f>
        <v>(21-30)yrs</v>
      </c>
      <c r="C482" t="s">
        <v>35</v>
      </c>
      <c r="D482" t="s">
        <v>44</v>
      </c>
      <c r="E482" t="s">
        <v>37</v>
      </c>
      <c r="F482" t="s">
        <v>38</v>
      </c>
      <c r="G482" t="s">
        <v>57</v>
      </c>
      <c r="H482">
        <v>648</v>
      </c>
      <c r="I482" s="2">
        <v>12</v>
      </c>
      <c r="J482" s="2">
        <v>2</v>
      </c>
      <c r="K482" t="s">
        <v>46</v>
      </c>
      <c r="L482" s="2">
        <v>1</v>
      </c>
      <c r="M482" s="2">
        <v>1</v>
      </c>
      <c r="N482" t="s">
        <v>48</v>
      </c>
      <c r="O482" s="2">
        <v>2033</v>
      </c>
      <c r="P482" s="2">
        <v>14470</v>
      </c>
      <c r="Q482" s="2">
        <v>1</v>
      </c>
      <c r="R482" t="s">
        <v>43</v>
      </c>
      <c r="S482" s="2">
        <v>3</v>
      </c>
      <c r="T482" s="2">
        <v>3</v>
      </c>
      <c r="U482">
        <v>80</v>
      </c>
      <c r="V482" s="2">
        <v>1</v>
      </c>
      <c r="W482">
        <v>2</v>
      </c>
      <c r="X482">
        <v>4</v>
      </c>
      <c r="Y482">
        <v>1</v>
      </c>
      <c r="Z482">
        <v>0</v>
      </c>
      <c r="AA482">
        <v>0</v>
      </c>
      <c r="AB482">
        <v>0</v>
      </c>
    </row>
    <row r="483" spans="1:28" x14ac:dyDescent="0.35">
      <c r="A483" s="2">
        <v>34</v>
      </c>
      <c r="B483" s="2" t="str" cm="1">
        <f t="array" ref="B483">_xlfn.IFS(HR_table[[#This Row],[Age]]&lt;=20, "Under 20yrs",HR_table[[#This Row],[Age]]&lt;=30,"(21-30)yrs",HR_table[[#This Row],[Age]]&lt;=40,"(31-40)yrs",HR_table[[#This Row],[Age]]&lt;=50,"(41-50)yrs",HR_table[[#This Row],[Age]]&lt;=60,"(51-60)yrs")</f>
        <v>(31-40)yrs</v>
      </c>
      <c r="C483" t="s">
        <v>43</v>
      </c>
      <c r="D483" t="s">
        <v>36</v>
      </c>
      <c r="E483" t="s">
        <v>45</v>
      </c>
      <c r="F483" t="s">
        <v>38</v>
      </c>
      <c r="G483" t="s">
        <v>47</v>
      </c>
      <c r="H483">
        <v>649</v>
      </c>
      <c r="I483" s="2">
        <v>1</v>
      </c>
      <c r="J483" s="2">
        <v>2</v>
      </c>
      <c r="K483" t="s">
        <v>46</v>
      </c>
      <c r="L483" s="2">
        <v>1</v>
      </c>
      <c r="M483" s="2">
        <v>4</v>
      </c>
      <c r="N483" t="s">
        <v>48</v>
      </c>
      <c r="O483" s="2">
        <v>3622</v>
      </c>
      <c r="P483" s="2">
        <v>22794</v>
      </c>
      <c r="Q483" s="2">
        <v>1</v>
      </c>
      <c r="R483" t="s">
        <v>35</v>
      </c>
      <c r="S483" s="2">
        <v>3</v>
      </c>
      <c r="T483" s="2">
        <v>4</v>
      </c>
      <c r="U483">
        <v>80</v>
      </c>
      <c r="V483" s="2">
        <v>6</v>
      </c>
      <c r="W483">
        <v>3</v>
      </c>
      <c r="X483">
        <v>3</v>
      </c>
      <c r="Y483">
        <v>6</v>
      </c>
      <c r="Z483">
        <v>5</v>
      </c>
      <c r="AA483">
        <v>1</v>
      </c>
      <c r="AB483">
        <v>3</v>
      </c>
    </row>
    <row r="484" spans="1:28" x14ac:dyDescent="0.35">
      <c r="A484" s="2">
        <v>31</v>
      </c>
      <c r="B484" s="2" t="str" cm="1">
        <f t="array" ref="B484">_xlfn.IFS(HR_table[[#This Row],[Age]]&lt;=20, "Under 20yrs",HR_table[[#This Row],[Age]]&lt;=30,"(21-30)yrs",HR_table[[#This Row],[Age]]&lt;=40,"(31-40)yrs",HR_table[[#This Row],[Age]]&lt;=50,"(41-50)yrs",HR_table[[#This Row],[Age]]&lt;=60,"(51-60)yrs")</f>
        <v>(31-40)yrs</v>
      </c>
      <c r="C484" t="s">
        <v>35</v>
      </c>
      <c r="D484" t="s">
        <v>36</v>
      </c>
      <c r="E484" t="s">
        <v>37</v>
      </c>
      <c r="F484" t="s">
        <v>51</v>
      </c>
      <c r="G484" t="s">
        <v>40</v>
      </c>
      <c r="H484">
        <v>650</v>
      </c>
      <c r="I484" s="2">
        <v>13</v>
      </c>
      <c r="J484" s="2">
        <v>2</v>
      </c>
      <c r="K484" t="s">
        <v>46</v>
      </c>
      <c r="L484" s="2">
        <v>2</v>
      </c>
      <c r="M484" s="2">
        <v>1</v>
      </c>
      <c r="N484" t="s">
        <v>52</v>
      </c>
      <c r="O484" s="2">
        <v>4233</v>
      </c>
      <c r="P484" s="2">
        <v>11512</v>
      </c>
      <c r="Q484" s="2">
        <v>2</v>
      </c>
      <c r="R484" t="s">
        <v>43</v>
      </c>
      <c r="S484" s="2">
        <v>3</v>
      </c>
      <c r="T484" s="2">
        <v>3</v>
      </c>
      <c r="U484">
        <v>80</v>
      </c>
      <c r="V484" s="2">
        <v>9</v>
      </c>
      <c r="W484">
        <v>2</v>
      </c>
      <c r="X484">
        <v>1</v>
      </c>
      <c r="Y484">
        <v>3</v>
      </c>
      <c r="Z484">
        <v>1</v>
      </c>
      <c r="AA484">
        <v>1</v>
      </c>
      <c r="AB484">
        <v>2</v>
      </c>
    </row>
    <row r="485" spans="1:28" x14ac:dyDescent="0.35">
      <c r="A485" s="2">
        <v>35</v>
      </c>
      <c r="B485" s="2" t="str" cm="1">
        <f t="array" ref="B485">_xlfn.IFS(HR_table[[#This Row],[Age]]&lt;=20, "Under 20yrs",HR_table[[#This Row],[Age]]&lt;=30,"(21-30)yrs",HR_table[[#This Row],[Age]]&lt;=40,"(31-40)yrs",HR_table[[#This Row],[Age]]&lt;=50,"(41-50)yrs",HR_table[[#This Row],[Age]]&lt;=60,"(51-60)yrs")</f>
        <v>(31-40)yrs</v>
      </c>
      <c r="C485" t="s">
        <v>43</v>
      </c>
      <c r="D485" t="s">
        <v>36</v>
      </c>
      <c r="E485" t="s">
        <v>45</v>
      </c>
      <c r="F485" t="s">
        <v>49</v>
      </c>
      <c r="G485" t="s">
        <v>50</v>
      </c>
      <c r="H485">
        <v>652</v>
      </c>
      <c r="I485" s="2">
        <v>25</v>
      </c>
      <c r="J485" s="2">
        <v>1</v>
      </c>
      <c r="K485" t="s">
        <v>46</v>
      </c>
      <c r="L485" s="2">
        <v>2</v>
      </c>
      <c r="M485" s="2">
        <v>4</v>
      </c>
      <c r="N485" t="s">
        <v>41</v>
      </c>
      <c r="O485" s="2">
        <v>3681</v>
      </c>
      <c r="P485" s="2">
        <v>14004</v>
      </c>
      <c r="Q485" s="2">
        <v>4</v>
      </c>
      <c r="R485" t="s">
        <v>43</v>
      </c>
      <c r="S485" s="2">
        <v>3</v>
      </c>
      <c r="T485" s="2">
        <v>4</v>
      </c>
      <c r="U485">
        <v>80</v>
      </c>
      <c r="V485" s="2">
        <v>9</v>
      </c>
      <c r="W485">
        <v>3</v>
      </c>
      <c r="X485">
        <v>3</v>
      </c>
      <c r="Y485">
        <v>3</v>
      </c>
      <c r="Z485">
        <v>2</v>
      </c>
      <c r="AA485">
        <v>0</v>
      </c>
      <c r="AB485">
        <v>2</v>
      </c>
    </row>
    <row r="486" spans="1:28" x14ac:dyDescent="0.35">
      <c r="A486" s="2">
        <v>31</v>
      </c>
      <c r="B486" s="2" t="str" cm="1">
        <f t="array" ref="B486">_xlfn.IFS(HR_table[[#This Row],[Age]]&lt;=20, "Under 20yrs",HR_table[[#This Row],[Age]]&lt;=30,"(21-30)yrs",HR_table[[#This Row],[Age]]&lt;=40,"(31-40)yrs",HR_table[[#This Row],[Age]]&lt;=50,"(41-50)yrs",HR_table[[#This Row],[Age]]&lt;=60,"(51-60)yrs")</f>
        <v>(31-40)yrs</v>
      </c>
      <c r="C486" t="s">
        <v>43</v>
      </c>
      <c r="D486" t="s">
        <v>36</v>
      </c>
      <c r="E486" t="s">
        <v>37</v>
      </c>
      <c r="F486" t="s">
        <v>51</v>
      </c>
      <c r="G486" t="s">
        <v>40</v>
      </c>
      <c r="H486">
        <v>653</v>
      </c>
      <c r="I486" s="2">
        <v>6</v>
      </c>
      <c r="J486" s="2">
        <v>1</v>
      </c>
      <c r="K486" t="s">
        <v>46</v>
      </c>
      <c r="L486" s="2">
        <v>2</v>
      </c>
      <c r="M486" s="2">
        <v>4</v>
      </c>
      <c r="N486" t="s">
        <v>52</v>
      </c>
      <c r="O486" s="2">
        <v>5460</v>
      </c>
      <c r="P486" s="2">
        <v>6219</v>
      </c>
      <c r="Q486" s="2">
        <v>4</v>
      </c>
      <c r="R486" t="s">
        <v>43</v>
      </c>
      <c r="S486" s="2">
        <v>4</v>
      </c>
      <c r="T486" s="2">
        <v>4</v>
      </c>
      <c r="U486">
        <v>80</v>
      </c>
      <c r="V486" s="2">
        <v>13</v>
      </c>
      <c r="W486">
        <v>4</v>
      </c>
      <c r="X486">
        <v>4</v>
      </c>
      <c r="Y486">
        <v>7</v>
      </c>
      <c r="Z486">
        <v>7</v>
      </c>
      <c r="AA486">
        <v>5</v>
      </c>
      <c r="AB486">
        <v>7</v>
      </c>
    </row>
    <row r="487" spans="1:28" x14ac:dyDescent="0.35">
      <c r="A487" s="2">
        <v>27</v>
      </c>
      <c r="B487" s="2" t="str" cm="1">
        <f t="array" ref="B487">_xlfn.IFS(HR_table[[#This Row],[Age]]&lt;=20, "Under 20yrs",HR_table[[#This Row],[Age]]&lt;=30,"(21-30)yrs",HR_table[[#This Row],[Age]]&lt;=40,"(31-40)yrs",HR_table[[#This Row],[Age]]&lt;=50,"(41-50)yrs",HR_table[[#This Row],[Age]]&lt;=60,"(51-60)yrs")</f>
        <v>(21-30)yrs</v>
      </c>
      <c r="C487" t="s">
        <v>43</v>
      </c>
      <c r="D487" t="s">
        <v>36</v>
      </c>
      <c r="E487" t="s">
        <v>45</v>
      </c>
      <c r="F487" t="s">
        <v>51</v>
      </c>
      <c r="G487" t="s">
        <v>47</v>
      </c>
      <c r="H487">
        <v>655</v>
      </c>
      <c r="I487" s="2">
        <v>6</v>
      </c>
      <c r="J487" s="2">
        <v>1</v>
      </c>
      <c r="K487" t="s">
        <v>39</v>
      </c>
      <c r="L487" s="2">
        <v>1</v>
      </c>
      <c r="M487" s="2">
        <v>3</v>
      </c>
      <c r="N487" t="s">
        <v>52</v>
      </c>
      <c r="O487" s="2">
        <v>2187</v>
      </c>
      <c r="P487" s="2">
        <v>5013</v>
      </c>
      <c r="Q487" s="2">
        <v>0</v>
      </c>
      <c r="R487" t="s">
        <v>43</v>
      </c>
      <c r="S487" s="2">
        <v>3</v>
      </c>
      <c r="T487" s="2">
        <v>3</v>
      </c>
      <c r="U487">
        <v>80</v>
      </c>
      <c r="V487" s="2">
        <v>6</v>
      </c>
      <c r="W487">
        <v>5</v>
      </c>
      <c r="X487">
        <v>2</v>
      </c>
      <c r="Y487">
        <v>5</v>
      </c>
      <c r="Z487">
        <v>3</v>
      </c>
      <c r="AA487">
        <v>0</v>
      </c>
      <c r="AB487">
        <v>3</v>
      </c>
    </row>
    <row r="488" spans="1:28" x14ac:dyDescent="0.35">
      <c r="A488" s="2">
        <v>37</v>
      </c>
      <c r="B488" s="2" t="str" cm="1">
        <f t="array" ref="B488">_xlfn.IFS(HR_table[[#This Row],[Age]]&lt;=20, "Under 20yrs",HR_table[[#This Row],[Age]]&lt;=30,"(21-30)yrs",HR_table[[#This Row],[Age]]&lt;=40,"(31-40)yrs",HR_table[[#This Row],[Age]]&lt;=50,"(41-50)yrs",HR_table[[#This Row],[Age]]&lt;=60,"(51-60)yrs")</f>
        <v>(31-40)yrs</v>
      </c>
      <c r="C488" t="s">
        <v>43</v>
      </c>
      <c r="D488" t="s">
        <v>36</v>
      </c>
      <c r="E488" t="s">
        <v>37</v>
      </c>
      <c r="F488" t="s">
        <v>59</v>
      </c>
      <c r="G488" t="s">
        <v>40</v>
      </c>
      <c r="H488">
        <v>656</v>
      </c>
      <c r="I488" s="2">
        <v>2</v>
      </c>
      <c r="J488" s="2">
        <v>4</v>
      </c>
      <c r="K488" t="s">
        <v>46</v>
      </c>
      <c r="L488" s="2">
        <v>2</v>
      </c>
      <c r="M488" s="2">
        <v>3</v>
      </c>
      <c r="N488" t="s">
        <v>48</v>
      </c>
      <c r="O488" s="2">
        <v>9602</v>
      </c>
      <c r="P488" s="2">
        <v>3010</v>
      </c>
      <c r="Q488" s="2">
        <v>4</v>
      </c>
      <c r="R488" t="s">
        <v>35</v>
      </c>
      <c r="S488" s="2">
        <v>3</v>
      </c>
      <c r="T488" s="2">
        <v>3</v>
      </c>
      <c r="U488">
        <v>80</v>
      </c>
      <c r="V488" s="2">
        <v>17</v>
      </c>
      <c r="W488">
        <v>3</v>
      </c>
      <c r="X488">
        <v>2</v>
      </c>
      <c r="Y488">
        <v>3</v>
      </c>
      <c r="Z488">
        <v>0</v>
      </c>
      <c r="AA488">
        <v>1</v>
      </c>
      <c r="AB488">
        <v>0</v>
      </c>
    </row>
    <row r="489" spans="1:28" x14ac:dyDescent="0.35">
      <c r="A489" s="2">
        <v>20</v>
      </c>
      <c r="B489" s="2" t="str" cm="1">
        <f t="array" ref="B489">_xlfn.IFS(HR_table[[#This Row],[Age]]&lt;=20, "Under 20yrs",HR_table[[#This Row],[Age]]&lt;=30,"(21-30)yrs",HR_table[[#This Row],[Age]]&lt;=40,"(31-40)yrs",HR_table[[#This Row],[Age]]&lt;=50,"(41-50)yrs",HR_table[[#This Row],[Age]]&lt;=60,"(51-60)yrs")</f>
        <v>Under 20yrs</v>
      </c>
      <c r="C489" t="s">
        <v>43</v>
      </c>
      <c r="D489" t="s">
        <v>36</v>
      </c>
      <c r="E489" t="s">
        <v>45</v>
      </c>
      <c r="F489" t="s">
        <v>38</v>
      </c>
      <c r="G489" t="s">
        <v>47</v>
      </c>
      <c r="H489">
        <v>657</v>
      </c>
      <c r="I489" s="2">
        <v>1</v>
      </c>
      <c r="J489" s="2">
        <v>4</v>
      </c>
      <c r="K489" t="s">
        <v>39</v>
      </c>
      <c r="L489" s="2">
        <v>1</v>
      </c>
      <c r="M489" s="2">
        <v>2</v>
      </c>
      <c r="N489" t="s">
        <v>41</v>
      </c>
      <c r="O489" s="2">
        <v>2836</v>
      </c>
      <c r="P489" s="2">
        <v>11757</v>
      </c>
      <c r="Q489" s="2">
        <v>1</v>
      </c>
      <c r="R489" t="s">
        <v>43</v>
      </c>
      <c r="S489" s="2">
        <v>3</v>
      </c>
      <c r="T489" s="2">
        <v>4</v>
      </c>
      <c r="U489">
        <v>80</v>
      </c>
      <c r="V489" s="2">
        <v>1</v>
      </c>
      <c r="W489">
        <v>0</v>
      </c>
      <c r="X489">
        <v>4</v>
      </c>
      <c r="Y489">
        <v>1</v>
      </c>
      <c r="Z489">
        <v>0</v>
      </c>
      <c r="AA489">
        <v>0</v>
      </c>
      <c r="AB489">
        <v>0</v>
      </c>
    </row>
    <row r="490" spans="1:28" x14ac:dyDescent="0.35">
      <c r="A490" s="2">
        <v>42</v>
      </c>
      <c r="B490" s="2" t="str" cm="1">
        <f t="array" ref="B490">_xlfn.IFS(HR_table[[#This Row],[Age]]&lt;=20, "Under 20yrs",HR_table[[#This Row],[Age]]&lt;=30,"(21-30)yrs",HR_table[[#This Row],[Age]]&lt;=40,"(31-40)yrs",HR_table[[#This Row],[Age]]&lt;=50,"(41-50)yrs",HR_table[[#This Row],[Age]]&lt;=60,"(51-60)yrs")</f>
        <v>(41-50)yrs</v>
      </c>
      <c r="C490" t="s">
        <v>43</v>
      </c>
      <c r="D490" t="s">
        <v>36</v>
      </c>
      <c r="E490" t="s">
        <v>45</v>
      </c>
      <c r="F490" t="s">
        <v>38</v>
      </c>
      <c r="G490" t="s">
        <v>54</v>
      </c>
      <c r="H490">
        <v>659</v>
      </c>
      <c r="I490" s="2">
        <v>2</v>
      </c>
      <c r="J490" s="2">
        <v>3</v>
      </c>
      <c r="K490" t="s">
        <v>39</v>
      </c>
      <c r="L490" s="2">
        <v>2</v>
      </c>
      <c r="M490" s="2">
        <v>4</v>
      </c>
      <c r="N490" t="s">
        <v>48</v>
      </c>
      <c r="O490" s="2">
        <v>4089</v>
      </c>
      <c r="P490" s="2">
        <v>5718</v>
      </c>
      <c r="Q490" s="2">
        <v>1</v>
      </c>
      <c r="R490" t="s">
        <v>43</v>
      </c>
      <c r="S490" s="2">
        <v>3</v>
      </c>
      <c r="T490" s="2">
        <v>2</v>
      </c>
      <c r="U490">
        <v>80</v>
      </c>
      <c r="V490" s="2">
        <v>10</v>
      </c>
      <c r="W490">
        <v>4</v>
      </c>
      <c r="X490">
        <v>3</v>
      </c>
      <c r="Y490">
        <v>10</v>
      </c>
      <c r="Z490">
        <v>2</v>
      </c>
      <c r="AA490">
        <v>2</v>
      </c>
      <c r="AB490">
        <v>2</v>
      </c>
    </row>
    <row r="491" spans="1:28" x14ac:dyDescent="0.35">
      <c r="A491" s="2">
        <v>43</v>
      </c>
      <c r="B491" s="2" t="str" cm="1">
        <f t="array" ref="B491">_xlfn.IFS(HR_table[[#This Row],[Age]]&lt;=20, "Under 20yrs",HR_table[[#This Row],[Age]]&lt;=30,"(21-30)yrs",HR_table[[#This Row],[Age]]&lt;=40,"(31-40)yrs",HR_table[[#This Row],[Age]]&lt;=50,"(41-50)yrs",HR_table[[#This Row],[Age]]&lt;=60,"(51-60)yrs")</f>
        <v>(41-50)yrs</v>
      </c>
      <c r="C491" t="s">
        <v>43</v>
      </c>
      <c r="D491" t="s">
        <v>36</v>
      </c>
      <c r="E491" t="s">
        <v>45</v>
      </c>
      <c r="F491" t="s">
        <v>49</v>
      </c>
      <c r="G491" t="s">
        <v>58</v>
      </c>
      <c r="H491">
        <v>661</v>
      </c>
      <c r="I491" s="2">
        <v>6</v>
      </c>
      <c r="J491" s="2">
        <v>2</v>
      </c>
      <c r="K491" t="s">
        <v>46</v>
      </c>
      <c r="L491" s="2">
        <v>4</v>
      </c>
      <c r="M491" s="2">
        <v>4</v>
      </c>
      <c r="N491" t="s">
        <v>52</v>
      </c>
      <c r="O491" s="2">
        <v>16627</v>
      </c>
      <c r="P491" s="2">
        <v>2671</v>
      </c>
      <c r="Q491" s="2">
        <v>4</v>
      </c>
      <c r="R491" t="s">
        <v>35</v>
      </c>
      <c r="S491" s="2">
        <v>3</v>
      </c>
      <c r="T491" s="2">
        <v>3</v>
      </c>
      <c r="U491">
        <v>80</v>
      </c>
      <c r="V491" s="2">
        <v>21</v>
      </c>
      <c r="W491">
        <v>3</v>
      </c>
      <c r="X491">
        <v>2</v>
      </c>
      <c r="Y491">
        <v>1</v>
      </c>
      <c r="Z491">
        <v>0</v>
      </c>
      <c r="AA491">
        <v>0</v>
      </c>
      <c r="AB491">
        <v>0</v>
      </c>
    </row>
    <row r="492" spans="1:28" x14ac:dyDescent="0.35">
      <c r="A492" s="2">
        <v>38</v>
      </c>
      <c r="B492" s="2" t="str" cm="1">
        <f t="array" ref="B492">_xlfn.IFS(HR_table[[#This Row],[Age]]&lt;=20, "Under 20yrs",HR_table[[#This Row],[Age]]&lt;=30,"(21-30)yrs",HR_table[[#This Row],[Age]]&lt;=40,"(31-40)yrs",HR_table[[#This Row],[Age]]&lt;=50,"(41-50)yrs",HR_table[[#This Row],[Age]]&lt;=60,"(51-60)yrs")</f>
        <v>(31-40)yrs</v>
      </c>
      <c r="C492" t="s">
        <v>43</v>
      </c>
      <c r="D492" t="s">
        <v>36</v>
      </c>
      <c r="E492" t="s">
        <v>45</v>
      </c>
      <c r="F492" t="s">
        <v>38</v>
      </c>
      <c r="G492" t="s">
        <v>47</v>
      </c>
      <c r="H492">
        <v>662</v>
      </c>
      <c r="I492" s="2">
        <v>1</v>
      </c>
      <c r="J492" s="2">
        <v>3</v>
      </c>
      <c r="K492" t="s">
        <v>39</v>
      </c>
      <c r="L492" s="2">
        <v>1</v>
      </c>
      <c r="M492" s="2">
        <v>1</v>
      </c>
      <c r="N492" t="s">
        <v>41</v>
      </c>
      <c r="O492" s="2">
        <v>2619</v>
      </c>
      <c r="P492" s="2">
        <v>14561</v>
      </c>
      <c r="Q492" s="2">
        <v>3</v>
      </c>
      <c r="R492" t="s">
        <v>43</v>
      </c>
      <c r="S492" s="2">
        <v>3</v>
      </c>
      <c r="T492" s="2">
        <v>4</v>
      </c>
      <c r="U492">
        <v>80</v>
      </c>
      <c r="V492" s="2">
        <v>8</v>
      </c>
      <c r="W492">
        <v>3</v>
      </c>
      <c r="X492">
        <v>2</v>
      </c>
      <c r="Y492">
        <v>0</v>
      </c>
      <c r="Z492">
        <v>0</v>
      </c>
      <c r="AA492">
        <v>0</v>
      </c>
      <c r="AB492">
        <v>0</v>
      </c>
    </row>
    <row r="493" spans="1:28" x14ac:dyDescent="0.35">
      <c r="A493" s="2">
        <v>43</v>
      </c>
      <c r="B493" s="2" t="str" cm="1">
        <f t="array" ref="B493">_xlfn.IFS(HR_table[[#This Row],[Age]]&lt;=20, "Under 20yrs",HR_table[[#This Row],[Age]]&lt;=30,"(21-30)yrs",HR_table[[#This Row],[Age]]&lt;=40,"(31-40)yrs",HR_table[[#This Row],[Age]]&lt;=50,"(41-50)yrs",HR_table[[#This Row],[Age]]&lt;=60,"(51-60)yrs")</f>
        <v>(41-50)yrs</v>
      </c>
      <c r="C493" t="s">
        <v>43</v>
      </c>
      <c r="D493" t="s">
        <v>44</v>
      </c>
      <c r="E493" t="s">
        <v>45</v>
      </c>
      <c r="F493" t="s">
        <v>51</v>
      </c>
      <c r="G493" t="s">
        <v>50</v>
      </c>
      <c r="H493">
        <v>663</v>
      </c>
      <c r="I493" s="2">
        <v>9</v>
      </c>
      <c r="J493" s="2">
        <v>4</v>
      </c>
      <c r="K493" t="s">
        <v>46</v>
      </c>
      <c r="L493" s="2">
        <v>2</v>
      </c>
      <c r="M493" s="2">
        <v>3</v>
      </c>
      <c r="N493" t="s">
        <v>52</v>
      </c>
      <c r="O493" s="2">
        <v>5679</v>
      </c>
      <c r="P493" s="2">
        <v>19627</v>
      </c>
      <c r="Q493" s="2">
        <v>3</v>
      </c>
      <c r="R493" t="s">
        <v>35</v>
      </c>
      <c r="S493" s="2">
        <v>3</v>
      </c>
      <c r="T493" s="2">
        <v>2</v>
      </c>
      <c r="U493">
        <v>80</v>
      </c>
      <c r="V493" s="2">
        <v>10</v>
      </c>
      <c r="W493">
        <v>3</v>
      </c>
      <c r="X493">
        <v>3</v>
      </c>
      <c r="Y493">
        <v>8</v>
      </c>
      <c r="Z493">
        <v>7</v>
      </c>
      <c r="AA493">
        <v>4</v>
      </c>
      <c r="AB493">
        <v>7</v>
      </c>
    </row>
    <row r="494" spans="1:28" x14ac:dyDescent="0.35">
      <c r="A494" s="2">
        <v>48</v>
      </c>
      <c r="B494" s="2" t="str" cm="1">
        <f t="array" ref="B494">_xlfn.IFS(HR_table[[#This Row],[Age]]&lt;=20, "Under 20yrs",HR_table[[#This Row],[Age]]&lt;=30,"(21-30)yrs",HR_table[[#This Row],[Age]]&lt;=40,"(31-40)yrs",HR_table[[#This Row],[Age]]&lt;=50,"(41-50)yrs",HR_table[[#This Row],[Age]]&lt;=60,"(51-60)yrs")</f>
        <v>(41-50)yrs</v>
      </c>
      <c r="C494" t="s">
        <v>43</v>
      </c>
      <c r="D494" t="s">
        <v>36</v>
      </c>
      <c r="E494" t="s">
        <v>45</v>
      </c>
      <c r="F494" t="s">
        <v>38</v>
      </c>
      <c r="G494" t="s">
        <v>56</v>
      </c>
      <c r="H494">
        <v>664</v>
      </c>
      <c r="I494" s="2">
        <v>1</v>
      </c>
      <c r="J494" s="2">
        <v>4</v>
      </c>
      <c r="K494" t="s">
        <v>39</v>
      </c>
      <c r="L494" s="2">
        <v>4</v>
      </c>
      <c r="M494" s="2">
        <v>1</v>
      </c>
      <c r="N494" t="s">
        <v>48</v>
      </c>
      <c r="O494" s="2">
        <v>15402</v>
      </c>
      <c r="P494" s="2">
        <v>17997</v>
      </c>
      <c r="Q494" s="2">
        <v>7</v>
      </c>
      <c r="R494" t="s">
        <v>43</v>
      </c>
      <c r="S494" s="2">
        <v>3</v>
      </c>
      <c r="T494" s="2">
        <v>1</v>
      </c>
      <c r="U494">
        <v>80</v>
      </c>
      <c r="V494" s="2">
        <v>21</v>
      </c>
      <c r="W494">
        <v>3</v>
      </c>
      <c r="X494">
        <v>1</v>
      </c>
      <c r="Y494">
        <v>3</v>
      </c>
      <c r="Z494">
        <v>2</v>
      </c>
      <c r="AA494">
        <v>0</v>
      </c>
      <c r="AB494">
        <v>2</v>
      </c>
    </row>
    <row r="495" spans="1:28" x14ac:dyDescent="0.35">
      <c r="A495" s="2">
        <v>44</v>
      </c>
      <c r="B495" s="2" t="str" cm="1">
        <f t="array" ref="B495">_xlfn.IFS(HR_table[[#This Row],[Age]]&lt;=20, "Under 20yrs",HR_table[[#This Row],[Age]]&lt;=30,"(21-30)yrs",HR_table[[#This Row],[Age]]&lt;=40,"(31-40)yrs",HR_table[[#This Row],[Age]]&lt;=50,"(41-50)yrs",HR_table[[#This Row],[Age]]&lt;=60,"(51-60)yrs")</f>
        <v>(41-50)yrs</v>
      </c>
      <c r="C495" t="s">
        <v>43</v>
      </c>
      <c r="D495" t="s">
        <v>36</v>
      </c>
      <c r="E495" t="s">
        <v>61</v>
      </c>
      <c r="F495" t="s">
        <v>38</v>
      </c>
      <c r="G495" t="s">
        <v>61</v>
      </c>
      <c r="H495">
        <v>665</v>
      </c>
      <c r="I495" s="2">
        <v>1</v>
      </c>
      <c r="J495" s="2">
        <v>1</v>
      </c>
      <c r="K495" t="s">
        <v>39</v>
      </c>
      <c r="L495" s="2">
        <v>2</v>
      </c>
      <c r="M495" s="2">
        <v>3</v>
      </c>
      <c r="N495" t="s">
        <v>41</v>
      </c>
      <c r="O495" s="2">
        <v>5985</v>
      </c>
      <c r="P495" s="2">
        <v>26894</v>
      </c>
      <c r="Q495" s="2">
        <v>4</v>
      </c>
      <c r="R495" t="s">
        <v>43</v>
      </c>
      <c r="S495" s="2">
        <v>3</v>
      </c>
      <c r="T495" s="2">
        <v>2</v>
      </c>
      <c r="U495">
        <v>80</v>
      </c>
      <c r="V495" s="2">
        <v>10</v>
      </c>
      <c r="W495">
        <v>1</v>
      </c>
      <c r="X495">
        <v>4</v>
      </c>
      <c r="Y495">
        <v>2</v>
      </c>
      <c r="Z495">
        <v>2</v>
      </c>
      <c r="AA495">
        <v>0</v>
      </c>
      <c r="AB495">
        <v>2</v>
      </c>
    </row>
    <row r="496" spans="1:28" x14ac:dyDescent="0.35">
      <c r="A496" s="2">
        <v>34</v>
      </c>
      <c r="B496" s="2" t="str" cm="1">
        <f t="array" ref="B496">_xlfn.IFS(HR_table[[#This Row],[Age]]&lt;=20, "Under 20yrs",HR_table[[#This Row],[Age]]&lt;=30,"(21-30)yrs",HR_table[[#This Row],[Age]]&lt;=40,"(31-40)yrs",HR_table[[#This Row],[Age]]&lt;=50,"(41-50)yrs",HR_table[[#This Row],[Age]]&lt;=60,"(51-60)yrs")</f>
        <v>(31-40)yrs</v>
      </c>
      <c r="C496" t="s">
        <v>43</v>
      </c>
      <c r="D496" t="s">
        <v>36</v>
      </c>
      <c r="E496" t="s">
        <v>37</v>
      </c>
      <c r="F496" t="s">
        <v>60</v>
      </c>
      <c r="G496" t="s">
        <v>57</v>
      </c>
      <c r="H496">
        <v>666</v>
      </c>
      <c r="I496" s="2">
        <v>14</v>
      </c>
      <c r="J496" s="2">
        <v>3</v>
      </c>
      <c r="K496" t="s">
        <v>39</v>
      </c>
      <c r="L496" s="2">
        <v>1</v>
      </c>
      <c r="M496" s="2">
        <v>3</v>
      </c>
      <c r="N496" t="s">
        <v>52</v>
      </c>
      <c r="O496" s="2">
        <v>2579</v>
      </c>
      <c r="P496" s="2">
        <v>2912</v>
      </c>
      <c r="Q496" s="2">
        <v>1</v>
      </c>
      <c r="R496" t="s">
        <v>35</v>
      </c>
      <c r="S496" s="2">
        <v>3</v>
      </c>
      <c r="T496" s="2">
        <v>4</v>
      </c>
      <c r="U496">
        <v>80</v>
      </c>
      <c r="V496" s="2">
        <v>8</v>
      </c>
      <c r="W496">
        <v>3</v>
      </c>
      <c r="X496">
        <v>3</v>
      </c>
      <c r="Y496">
        <v>8</v>
      </c>
      <c r="Z496">
        <v>2</v>
      </c>
      <c r="AA496">
        <v>0</v>
      </c>
      <c r="AB496">
        <v>6</v>
      </c>
    </row>
    <row r="497" spans="1:28" x14ac:dyDescent="0.35">
      <c r="A497" s="2">
        <v>27</v>
      </c>
      <c r="B497" s="2" t="str" cm="1">
        <f t="array" ref="B497">_xlfn.IFS(HR_table[[#This Row],[Age]]&lt;=20, "Under 20yrs",HR_table[[#This Row],[Age]]&lt;=30,"(21-30)yrs",HR_table[[#This Row],[Age]]&lt;=40,"(31-40)yrs",HR_table[[#This Row],[Age]]&lt;=50,"(41-50)yrs",HR_table[[#This Row],[Age]]&lt;=60,"(51-60)yrs")</f>
        <v>(21-30)yrs</v>
      </c>
      <c r="C497" t="s">
        <v>35</v>
      </c>
      <c r="D497" t="s">
        <v>36</v>
      </c>
      <c r="E497" t="s">
        <v>37</v>
      </c>
      <c r="F497" t="s">
        <v>59</v>
      </c>
      <c r="G497" t="s">
        <v>57</v>
      </c>
      <c r="H497">
        <v>667</v>
      </c>
      <c r="I497" s="2">
        <v>2</v>
      </c>
      <c r="J497" s="2">
        <v>3</v>
      </c>
      <c r="K497" t="s">
        <v>46</v>
      </c>
      <c r="L497" s="2">
        <v>1</v>
      </c>
      <c r="M497" s="2">
        <v>1</v>
      </c>
      <c r="N497" t="s">
        <v>52</v>
      </c>
      <c r="O497" s="2">
        <v>3041</v>
      </c>
      <c r="P497" s="2">
        <v>16346</v>
      </c>
      <c r="Q497" s="2">
        <v>0</v>
      </c>
      <c r="R497" t="s">
        <v>43</v>
      </c>
      <c r="S497" s="2">
        <v>3</v>
      </c>
      <c r="T497" s="2">
        <v>2</v>
      </c>
      <c r="U497">
        <v>80</v>
      </c>
      <c r="V497" s="2">
        <v>5</v>
      </c>
      <c r="W497">
        <v>3</v>
      </c>
      <c r="X497">
        <v>3</v>
      </c>
      <c r="Y497">
        <v>4</v>
      </c>
      <c r="Z497">
        <v>3</v>
      </c>
      <c r="AA497">
        <v>0</v>
      </c>
      <c r="AB497">
        <v>2</v>
      </c>
    </row>
    <row r="498" spans="1:28" x14ac:dyDescent="0.35">
      <c r="A498" s="2">
        <v>21</v>
      </c>
      <c r="B498" s="2" t="str" cm="1">
        <f t="array" ref="B498">_xlfn.IFS(HR_table[[#This Row],[Age]]&lt;=20, "Under 20yrs",HR_table[[#This Row],[Age]]&lt;=30,"(21-30)yrs",HR_table[[#This Row],[Age]]&lt;=40,"(31-40)yrs",HR_table[[#This Row],[Age]]&lt;=50,"(41-50)yrs",HR_table[[#This Row],[Age]]&lt;=60,"(51-60)yrs")</f>
        <v>(21-30)yrs</v>
      </c>
      <c r="C498" t="s">
        <v>43</v>
      </c>
      <c r="D498" t="s">
        <v>36</v>
      </c>
      <c r="E498" t="s">
        <v>37</v>
      </c>
      <c r="F498" t="s">
        <v>60</v>
      </c>
      <c r="G498" t="s">
        <v>57</v>
      </c>
      <c r="H498">
        <v>669</v>
      </c>
      <c r="I498" s="2">
        <v>22</v>
      </c>
      <c r="J498" s="2">
        <v>3</v>
      </c>
      <c r="K498" t="s">
        <v>46</v>
      </c>
      <c r="L498" s="2">
        <v>1</v>
      </c>
      <c r="M498" s="2">
        <v>3</v>
      </c>
      <c r="N498" t="s">
        <v>41</v>
      </c>
      <c r="O498" s="2">
        <v>3447</v>
      </c>
      <c r="P498" s="2">
        <v>24444</v>
      </c>
      <c r="Q498" s="2">
        <v>1</v>
      </c>
      <c r="R498" t="s">
        <v>43</v>
      </c>
      <c r="S498" s="2">
        <v>3</v>
      </c>
      <c r="T498" s="2">
        <v>3</v>
      </c>
      <c r="U498">
        <v>80</v>
      </c>
      <c r="V498" s="2">
        <v>3</v>
      </c>
      <c r="W498">
        <v>2</v>
      </c>
      <c r="X498">
        <v>3</v>
      </c>
      <c r="Y498">
        <v>3</v>
      </c>
      <c r="Z498">
        <v>2</v>
      </c>
      <c r="AA498">
        <v>1</v>
      </c>
      <c r="AB498">
        <v>2</v>
      </c>
    </row>
    <row r="499" spans="1:28" x14ac:dyDescent="0.35">
      <c r="A499" s="2">
        <v>44</v>
      </c>
      <c r="B499" s="2" t="str" cm="1">
        <f t="array" ref="B499">_xlfn.IFS(HR_table[[#This Row],[Age]]&lt;=20, "Under 20yrs",HR_table[[#This Row],[Age]]&lt;=30,"(21-30)yrs",HR_table[[#This Row],[Age]]&lt;=40,"(31-40)yrs",HR_table[[#This Row],[Age]]&lt;=50,"(41-50)yrs",HR_table[[#This Row],[Age]]&lt;=60,"(51-60)yrs")</f>
        <v>(41-50)yrs</v>
      </c>
      <c r="C499" t="s">
        <v>43</v>
      </c>
      <c r="D499" t="s">
        <v>36</v>
      </c>
      <c r="E499" t="s">
        <v>45</v>
      </c>
      <c r="F499" t="s">
        <v>49</v>
      </c>
      <c r="G499" t="s">
        <v>56</v>
      </c>
      <c r="H499">
        <v>671</v>
      </c>
      <c r="I499" s="2">
        <v>3</v>
      </c>
      <c r="J499" s="2">
        <v>4</v>
      </c>
      <c r="K499" t="s">
        <v>46</v>
      </c>
      <c r="L499" s="2">
        <v>5</v>
      </c>
      <c r="M499" s="2">
        <v>4</v>
      </c>
      <c r="N499" t="s">
        <v>48</v>
      </c>
      <c r="O499" s="2">
        <v>19513</v>
      </c>
      <c r="P499" s="2">
        <v>9358</v>
      </c>
      <c r="Q499" s="2">
        <v>4</v>
      </c>
      <c r="R499" t="s">
        <v>35</v>
      </c>
      <c r="S499" s="2">
        <v>3</v>
      </c>
      <c r="T499" s="2">
        <v>1</v>
      </c>
      <c r="U499">
        <v>80</v>
      </c>
      <c r="V499" s="2">
        <v>26</v>
      </c>
      <c r="W499">
        <v>2</v>
      </c>
      <c r="X499">
        <v>4</v>
      </c>
      <c r="Y499">
        <v>2</v>
      </c>
      <c r="Z499">
        <v>2</v>
      </c>
      <c r="AA499">
        <v>0</v>
      </c>
      <c r="AB499">
        <v>1</v>
      </c>
    </row>
    <row r="500" spans="1:28" x14ac:dyDescent="0.35">
      <c r="A500" s="2">
        <v>22</v>
      </c>
      <c r="B500" s="2" t="str" cm="1">
        <f t="array" ref="B500">_xlfn.IFS(HR_table[[#This Row],[Age]]&lt;=20, "Under 20yrs",HR_table[[#This Row],[Age]]&lt;=30,"(21-30)yrs",HR_table[[#This Row],[Age]]&lt;=40,"(31-40)yrs",HR_table[[#This Row],[Age]]&lt;=50,"(41-50)yrs",HR_table[[#This Row],[Age]]&lt;=60,"(51-60)yrs")</f>
        <v>(21-30)yrs</v>
      </c>
      <c r="C500" t="s">
        <v>43</v>
      </c>
      <c r="D500" t="s">
        <v>36</v>
      </c>
      <c r="E500" t="s">
        <v>45</v>
      </c>
      <c r="F500" t="s">
        <v>51</v>
      </c>
      <c r="G500" t="s">
        <v>47</v>
      </c>
      <c r="H500">
        <v>675</v>
      </c>
      <c r="I500" s="2">
        <v>6</v>
      </c>
      <c r="J500" s="2">
        <v>1</v>
      </c>
      <c r="K500" t="s">
        <v>46</v>
      </c>
      <c r="L500" s="2">
        <v>1</v>
      </c>
      <c r="M500" s="2">
        <v>3</v>
      </c>
      <c r="N500" t="s">
        <v>48</v>
      </c>
      <c r="O500" s="2">
        <v>2773</v>
      </c>
      <c r="P500" s="2">
        <v>12145</v>
      </c>
      <c r="Q500" s="2">
        <v>0</v>
      </c>
      <c r="R500" t="s">
        <v>43</v>
      </c>
      <c r="S500" s="2">
        <v>4</v>
      </c>
      <c r="T500" s="2">
        <v>4</v>
      </c>
      <c r="U500">
        <v>80</v>
      </c>
      <c r="V500" s="2">
        <v>3</v>
      </c>
      <c r="W500">
        <v>3</v>
      </c>
      <c r="X500">
        <v>3</v>
      </c>
      <c r="Y500">
        <v>2</v>
      </c>
      <c r="Z500">
        <v>2</v>
      </c>
      <c r="AA500">
        <v>2</v>
      </c>
      <c r="AB500">
        <v>2</v>
      </c>
    </row>
    <row r="501" spans="1:28" x14ac:dyDescent="0.35">
      <c r="A501" s="2">
        <v>33</v>
      </c>
      <c r="B501" s="2" t="str" cm="1">
        <f t="array" ref="B501">_xlfn.IFS(HR_table[[#This Row],[Age]]&lt;=20, "Under 20yrs",HR_table[[#This Row],[Age]]&lt;=30,"(21-30)yrs",HR_table[[#This Row],[Age]]&lt;=40,"(31-40)yrs",HR_table[[#This Row],[Age]]&lt;=50,"(41-50)yrs",HR_table[[#This Row],[Age]]&lt;=60,"(51-60)yrs")</f>
        <v>(31-40)yrs</v>
      </c>
      <c r="C501" t="s">
        <v>43</v>
      </c>
      <c r="D501" t="s">
        <v>36</v>
      </c>
      <c r="E501" t="s">
        <v>37</v>
      </c>
      <c r="F501" t="s">
        <v>59</v>
      </c>
      <c r="G501" t="s">
        <v>40</v>
      </c>
      <c r="H501">
        <v>677</v>
      </c>
      <c r="I501" s="2">
        <v>8</v>
      </c>
      <c r="J501" s="2">
        <v>3</v>
      </c>
      <c r="K501" t="s">
        <v>46</v>
      </c>
      <c r="L501" s="2">
        <v>2</v>
      </c>
      <c r="M501" s="2">
        <v>3</v>
      </c>
      <c r="N501" t="s">
        <v>52</v>
      </c>
      <c r="O501" s="2">
        <v>7104</v>
      </c>
      <c r="P501" s="2">
        <v>20431</v>
      </c>
      <c r="Q501" s="2">
        <v>0</v>
      </c>
      <c r="R501" t="s">
        <v>43</v>
      </c>
      <c r="S501" s="2">
        <v>3</v>
      </c>
      <c r="T501" s="2">
        <v>4</v>
      </c>
      <c r="U501">
        <v>80</v>
      </c>
      <c r="V501" s="2">
        <v>6</v>
      </c>
      <c r="W501">
        <v>3</v>
      </c>
      <c r="X501">
        <v>3</v>
      </c>
      <c r="Y501">
        <v>5</v>
      </c>
      <c r="Z501">
        <v>0</v>
      </c>
      <c r="AA501">
        <v>1</v>
      </c>
      <c r="AB501">
        <v>2</v>
      </c>
    </row>
    <row r="502" spans="1:28" x14ac:dyDescent="0.35">
      <c r="A502" s="2">
        <v>32</v>
      </c>
      <c r="B502" s="2" t="str" cm="1">
        <f t="array" ref="B502">_xlfn.IFS(HR_table[[#This Row],[Age]]&lt;=20, "Under 20yrs",HR_table[[#This Row],[Age]]&lt;=30,"(21-30)yrs",HR_table[[#This Row],[Age]]&lt;=40,"(31-40)yrs",HR_table[[#This Row],[Age]]&lt;=50,"(41-50)yrs",HR_table[[#This Row],[Age]]&lt;=60,"(51-60)yrs")</f>
        <v>(31-40)yrs</v>
      </c>
      <c r="C502" t="s">
        <v>43</v>
      </c>
      <c r="D502" t="s">
        <v>36</v>
      </c>
      <c r="E502" t="s">
        <v>45</v>
      </c>
      <c r="F502" t="s">
        <v>38</v>
      </c>
      <c r="G502" t="s">
        <v>47</v>
      </c>
      <c r="H502">
        <v>679</v>
      </c>
      <c r="I502" s="2">
        <v>9</v>
      </c>
      <c r="J502" s="2">
        <v>1</v>
      </c>
      <c r="K502" t="s">
        <v>39</v>
      </c>
      <c r="L502" s="2">
        <v>2</v>
      </c>
      <c r="M502" s="2">
        <v>4</v>
      </c>
      <c r="N502" t="s">
        <v>48</v>
      </c>
      <c r="O502" s="2">
        <v>6322</v>
      </c>
      <c r="P502" s="2">
        <v>18089</v>
      </c>
      <c r="Q502" s="2">
        <v>1</v>
      </c>
      <c r="R502" t="s">
        <v>35</v>
      </c>
      <c r="S502" s="2">
        <v>3</v>
      </c>
      <c r="T502" s="2">
        <v>4</v>
      </c>
      <c r="U502">
        <v>80</v>
      </c>
      <c r="V502" s="2">
        <v>6</v>
      </c>
      <c r="W502">
        <v>2</v>
      </c>
      <c r="X502">
        <v>2</v>
      </c>
      <c r="Y502">
        <v>6</v>
      </c>
      <c r="Z502">
        <v>4</v>
      </c>
      <c r="AA502">
        <v>0</v>
      </c>
      <c r="AB502">
        <v>5</v>
      </c>
    </row>
    <row r="503" spans="1:28" x14ac:dyDescent="0.35">
      <c r="A503" s="2">
        <v>30</v>
      </c>
      <c r="B503" s="2" t="str" cm="1">
        <f t="array" ref="B503">_xlfn.IFS(HR_table[[#This Row],[Age]]&lt;=20, "Under 20yrs",HR_table[[#This Row],[Age]]&lt;=30,"(21-30)yrs",HR_table[[#This Row],[Age]]&lt;=40,"(31-40)yrs",HR_table[[#This Row],[Age]]&lt;=50,"(41-50)yrs",HR_table[[#This Row],[Age]]&lt;=60,"(51-60)yrs")</f>
        <v>(21-30)yrs</v>
      </c>
      <c r="C503" t="s">
        <v>43</v>
      </c>
      <c r="D503" t="s">
        <v>44</v>
      </c>
      <c r="E503" t="s">
        <v>45</v>
      </c>
      <c r="F503" t="s">
        <v>51</v>
      </c>
      <c r="G503" t="s">
        <v>47</v>
      </c>
      <c r="H503">
        <v>680</v>
      </c>
      <c r="I503" s="2">
        <v>3</v>
      </c>
      <c r="J503" s="2">
        <v>3</v>
      </c>
      <c r="K503" t="s">
        <v>39</v>
      </c>
      <c r="L503" s="2">
        <v>1</v>
      </c>
      <c r="M503" s="2">
        <v>3</v>
      </c>
      <c r="N503" t="s">
        <v>52</v>
      </c>
      <c r="O503" s="2">
        <v>2083</v>
      </c>
      <c r="P503" s="2">
        <v>22653</v>
      </c>
      <c r="Q503" s="2">
        <v>1</v>
      </c>
      <c r="R503" t="s">
        <v>43</v>
      </c>
      <c r="S503" s="2">
        <v>4</v>
      </c>
      <c r="T503" s="2">
        <v>3</v>
      </c>
      <c r="U503">
        <v>80</v>
      </c>
      <c r="V503" s="2">
        <v>1</v>
      </c>
      <c r="W503">
        <v>2</v>
      </c>
      <c r="X503">
        <v>3</v>
      </c>
      <c r="Y503">
        <v>1</v>
      </c>
      <c r="Z503">
        <v>0</v>
      </c>
      <c r="AA503">
        <v>0</v>
      </c>
      <c r="AB503">
        <v>0</v>
      </c>
    </row>
    <row r="504" spans="1:28" x14ac:dyDescent="0.35">
      <c r="A504" s="2">
        <v>53</v>
      </c>
      <c r="B504" s="2" t="str" cm="1">
        <f t="array" ref="B504">_xlfn.IFS(HR_table[[#This Row],[Age]]&lt;=20, "Under 20yrs",HR_table[[#This Row],[Age]]&lt;=30,"(21-30)yrs",HR_table[[#This Row],[Age]]&lt;=40,"(31-40)yrs",HR_table[[#This Row],[Age]]&lt;=50,"(41-50)yrs",HR_table[[#This Row],[Age]]&lt;=60,"(51-60)yrs")</f>
        <v>(51-60)yrs</v>
      </c>
      <c r="C504" t="s">
        <v>43</v>
      </c>
      <c r="D504" t="s">
        <v>36</v>
      </c>
      <c r="E504" t="s">
        <v>37</v>
      </c>
      <c r="F504" t="s">
        <v>51</v>
      </c>
      <c r="G504" t="s">
        <v>40</v>
      </c>
      <c r="H504">
        <v>682</v>
      </c>
      <c r="I504" s="2">
        <v>1</v>
      </c>
      <c r="J504" s="2">
        <v>4</v>
      </c>
      <c r="K504" t="s">
        <v>39</v>
      </c>
      <c r="L504" s="2">
        <v>2</v>
      </c>
      <c r="M504" s="2">
        <v>1</v>
      </c>
      <c r="N504" t="s">
        <v>41</v>
      </c>
      <c r="O504" s="2">
        <v>8381</v>
      </c>
      <c r="P504" s="2">
        <v>7507</v>
      </c>
      <c r="Q504" s="2">
        <v>7</v>
      </c>
      <c r="R504" t="s">
        <v>43</v>
      </c>
      <c r="S504" s="2">
        <v>4</v>
      </c>
      <c r="T504" s="2">
        <v>4</v>
      </c>
      <c r="U504">
        <v>80</v>
      </c>
      <c r="V504" s="2">
        <v>18</v>
      </c>
      <c r="W504">
        <v>2</v>
      </c>
      <c r="X504">
        <v>4</v>
      </c>
      <c r="Y504">
        <v>14</v>
      </c>
      <c r="Z504">
        <v>7</v>
      </c>
      <c r="AA504">
        <v>8</v>
      </c>
      <c r="AB504">
        <v>10</v>
      </c>
    </row>
    <row r="505" spans="1:28" x14ac:dyDescent="0.35">
      <c r="A505" s="2">
        <v>34</v>
      </c>
      <c r="B505" s="2" t="str" cm="1">
        <f t="array" ref="B505">_xlfn.IFS(HR_table[[#This Row],[Age]]&lt;=20, "Under 20yrs",HR_table[[#This Row],[Age]]&lt;=30,"(21-30)yrs",HR_table[[#This Row],[Age]]&lt;=40,"(31-40)yrs",HR_table[[#This Row],[Age]]&lt;=50,"(41-50)yrs",HR_table[[#This Row],[Age]]&lt;=60,"(51-60)yrs")</f>
        <v>(31-40)yrs</v>
      </c>
      <c r="C505" t="s">
        <v>43</v>
      </c>
      <c r="D505" t="s">
        <v>36</v>
      </c>
      <c r="E505" t="s">
        <v>45</v>
      </c>
      <c r="F505" t="s">
        <v>38</v>
      </c>
      <c r="G505" t="s">
        <v>47</v>
      </c>
      <c r="H505">
        <v>683</v>
      </c>
      <c r="I505" s="2">
        <v>1</v>
      </c>
      <c r="J505" s="2">
        <v>2</v>
      </c>
      <c r="K505" t="s">
        <v>46</v>
      </c>
      <c r="L505" s="2">
        <v>1</v>
      </c>
      <c r="M505" s="2">
        <v>4</v>
      </c>
      <c r="N505" t="s">
        <v>48</v>
      </c>
      <c r="O505" s="2">
        <v>2691</v>
      </c>
      <c r="P505" s="2">
        <v>7660</v>
      </c>
      <c r="Q505" s="2">
        <v>1</v>
      </c>
      <c r="R505" t="s">
        <v>43</v>
      </c>
      <c r="S505" s="2">
        <v>3</v>
      </c>
      <c r="T505" s="2">
        <v>4</v>
      </c>
      <c r="U505">
        <v>80</v>
      </c>
      <c r="V505" s="2">
        <v>10</v>
      </c>
      <c r="W505">
        <v>4</v>
      </c>
      <c r="X505">
        <v>2</v>
      </c>
      <c r="Y505">
        <v>10</v>
      </c>
      <c r="Z505">
        <v>9</v>
      </c>
      <c r="AA505">
        <v>8</v>
      </c>
      <c r="AB505">
        <v>8</v>
      </c>
    </row>
    <row r="506" spans="1:28" x14ac:dyDescent="0.35">
      <c r="A506" s="2">
        <v>45</v>
      </c>
      <c r="B506" s="2" t="str" cm="1">
        <f t="array" ref="B506">_xlfn.IFS(HR_table[[#This Row],[Age]]&lt;=20, "Under 20yrs",HR_table[[#This Row],[Age]]&lt;=30,"(21-30)yrs",HR_table[[#This Row],[Age]]&lt;=40,"(31-40)yrs",HR_table[[#This Row],[Age]]&lt;=50,"(41-50)yrs",HR_table[[#This Row],[Age]]&lt;=60,"(51-60)yrs")</f>
        <v>(41-50)yrs</v>
      </c>
      <c r="C506" t="s">
        <v>35</v>
      </c>
      <c r="D506" t="s">
        <v>44</v>
      </c>
      <c r="E506" t="s">
        <v>37</v>
      </c>
      <c r="F506" t="s">
        <v>38</v>
      </c>
      <c r="G506" t="s">
        <v>40</v>
      </c>
      <c r="H506">
        <v>684</v>
      </c>
      <c r="I506" s="2">
        <v>26</v>
      </c>
      <c r="J506" s="2">
        <v>1</v>
      </c>
      <c r="K506" t="s">
        <v>39</v>
      </c>
      <c r="L506" s="2">
        <v>2</v>
      </c>
      <c r="M506" s="2">
        <v>1</v>
      </c>
      <c r="N506" t="s">
        <v>48</v>
      </c>
      <c r="O506" s="2">
        <v>4286</v>
      </c>
      <c r="P506" s="2">
        <v>5630</v>
      </c>
      <c r="Q506" s="2">
        <v>2</v>
      </c>
      <c r="R506" t="s">
        <v>43</v>
      </c>
      <c r="S506" s="2">
        <v>3</v>
      </c>
      <c r="T506" s="2">
        <v>4</v>
      </c>
      <c r="U506">
        <v>80</v>
      </c>
      <c r="V506" s="2">
        <v>5</v>
      </c>
      <c r="W506">
        <v>4</v>
      </c>
      <c r="X506">
        <v>3</v>
      </c>
      <c r="Y506">
        <v>1</v>
      </c>
      <c r="Z506">
        <v>1</v>
      </c>
      <c r="AA506">
        <v>0</v>
      </c>
      <c r="AB506">
        <v>0</v>
      </c>
    </row>
    <row r="507" spans="1:28" x14ac:dyDescent="0.35">
      <c r="A507" s="2">
        <v>26</v>
      </c>
      <c r="B507" s="2" t="str" cm="1">
        <f t="array" ref="B507">_xlfn.IFS(HR_table[[#This Row],[Age]]&lt;=20, "Under 20yrs",HR_table[[#This Row],[Age]]&lt;=30,"(21-30)yrs",HR_table[[#This Row],[Age]]&lt;=40,"(31-40)yrs",HR_table[[#This Row],[Age]]&lt;=50,"(41-50)yrs",HR_table[[#This Row],[Age]]&lt;=60,"(51-60)yrs")</f>
        <v>(21-30)yrs</v>
      </c>
      <c r="C507" t="s">
        <v>43</v>
      </c>
      <c r="D507" t="s">
        <v>36</v>
      </c>
      <c r="E507" t="s">
        <v>45</v>
      </c>
      <c r="F507" t="s">
        <v>38</v>
      </c>
      <c r="G507" t="s">
        <v>50</v>
      </c>
      <c r="H507">
        <v>686</v>
      </c>
      <c r="I507" s="2">
        <v>6</v>
      </c>
      <c r="J507" s="2">
        <v>3</v>
      </c>
      <c r="K507" t="s">
        <v>39</v>
      </c>
      <c r="L507" s="2">
        <v>1</v>
      </c>
      <c r="M507" s="2">
        <v>4</v>
      </c>
      <c r="N507" t="s">
        <v>48</v>
      </c>
      <c r="O507" s="2">
        <v>2659</v>
      </c>
      <c r="P507" s="2">
        <v>17759</v>
      </c>
      <c r="Q507" s="2">
        <v>1</v>
      </c>
      <c r="R507" t="s">
        <v>35</v>
      </c>
      <c r="S507" s="2">
        <v>3</v>
      </c>
      <c r="T507" s="2">
        <v>3</v>
      </c>
      <c r="U507">
        <v>80</v>
      </c>
      <c r="V507" s="2">
        <v>3</v>
      </c>
      <c r="W507">
        <v>2</v>
      </c>
      <c r="X507">
        <v>3</v>
      </c>
      <c r="Y507">
        <v>3</v>
      </c>
      <c r="Z507">
        <v>2</v>
      </c>
      <c r="AA507">
        <v>0</v>
      </c>
      <c r="AB507">
        <v>2</v>
      </c>
    </row>
    <row r="508" spans="1:28" x14ac:dyDescent="0.35">
      <c r="A508" s="2">
        <v>37</v>
      </c>
      <c r="B508" s="2" t="str" cm="1">
        <f t="array" ref="B508">_xlfn.IFS(HR_table[[#This Row],[Age]]&lt;=20, "Under 20yrs",HR_table[[#This Row],[Age]]&lt;=30,"(21-30)yrs",HR_table[[#This Row],[Age]]&lt;=40,"(31-40)yrs",HR_table[[#This Row],[Age]]&lt;=50,"(41-50)yrs",HR_table[[#This Row],[Age]]&lt;=60,"(51-60)yrs")</f>
        <v>(31-40)yrs</v>
      </c>
      <c r="C508" t="s">
        <v>43</v>
      </c>
      <c r="D508" t="s">
        <v>36</v>
      </c>
      <c r="E508" t="s">
        <v>45</v>
      </c>
      <c r="F508" t="s">
        <v>49</v>
      </c>
      <c r="G508" t="s">
        <v>53</v>
      </c>
      <c r="H508">
        <v>689</v>
      </c>
      <c r="I508" s="2">
        <v>3</v>
      </c>
      <c r="J508" s="2">
        <v>3</v>
      </c>
      <c r="K508" t="s">
        <v>46</v>
      </c>
      <c r="L508" s="2">
        <v>3</v>
      </c>
      <c r="M508" s="2">
        <v>3</v>
      </c>
      <c r="N508" t="s">
        <v>48</v>
      </c>
      <c r="O508" s="2">
        <v>9434</v>
      </c>
      <c r="P508" s="2">
        <v>9606</v>
      </c>
      <c r="Q508" s="2">
        <v>1</v>
      </c>
      <c r="R508" t="s">
        <v>43</v>
      </c>
      <c r="S508" s="2">
        <v>3</v>
      </c>
      <c r="T508" s="2">
        <v>3</v>
      </c>
      <c r="U508">
        <v>80</v>
      </c>
      <c r="V508" s="2">
        <v>10</v>
      </c>
      <c r="W508">
        <v>2</v>
      </c>
      <c r="X508">
        <v>3</v>
      </c>
      <c r="Y508">
        <v>10</v>
      </c>
      <c r="Z508">
        <v>7</v>
      </c>
      <c r="AA508">
        <v>7</v>
      </c>
      <c r="AB508">
        <v>8</v>
      </c>
    </row>
    <row r="509" spans="1:28" x14ac:dyDescent="0.35">
      <c r="A509" s="2">
        <v>29</v>
      </c>
      <c r="B509" s="2" t="str" cm="1">
        <f t="array" ref="B509">_xlfn.IFS(HR_table[[#This Row],[Age]]&lt;=20, "Under 20yrs",HR_table[[#This Row],[Age]]&lt;=30,"(21-30)yrs",HR_table[[#This Row],[Age]]&lt;=40,"(31-40)yrs",HR_table[[#This Row],[Age]]&lt;=50,"(41-50)yrs",HR_table[[#This Row],[Age]]&lt;=60,"(51-60)yrs")</f>
        <v>(21-30)yrs</v>
      </c>
      <c r="C509" t="s">
        <v>43</v>
      </c>
      <c r="D509" t="s">
        <v>36</v>
      </c>
      <c r="E509" t="s">
        <v>37</v>
      </c>
      <c r="F509" t="s">
        <v>51</v>
      </c>
      <c r="G509" t="s">
        <v>40</v>
      </c>
      <c r="H509">
        <v>690</v>
      </c>
      <c r="I509" s="2">
        <v>3</v>
      </c>
      <c r="J509" s="2">
        <v>2</v>
      </c>
      <c r="K509" t="s">
        <v>39</v>
      </c>
      <c r="L509" s="2">
        <v>2</v>
      </c>
      <c r="M509" s="2">
        <v>3</v>
      </c>
      <c r="N509" t="s">
        <v>48</v>
      </c>
      <c r="O509" s="2">
        <v>5561</v>
      </c>
      <c r="P509" s="2">
        <v>3487</v>
      </c>
      <c r="Q509" s="2">
        <v>1</v>
      </c>
      <c r="R509" t="s">
        <v>43</v>
      </c>
      <c r="S509" s="2">
        <v>3</v>
      </c>
      <c r="T509" s="2">
        <v>1</v>
      </c>
      <c r="U509">
        <v>80</v>
      </c>
      <c r="V509" s="2">
        <v>6</v>
      </c>
      <c r="W509">
        <v>5</v>
      </c>
      <c r="X509">
        <v>2</v>
      </c>
      <c r="Y509">
        <v>6</v>
      </c>
      <c r="Z509">
        <v>0</v>
      </c>
      <c r="AA509">
        <v>1</v>
      </c>
      <c r="AB509">
        <v>2</v>
      </c>
    </row>
    <row r="510" spans="1:28" x14ac:dyDescent="0.35">
      <c r="A510" s="2">
        <v>35</v>
      </c>
      <c r="B510" s="2" t="str" cm="1">
        <f t="array" ref="B510">_xlfn.IFS(HR_table[[#This Row],[Age]]&lt;=20, "Under 20yrs",HR_table[[#This Row],[Age]]&lt;=30,"(21-30)yrs",HR_table[[#This Row],[Age]]&lt;=40,"(31-40)yrs",HR_table[[#This Row],[Age]]&lt;=50,"(41-50)yrs",HR_table[[#This Row],[Age]]&lt;=60,"(51-60)yrs")</f>
        <v>(31-40)yrs</v>
      </c>
      <c r="C510" t="s">
        <v>43</v>
      </c>
      <c r="D510" t="s">
        <v>36</v>
      </c>
      <c r="E510" t="s">
        <v>45</v>
      </c>
      <c r="F510" t="s">
        <v>38</v>
      </c>
      <c r="G510" t="s">
        <v>47</v>
      </c>
      <c r="H510">
        <v>691</v>
      </c>
      <c r="I510" s="2">
        <v>6</v>
      </c>
      <c r="J510" s="2">
        <v>2</v>
      </c>
      <c r="K510" t="s">
        <v>46</v>
      </c>
      <c r="L510" s="2">
        <v>2</v>
      </c>
      <c r="M510" s="2">
        <v>4</v>
      </c>
      <c r="N510" t="s">
        <v>41</v>
      </c>
      <c r="O510" s="2">
        <v>6646</v>
      </c>
      <c r="P510" s="2">
        <v>19368</v>
      </c>
      <c r="Q510" s="2">
        <v>1</v>
      </c>
      <c r="R510" t="s">
        <v>43</v>
      </c>
      <c r="S510" s="2">
        <v>3</v>
      </c>
      <c r="T510" s="2">
        <v>2</v>
      </c>
      <c r="U510">
        <v>80</v>
      </c>
      <c r="V510" s="2">
        <v>17</v>
      </c>
      <c r="W510">
        <v>3</v>
      </c>
      <c r="X510">
        <v>3</v>
      </c>
      <c r="Y510">
        <v>17</v>
      </c>
      <c r="Z510">
        <v>11</v>
      </c>
      <c r="AA510">
        <v>11</v>
      </c>
      <c r="AB510">
        <v>8</v>
      </c>
    </row>
    <row r="511" spans="1:28" x14ac:dyDescent="0.35">
      <c r="A511" s="2">
        <v>33</v>
      </c>
      <c r="B511" s="2" t="str" cm="1">
        <f t="array" ref="B511">_xlfn.IFS(HR_table[[#This Row],[Age]]&lt;=20, "Under 20yrs",HR_table[[#This Row],[Age]]&lt;=30,"(21-30)yrs",HR_table[[#This Row],[Age]]&lt;=40,"(31-40)yrs",HR_table[[#This Row],[Age]]&lt;=50,"(41-50)yrs",HR_table[[#This Row],[Age]]&lt;=60,"(51-60)yrs")</f>
        <v>(31-40)yrs</v>
      </c>
      <c r="C511" t="s">
        <v>43</v>
      </c>
      <c r="D511" t="s">
        <v>44</v>
      </c>
      <c r="E511" t="s">
        <v>45</v>
      </c>
      <c r="F511" t="s">
        <v>38</v>
      </c>
      <c r="G511" t="s">
        <v>54</v>
      </c>
      <c r="H511">
        <v>692</v>
      </c>
      <c r="I511" s="2">
        <v>6</v>
      </c>
      <c r="J511" s="2">
        <v>3</v>
      </c>
      <c r="K511" t="s">
        <v>46</v>
      </c>
      <c r="L511" s="2">
        <v>2</v>
      </c>
      <c r="M511" s="2">
        <v>4</v>
      </c>
      <c r="N511" t="s">
        <v>52</v>
      </c>
      <c r="O511" s="2">
        <v>7725</v>
      </c>
      <c r="P511" s="2">
        <v>5335</v>
      </c>
      <c r="Q511" s="2">
        <v>3</v>
      </c>
      <c r="R511" t="s">
        <v>43</v>
      </c>
      <c r="S511" s="2">
        <v>4</v>
      </c>
      <c r="T511" s="2">
        <v>3</v>
      </c>
      <c r="U511">
        <v>80</v>
      </c>
      <c r="V511" s="2">
        <v>15</v>
      </c>
      <c r="W511">
        <v>2</v>
      </c>
      <c r="X511">
        <v>1</v>
      </c>
      <c r="Y511">
        <v>13</v>
      </c>
      <c r="Z511">
        <v>11</v>
      </c>
      <c r="AA511">
        <v>4</v>
      </c>
      <c r="AB511">
        <v>7</v>
      </c>
    </row>
    <row r="512" spans="1:28" x14ac:dyDescent="0.35">
      <c r="A512" s="2">
        <v>54</v>
      </c>
      <c r="B512" s="2" t="str" cm="1">
        <f t="array" ref="B512">_xlfn.IFS(HR_table[[#This Row],[Age]]&lt;=20, "Under 20yrs",HR_table[[#This Row],[Age]]&lt;=30,"(21-30)yrs",HR_table[[#This Row],[Age]]&lt;=40,"(31-40)yrs",HR_table[[#This Row],[Age]]&lt;=50,"(41-50)yrs",HR_table[[#This Row],[Age]]&lt;=60,"(51-60)yrs")</f>
        <v>(51-60)yrs</v>
      </c>
      <c r="C512" t="s">
        <v>43</v>
      </c>
      <c r="D512" t="s">
        <v>36</v>
      </c>
      <c r="E512" t="s">
        <v>61</v>
      </c>
      <c r="F512" t="s">
        <v>51</v>
      </c>
      <c r="G512" t="s">
        <v>61</v>
      </c>
      <c r="H512">
        <v>698</v>
      </c>
      <c r="I512" s="2">
        <v>19</v>
      </c>
      <c r="J512" s="2">
        <v>3</v>
      </c>
      <c r="K512" t="s">
        <v>46</v>
      </c>
      <c r="L512" s="2">
        <v>3</v>
      </c>
      <c r="M512" s="2">
        <v>2</v>
      </c>
      <c r="N512" t="s">
        <v>48</v>
      </c>
      <c r="O512" s="2">
        <v>10725</v>
      </c>
      <c r="P512" s="2">
        <v>6729</v>
      </c>
      <c r="Q512" s="2">
        <v>2</v>
      </c>
      <c r="R512" t="s">
        <v>43</v>
      </c>
      <c r="S512" s="2">
        <v>3</v>
      </c>
      <c r="T512" s="2">
        <v>3</v>
      </c>
      <c r="U512">
        <v>80</v>
      </c>
      <c r="V512" s="2">
        <v>16</v>
      </c>
      <c r="W512">
        <v>1</v>
      </c>
      <c r="X512">
        <v>4</v>
      </c>
      <c r="Y512">
        <v>9</v>
      </c>
      <c r="Z512">
        <v>7</v>
      </c>
      <c r="AA512">
        <v>7</v>
      </c>
      <c r="AB512">
        <v>1</v>
      </c>
    </row>
    <row r="513" spans="1:28" x14ac:dyDescent="0.35">
      <c r="A513" s="2">
        <v>36</v>
      </c>
      <c r="B513" s="2" t="str" cm="1">
        <f t="array" ref="B513">_xlfn.IFS(HR_table[[#This Row],[Age]]&lt;=20, "Under 20yrs",HR_table[[#This Row],[Age]]&lt;=30,"(21-30)yrs",HR_table[[#This Row],[Age]]&lt;=40,"(31-40)yrs",HR_table[[#This Row],[Age]]&lt;=50,"(41-50)yrs",HR_table[[#This Row],[Age]]&lt;=60,"(51-60)yrs")</f>
        <v>(31-40)yrs</v>
      </c>
      <c r="C513" t="s">
        <v>43</v>
      </c>
      <c r="D513" t="s">
        <v>36</v>
      </c>
      <c r="E513" t="s">
        <v>45</v>
      </c>
      <c r="F513" t="s">
        <v>51</v>
      </c>
      <c r="G513" t="s">
        <v>53</v>
      </c>
      <c r="H513">
        <v>699</v>
      </c>
      <c r="I513" s="2">
        <v>9</v>
      </c>
      <c r="J513" s="2">
        <v>2</v>
      </c>
      <c r="K513" t="s">
        <v>46</v>
      </c>
      <c r="L513" s="2">
        <v>2</v>
      </c>
      <c r="M513" s="2">
        <v>2</v>
      </c>
      <c r="N513" t="s">
        <v>52</v>
      </c>
      <c r="O513" s="2">
        <v>8847</v>
      </c>
      <c r="P513" s="2">
        <v>13934</v>
      </c>
      <c r="Q513" s="2">
        <v>2</v>
      </c>
      <c r="R513" t="s">
        <v>35</v>
      </c>
      <c r="S513" s="2">
        <v>3</v>
      </c>
      <c r="T513" s="2">
        <v>3</v>
      </c>
      <c r="U513">
        <v>80</v>
      </c>
      <c r="V513" s="2">
        <v>13</v>
      </c>
      <c r="W513">
        <v>2</v>
      </c>
      <c r="X513">
        <v>3</v>
      </c>
      <c r="Y513">
        <v>3</v>
      </c>
      <c r="Z513">
        <v>2</v>
      </c>
      <c r="AA513">
        <v>0</v>
      </c>
      <c r="AB513">
        <v>2</v>
      </c>
    </row>
    <row r="514" spans="1:28" x14ac:dyDescent="0.35">
      <c r="A514" s="2">
        <v>27</v>
      </c>
      <c r="B514" s="2" t="str" cm="1">
        <f t="array" ref="B514">_xlfn.IFS(HR_table[[#This Row],[Age]]&lt;=20, "Under 20yrs",HR_table[[#This Row],[Age]]&lt;=30,"(21-30)yrs",HR_table[[#This Row],[Age]]&lt;=40,"(31-40)yrs",HR_table[[#This Row],[Age]]&lt;=50,"(41-50)yrs",HR_table[[#This Row],[Age]]&lt;=60,"(51-60)yrs")</f>
        <v>(21-30)yrs</v>
      </c>
      <c r="C514" t="s">
        <v>43</v>
      </c>
      <c r="D514" t="s">
        <v>36</v>
      </c>
      <c r="E514" t="s">
        <v>45</v>
      </c>
      <c r="F514" t="s">
        <v>51</v>
      </c>
      <c r="G514" t="s">
        <v>47</v>
      </c>
      <c r="H514">
        <v>700</v>
      </c>
      <c r="I514" s="2">
        <v>3</v>
      </c>
      <c r="J514" s="2">
        <v>1</v>
      </c>
      <c r="K514" t="s">
        <v>46</v>
      </c>
      <c r="L514" s="2">
        <v>1</v>
      </c>
      <c r="M514" s="2">
        <v>4</v>
      </c>
      <c r="N514" t="s">
        <v>41</v>
      </c>
      <c r="O514" s="2">
        <v>2045</v>
      </c>
      <c r="P514" s="2">
        <v>15174</v>
      </c>
      <c r="Q514" s="2">
        <v>0</v>
      </c>
      <c r="R514" t="s">
        <v>43</v>
      </c>
      <c r="S514" s="2">
        <v>3</v>
      </c>
      <c r="T514" s="2">
        <v>4</v>
      </c>
      <c r="U514">
        <v>80</v>
      </c>
      <c r="V514" s="2">
        <v>5</v>
      </c>
      <c r="W514">
        <v>0</v>
      </c>
      <c r="X514">
        <v>3</v>
      </c>
      <c r="Y514">
        <v>4</v>
      </c>
      <c r="Z514">
        <v>2</v>
      </c>
      <c r="AA514">
        <v>1</v>
      </c>
      <c r="AB514">
        <v>1</v>
      </c>
    </row>
    <row r="515" spans="1:28" x14ac:dyDescent="0.35">
      <c r="A515" s="2">
        <v>20</v>
      </c>
      <c r="B515" s="2" t="str" cm="1">
        <f t="array" ref="B515">_xlfn.IFS(HR_table[[#This Row],[Age]]&lt;=20, "Under 20yrs",HR_table[[#This Row],[Age]]&lt;=30,"(21-30)yrs",HR_table[[#This Row],[Age]]&lt;=40,"(31-40)yrs",HR_table[[#This Row],[Age]]&lt;=50,"(41-50)yrs",HR_table[[#This Row],[Age]]&lt;=60,"(51-60)yrs")</f>
        <v>Under 20yrs</v>
      </c>
      <c r="C515" t="s">
        <v>35</v>
      </c>
      <c r="D515" t="s">
        <v>36</v>
      </c>
      <c r="E515" t="s">
        <v>45</v>
      </c>
      <c r="F515" t="s">
        <v>51</v>
      </c>
      <c r="G515" t="s">
        <v>47</v>
      </c>
      <c r="H515">
        <v>701</v>
      </c>
      <c r="I515" s="2">
        <v>10</v>
      </c>
      <c r="J515" s="2">
        <v>4</v>
      </c>
      <c r="K515" t="s">
        <v>46</v>
      </c>
      <c r="L515" s="2">
        <v>1</v>
      </c>
      <c r="M515" s="2">
        <v>3</v>
      </c>
      <c r="N515" t="s">
        <v>41</v>
      </c>
      <c r="O515" s="2">
        <v>1009</v>
      </c>
      <c r="P515" s="2">
        <v>26999</v>
      </c>
      <c r="Q515" s="2">
        <v>1</v>
      </c>
      <c r="R515" t="s">
        <v>35</v>
      </c>
      <c r="S515" s="2">
        <v>3</v>
      </c>
      <c r="T515" s="2">
        <v>4</v>
      </c>
      <c r="U515">
        <v>80</v>
      </c>
      <c r="V515" s="2">
        <v>1</v>
      </c>
      <c r="W515">
        <v>5</v>
      </c>
      <c r="X515">
        <v>3</v>
      </c>
      <c r="Y515">
        <v>1</v>
      </c>
      <c r="Z515">
        <v>0</v>
      </c>
      <c r="AA515">
        <v>1</v>
      </c>
      <c r="AB515">
        <v>1</v>
      </c>
    </row>
    <row r="516" spans="1:28" x14ac:dyDescent="0.35">
      <c r="A516" s="2">
        <v>33</v>
      </c>
      <c r="B516" s="2" t="str" cm="1">
        <f t="array" ref="B516">_xlfn.IFS(HR_table[[#This Row],[Age]]&lt;=20, "Under 20yrs",HR_table[[#This Row],[Age]]&lt;=30,"(21-30)yrs",HR_table[[#This Row],[Age]]&lt;=40,"(31-40)yrs",HR_table[[#This Row],[Age]]&lt;=50,"(41-50)yrs",HR_table[[#This Row],[Age]]&lt;=60,"(51-60)yrs")</f>
        <v>(31-40)yrs</v>
      </c>
      <c r="C516" t="s">
        <v>35</v>
      </c>
      <c r="D516" t="s">
        <v>44</v>
      </c>
      <c r="E516" t="s">
        <v>45</v>
      </c>
      <c r="F516" t="s">
        <v>38</v>
      </c>
      <c r="G516" t="s">
        <v>47</v>
      </c>
      <c r="H516">
        <v>702</v>
      </c>
      <c r="I516" s="2">
        <v>3</v>
      </c>
      <c r="J516" s="2">
        <v>1</v>
      </c>
      <c r="K516" t="s">
        <v>46</v>
      </c>
      <c r="L516" s="2">
        <v>1</v>
      </c>
      <c r="M516" s="2">
        <v>1</v>
      </c>
      <c r="N516" t="s">
        <v>41</v>
      </c>
      <c r="O516" s="2">
        <v>3348</v>
      </c>
      <c r="P516" s="2">
        <v>3164</v>
      </c>
      <c r="Q516" s="2">
        <v>1</v>
      </c>
      <c r="R516" t="s">
        <v>35</v>
      </c>
      <c r="S516" s="2">
        <v>3</v>
      </c>
      <c r="T516" s="2">
        <v>1</v>
      </c>
      <c r="U516">
        <v>80</v>
      </c>
      <c r="V516" s="2">
        <v>10</v>
      </c>
      <c r="W516">
        <v>3</v>
      </c>
      <c r="X516">
        <v>3</v>
      </c>
      <c r="Y516">
        <v>10</v>
      </c>
      <c r="Z516">
        <v>8</v>
      </c>
      <c r="AA516">
        <v>9</v>
      </c>
      <c r="AB516">
        <v>7</v>
      </c>
    </row>
    <row r="517" spans="1:28" x14ac:dyDescent="0.35">
      <c r="A517" s="2">
        <v>35</v>
      </c>
      <c r="B517" s="2" t="str" cm="1">
        <f t="array" ref="B517">_xlfn.IFS(HR_table[[#This Row],[Age]]&lt;=20, "Under 20yrs",HR_table[[#This Row],[Age]]&lt;=30,"(21-30)yrs",HR_table[[#This Row],[Age]]&lt;=40,"(31-40)yrs",HR_table[[#This Row],[Age]]&lt;=50,"(41-50)yrs",HR_table[[#This Row],[Age]]&lt;=60,"(51-60)yrs")</f>
        <v>(31-40)yrs</v>
      </c>
      <c r="C517" t="s">
        <v>43</v>
      </c>
      <c r="D517" t="s">
        <v>55</v>
      </c>
      <c r="E517" t="s">
        <v>45</v>
      </c>
      <c r="F517" t="s">
        <v>38</v>
      </c>
      <c r="G517" t="s">
        <v>50</v>
      </c>
      <c r="H517">
        <v>704</v>
      </c>
      <c r="I517" s="2">
        <v>3</v>
      </c>
      <c r="J517" s="2">
        <v>3</v>
      </c>
      <c r="K517" t="s">
        <v>46</v>
      </c>
      <c r="L517" s="2">
        <v>1</v>
      </c>
      <c r="M517" s="2">
        <v>3</v>
      </c>
      <c r="N517" t="s">
        <v>48</v>
      </c>
      <c r="O517" s="2">
        <v>1281</v>
      </c>
      <c r="P517" s="2">
        <v>16900</v>
      </c>
      <c r="Q517" s="2">
        <v>1</v>
      </c>
      <c r="R517" t="s">
        <v>43</v>
      </c>
      <c r="S517" s="2">
        <v>3</v>
      </c>
      <c r="T517" s="2">
        <v>3</v>
      </c>
      <c r="U517">
        <v>80</v>
      </c>
      <c r="V517" s="2">
        <v>1</v>
      </c>
      <c r="W517">
        <v>3</v>
      </c>
      <c r="X517">
        <v>3</v>
      </c>
      <c r="Y517">
        <v>1</v>
      </c>
      <c r="Z517">
        <v>0</v>
      </c>
      <c r="AA517">
        <v>0</v>
      </c>
      <c r="AB517">
        <v>0</v>
      </c>
    </row>
    <row r="518" spans="1:28" x14ac:dyDescent="0.35">
      <c r="A518" s="2">
        <v>23</v>
      </c>
      <c r="B518" s="2" t="str" cm="1">
        <f t="array" ref="B518">_xlfn.IFS(HR_table[[#This Row],[Age]]&lt;=20, "Under 20yrs",HR_table[[#This Row],[Age]]&lt;=30,"(21-30)yrs",HR_table[[#This Row],[Age]]&lt;=40,"(31-40)yrs",HR_table[[#This Row],[Age]]&lt;=50,"(41-50)yrs",HR_table[[#This Row],[Age]]&lt;=60,"(51-60)yrs")</f>
        <v>(21-30)yrs</v>
      </c>
      <c r="C518" t="s">
        <v>43</v>
      </c>
      <c r="D518" t="s">
        <v>36</v>
      </c>
      <c r="E518" t="s">
        <v>45</v>
      </c>
      <c r="F518" t="s">
        <v>51</v>
      </c>
      <c r="G518" t="s">
        <v>47</v>
      </c>
      <c r="H518">
        <v>705</v>
      </c>
      <c r="I518" s="2">
        <v>4</v>
      </c>
      <c r="J518" s="2">
        <v>1</v>
      </c>
      <c r="K518" t="s">
        <v>46</v>
      </c>
      <c r="L518" s="2">
        <v>1</v>
      </c>
      <c r="M518" s="2">
        <v>1</v>
      </c>
      <c r="N518" t="s">
        <v>48</v>
      </c>
      <c r="O518" s="2">
        <v>2819</v>
      </c>
      <c r="P518" s="2">
        <v>8544</v>
      </c>
      <c r="Q518" s="2">
        <v>2</v>
      </c>
      <c r="R518" t="s">
        <v>43</v>
      </c>
      <c r="S518" s="2">
        <v>3</v>
      </c>
      <c r="T518" s="2">
        <v>1</v>
      </c>
      <c r="U518">
        <v>80</v>
      </c>
      <c r="V518" s="2">
        <v>5</v>
      </c>
      <c r="W518">
        <v>3</v>
      </c>
      <c r="X518">
        <v>4</v>
      </c>
      <c r="Y518">
        <v>3</v>
      </c>
      <c r="Z518">
        <v>2</v>
      </c>
      <c r="AA518">
        <v>0</v>
      </c>
      <c r="AB518">
        <v>2</v>
      </c>
    </row>
    <row r="519" spans="1:28" x14ac:dyDescent="0.35">
      <c r="A519" s="2">
        <v>25</v>
      </c>
      <c r="B519" s="2" t="str" cm="1">
        <f t="array" ref="B519">_xlfn.IFS(HR_table[[#This Row],[Age]]&lt;=20, "Under 20yrs",HR_table[[#This Row],[Age]]&lt;=30,"(21-30)yrs",HR_table[[#This Row],[Age]]&lt;=40,"(31-40)yrs",HR_table[[#This Row],[Age]]&lt;=50,"(41-50)yrs",HR_table[[#This Row],[Age]]&lt;=60,"(51-60)yrs")</f>
        <v>(21-30)yrs</v>
      </c>
      <c r="C519" t="s">
        <v>43</v>
      </c>
      <c r="D519" t="s">
        <v>36</v>
      </c>
      <c r="E519" t="s">
        <v>37</v>
      </c>
      <c r="F519" t="s">
        <v>38</v>
      </c>
      <c r="G519" t="s">
        <v>40</v>
      </c>
      <c r="H519">
        <v>707</v>
      </c>
      <c r="I519" s="2">
        <v>8</v>
      </c>
      <c r="J519" s="2">
        <v>4</v>
      </c>
      <c r="K519" t="s">
        <v>46</v>
      </c>
      <c r="L519" s="2">
        <v>2</v>
      </c>
      <c r="M519" s="2">
        <v>2</v>
      </c>
      <c r="N519" t="s">
        <v>48</v>
      </c>
      <c r="O519" s="2">
        <v>4851</v>
      </c>
      <c r="P519" s="2">
        <v>15678</v>
      </c>
      <c r="Q519" s="2">
        <v>0</v>
      </c>
      <c r="R519" t="s">
        <v>43</v>
      </c>
      <c r="S519" s="2">
        <v>4</v>
      </c>
      <c r="T519" s="2">
        <v>3</v>
      </c>
      <c r="U519">
        <v>80</v>
      </c>
      <c r="V519" s="2">
        <v>4</v>
      </c>
      <c r="W519">
        <v>4</v>
      </c>
      <c r="X519">
        <v>3</v>
      </c>
      <c r="Y519">
        <v>3</v>
      </c>
      <c r="Z519">
        <v>2</v>
      </c>
      <c r="AA519">
        <v>1</v>
      </c>
      <c r="AB519">
        <v>2</v>
      </c>
    </row>
    <row r="520" spans="1:28" x14ac:dyDescent="0.35">
      <c r="A520" s="2">
        <v>38</v>
      </c>
      <c r="B520" s="2" t="str" cm="1">
        <f t="array" ref="B520">_xlfn.IFS(HR_table[[#This Row],[Age]]&lt;=20, "Under 20yrs",HR_table[[#This Row],[Age]]&lt;=30,"(21-30)yrs",HR_table[[#This Row],[Age]]&lt;=40,"(31-40)yrs",HR_table[[#This Row],[Age]]&lt;=50,"(41-50)yrs",HR_table[[#This Row],[Age]]&lt;=60,"(51-60)yrs")</f>
        <v>(31-40)yrs</v>
      </c>
      <c r="C520" t="s">
        <v>43</v>
      </c>
      <c r="D520" t="s">
        <v>36</v>
      </c>
      <c r="E520" t="s">
        <v>37</v>
      </c>
      <c r="F520" t="s">
        <v>59</v>
      </c>
      <c r="G520" t="s">
        <v>40</v>
      </c>
      <c r="H520">
        <v>709</v>
      </c>
      <c r="I520" s="2">
        <v>7</v>
      </c>
      <c r="J520" s="2">
        <v>4</v>
      </c>
      <c r="K520" t="s">
        <v>39</v>
      </c>
      <c r="L520" s="2">
        <v>2</v>
      </c>
      <c r="M520" s="2">
        <v>4</v>
      </c>
      <c r="N520" t="s">
        <v>41</v>
      </c>
      <c r="O520" s="2">
        <v>4028</v>
      </c>
      <c r="P520" s="2">
        <v>7791</v>
      </c>
      <c r="Q520" s="2">
        <v>0</v>
      </c>
      <c r="R520" t="s">
        <v>43</v>
      </c>
      <c r="S520" s="2">
        <v>4</v>
      </c>
      <c r="T520" s="2">
        <v>1</v>
      </c>
      <c r="U520">
        <v>80</v>
      </c>
      <c r="V520" s="2">
        <v>8</v>
      </c>
      <c r="W520">
        <v>2</v>
      </c>
      <c r="X520">
        <v>3</v>
      </c>
      <c r="Y520">
        <v>7</v>
      </c>
      <c r="Z520">
        <v>7</v>
      </c>
      <c r="AA520">
        <v>0</v>
      </c>
      <c r="AB520">
        <v>5</v>
      </c>
    </row>
    <row r="521" spans="1:28" x14ac:dyDescent="0.35">
      <c r="A521" s="2">
        <v>29</v>
      </c>
      <c r="B521" s="2" t="str" cm="1">
        <f t="array" ref="B521">_xlfn.IFS(HR_table[[#This Row],[Age]]&lt;=20, "Under 20yrs",HR_table[[#This Row],[Age]]&lt;=30,"(21-30)yrs",HR_table[[#This Row],[Age]]&lt;=40,"(31-40)yrs",HR_table[[#This Row],[Age]]&lt;=50,"(41-50)yrs",HR_table[[#This Row],[Age]]&lt;=60,"(51-60)yrs")</f>
        <v>(21-30)yrs</v>
      </c>
      <c r="C521" t="s">
        <v>43</v>
      </c>
      <c r="D521" t="s">
        <v>44</v>
      </c>
      <c r="E521" t="s">
        <v>45</v>
      </c>
      <c r="F521" t="s">
        <v>38</v>
      </c>
      <c r="G521" t="s">
        <v>47</v>
      </c>
      <c r="H521">
        <v>710</v>
      </c>
      <c r="I521" s="2">
        <v>1</v>
      </c>
      <c r="J521" s="2">
        <v>2</v>
      </c>
      <c r="K521" t="s">
        <v>46</v>
      </c>
      <c r="L521" s="2">
        <v>1</v>
      </c>
      <c r="M521" s="2">
        <v>4</v>
      </c>
      <c r="N521" t="s">
        <v>52</v>
      </c>
      <c r="O521" s="2">
        <v>2720</v>
      </c>
      <c r="P521" s="2">
        <v>18959</v>
      </c>
      <c r="Q521" s="2">
        <v>1</v>
      </c>
      <c r="R521" t="s">
        <v>43</v>
      </c>
      <c r="S521" s="2">
        <v>3</v>
      </c>
      <c r="T521" s="2">
        <v>4</v>
      </c>
      <c r="U521">
        <v>80</v>
      </c>
      <c r="V521" s="2">
        <v>10</v>
      </c>
      <c r="W521">
        <v>5</v>
      </c>
      <c r="X521">
        <v>3</v>
      </c>
      <c r="Y521">
        <v>10</v>
      </c>
      <c r="Z521">
        <v>7</v>
      </c>
      <c r="AA521">
        <v>2</v>
      </c>
      <c r="AB521">
        <v>8</v>
      </c>
    </row>
    <row r="522" spans="1:28" x14ac:dyDescent="0.35">
      <c r="A522" s="2">
        <v>48</v>
      </c>
      <c r="B522" s="2" t="str" cm="1">
        <f t="array" ref="B522">_xlfn.IFS(HR_table[[#This Row],[Age]]&lt;=20, "Under 20yrs",HR_table[[#This Row],[Age]]&lt;=30,"(21-30)yrs",HR_table[[#This Row],[Age]]&lt;=40,"(31-40)yrs",HR_table[[#This Row],[Age]]&lt;=50,"(41-50)yrs",HR_table[[#This Row],[Age]]&lt;=60,"(51-60)yrs")</f>
        <v>(41-50)yrs</v>
      </c>
      <c r="C522" t="s">
        <v>43</v>
      </c>
      <c r="D522" t="s">
        <v>36</v>
      </c>
      <c r="E522" t="s">
        <v>37</v>
      </c>
      <c r="F522" t="s">
        <v>59</v>
      </c>
      <c r="G522" t="s">
        <v>40</v>
      </c>
      <c r="H522">
        <v>712</v>
      </c>
      <c r="I522" s="2">
        <v>2</v>
      </c>
      <c r="J522" s="2">
        <v>2</v>
      </c>
      <c r="K522" t="s">
        <v>46</v>
      </c>
      <c r="L522" s="2">
        <v>2</v>
      </c>
      <c r="M522" s="2">
        <v>2</v>
      </c>
      <c r="N522" t="s">
        <v>48</v>
      </c>
      <c r="O522" s="2">
        <v>8120</v>
      </c>
      <c r="P522" s="2">
        <v>18597</v>
      </c>
      <c r="Q522" s="2">
        <v>3</v>
      </c>
      <c r="R522" t="s">
        <v>43</v>
      </c>
      <c r="S522" s="2">
        <v>3</v>
      </c>
      <c r="T522" s="2">
        <v>4</v>
      </c>
      <c r="U522">
        <v>80</v>
      </c>
      <c r="V522" s="2">
        <v>12</v>
      </c>
      <c r="W522">
        <v>3</v>
      </c>
      <c r="X522">
        <v>3</v>
      </c>
      <c r="Y522">
        <v>2</v>
      </c>
      <c r="Z522">
        <v>2</v>
      </c>
      <c r="AA522">
        <v>2</v>
      </c>
      <c r="AB522">
        <v>2</v>
      </c>
    </row>
    <row r="523" spans="1:28" x14ac:dyDescent="0.35">
      <c r="A523" s="2">
        <v>27</v>
      </c>
      <c r="B523" s="2" t="str" cm="1">
        <f t="array" ref="B523">_xlfn.IFS(HR_table[[#This Row],[Age]]&lt;=20, "Under 20yrs",HR_table[[#This Row],[Age]]&lt;=30,"(21-30)yrs",HR_table[[#This Row],[Age]]&lt;=40,"(31-40)yrs",HR_table[[#This Row],[Age]]&lt;=50,"(41-50)yrs",HR_table[[#This Row],[Age]]&lt;=60,"(51-60)yrs")</f>
        <v>(21-30)yrs</v>
      </c>
      <c r="C523" t="s">
        <v>43</v>
      </c>
      <c r="D523" t="s">
        <v>44</v>
      </c>
      <c r="E523" t="s">
        <v>37</v>
      </c>
      <c r="F523" t="s">
        <v>51</v>
      </c>
      <c r="G523" t="s">
        <v>40</v>
      </c>
      <c r="H523">
        <v>714</v>
      </c>
      <c r="I523" s="2">
        <v>3</v>
      </c>
      <c r="J523" s="2">
        <v>4</v>
      </c>
      <c r="K523" t="s">
        <v>39</v>
      </c>
      <c r="L523" s="2">
        <v>2</v>
      </c>
      <c r="M523" s="2">
        <v>4</v>
      </c>
      <c r="N523" t="s">
        <v>52</v>
      </c>
      <c r="O523" s="2">
        <v>4647</v>
      </c>
      <c r="P523" s="2">
        <v>16673</v>
      </c>
      <c r="Q523" s="2">
        <v>1</v>
      </c>
      <c r="R523" t="s">
        <v>35</v>
      </c>
      <c r="S523" s="2">
        <v>4</v>
      </c>
      <c r="T523" s="2">
        <v>2</v>
      </c>
      <c r="U523">
        <v>80</v>
      </c>
      <c r="V523" s="2">
        <v>6</v>
      </c>
      <c r="W523">
        <v>3</v>
      </c>
      <c r="X523">
        <v>3</v>
      </c>
      <c r="Y523">
        <v>6</v>
      </c>
      <c r="Z523">
        <v>5</v>
      </c>
      <c r="AA523">
        <v>0</v>
      </c>
      <c r="AB523">
        <v>4</v>
      </c>
    </row>
    <row r="524" spans="1:28" x14ac:dyDescent="0.35">
      <c r="A524" s="2">
        <v>37</v>
      </c>
      <c r="B524" s="2" t="str" cm="1">
        <f t="array" ref="B524">_xlfn.IFS(HR_table[[#This Row],[Age]]&lt;=20, "Under 20yrs",HR_table[[#This Row],[Age]]&lt;=30,"(21-30)yrs",HR_table[[#This Row],[Age]]&lt;=40,"(31-40)yrs",HR_table[[#This Row],[Age]]&lt;=50,"(41-50)yrs",HR_table[[#This Row],[Age]]&lt;=60,"(51-60)yrs")</f>
        <v>(31-40)yrs</v>
      </c>
      <c r="C524" t="s">
        <v>43</v>
      </c>
      <c r="D524" t="s">
        <v>36</v>
      </c>
      <c r="E524" t="s">
        <v>45</v>
      </c>
      <c r="F524" t="s">
        <v>38</v>
      </c>
      <c r="G524" t="s">
        <v>47</v>
      </c>
      <c r="H524">
        <v>715</v>
      </c>
      <c r="I524" s="2">
        <v>10</v>
      </c>
      <c r="J524" s="2">
        <v>4</v>
      </c>
      <c r="K524" t="s">
        <v>46</v>
      </c>
      <c r="L524" s="2">
        <v>1</v>
      </c>
      <c r="M524" s="2">
        <v>4</v>
      </c>
      <c r="N524" t="s">
        <v>41</v>
      </c>
      <c r="O524" s="2">
        <v>4680</v>
      </c>
      <c r="P524" s="2">
        <v>15232</v>
      </c>
      <c r="Q524" s="2">
        <v>3</v>
      </c>
      <c r="R524" t="s">
        <v>43</v>
      </c>
      <c r="S524" s="2">
        <v>3</v>
      </c>
      <c r="T524" s="2">
        <v>1</v>
      </c>
      <c r="U524">
        <v>80</v>
      </c>
      <c r="V524" s="2">
        <v>4</v>
      </c>
      <c r="W524">
        <v>2</v>
      </c>
      <c r="X524">
        <v>3</v>
      </c>
      <c r="Y524">
        <v>1</v>
      </c>
      <c r="Z524">
        <v>0</v>
      </c>
      <c r="AA524">
        <v>0</v>
      </c>
      <c r="AB524">
        <v>0</v>
      </c>
    </row>
    <row r="525" spans="1:28" x14ac:dyDescent="0.35">
      <c r="A525" s="2">
        <v>50</v>
      </c>
      <c r="B525" s="2" t="str" cm="1">
        <f t="array" ref="B525">_xlfn.IFS(HR_table[[#This Row],[Age]]&lt;=20, "Under 20yrs",HR_table[[#This Row],[Age]]&lt;=30,"(21-30)yrs",HR_table[[#This Row],[Age]]&lt;=40,"(31-40)yrs",HR_table[[#This Row],[Age]]&lt;=50,"(41-50)yrs",HR_table[[#This Row],[Age]]&lt;=60,"(51-60)yrs")</f>
        <v>(41-50)yrs</v>
      </c>
      <c r="C525" t="s">
        <v>43</v>
      </c>
      <c r="D525" t="s">
        <v>36</v>
      </c>
      <c r="E525" t="s">
        <v>45</v>
      </c>
      <c r="F525" t="s">
        <v>51</v>
      </c>
      <c r="G525" t="s">
        <v>50</v>
      </c>
      <c r="H525">
        <v>716</v>
      </c>
      <c r="I525" s="2">
        <v>28</v>
      </c>
      <c r="J525" s="2">
        <v>4</v>
      </c>
      <c r="K525" t="s">
        <v>46</v>
      </c>
      <c r="L525" s="2">
        <v>1</v>
      </c>
      <c r="M525" s="2">
        <v>3</v>
      </c>
      <c r="N525" t="s">
        <v>48</v>
      </c>
      <c r="O525" s="2">
        <v>3221</v>
      </c>
      <c r="P525" s="2">
        <v>3297</v>
      </c>
      <c r="Q525" s="2">
        <v>1</v>
      </c>
      <c r="R525" t="s">
        <v>35</v>
      </c>
      <c r="S525" s="2">
        <v>3</v>
      </c>
      <c r="T525" s="2">
        <v>3</v>
      </c>
      <c r="U525">
        <v>80</v>
      </c>
      <c r="V525" s="2">
        <v>20</v>
      </c>
      <c r="W525">
        <v>3</v>
      </c>
      <c r="X525">
        <v>3</v>
      </c>
      <c r="Y525">
        <v>20</v>
      </c>
      <c r="Z525">
        <v>8</v>
      </c>
      <c r="AA525">
        <v>3</v>
      </c>
      <c r="AB525">
        <v>8</v>
      </c>
    </row>
    <row r="526" spans="1:28" x14ac:dyDescent="0.35">
      <c r="A526" s="2">
        <v>34</v>
      </c>
      <c r="B526" s="2" t="str" cm="1">
        <f t="array" ref="B526">_xlfn.IFS(HR_table[[#This Row],[Age]]&lt;=20, "Under 20yrs",HR_table[[#This Row],[Age]]&lt;=30,"(21-30)yrs",HR_table[[#This Row],[Age]]&lt;=40,"(31-40)yrs",HR_table[[#This Row],[Age]]&lt;=50,"(41-50)yrs",HR_table[[#This Row],[Age]]&lt;=60,"(51-60)yrs")</f>
        <v>(31-40)yrs</v>
      </c>
      <c r="C526" t="s">
        <v>43</v>
      </c>
      <c r="D526" t="s">
        <v>36</v>
      </c>
      <c r="E526" t="s">
        <v>45</v>
      </c>
      <c r="F526" t="s">
        <v>51</v>
      </c>
      <c r="G526" t="s">
        <v>54</v>
      </c>
      <c r="H526">
        <v>717</v>
      </c>
      <c r="I526" s="2">
        <v>9</v>
      </c>
      <c r="J526" s="2">
        <v>4</v>
      </c>
      <c r="K526" t="s">
        <v>39</v>
      </c>
      <c r="L526" s="2">
        <v>3</v>
      </c>
      <c r="M526" s="2">
        <v>2</v>
      </c>
      <c r="N526" t="s">
        <v>41</v>
      </c>
      <c r="O526" s="2">
        <v>8621</v>
      </c>
      <c r="P526" s="2">
        <v>17654</v>
      </c>
      <c r="Q526" s="2">
        <v>1</v>
      </c>
      <c r="R526" t="s">
        <v>43</v>
      </c>
      <c r="S526" s="2">
        <v>3</v>
      </c>
      <c r="T526" s="2">
        <v>2</v>
      </c>
      <c r="U526">
        <v>80</v>
      </c>
      <c r="V526" s="2">
        <v>9</v>
      </c>
      <c r="W526">
        <v>3</v>
      </c>
      <c r="X526">
        <v>4</v>
      </c>
      <c r="Y526">
        <v>8</v>
      </c>
      <c r="Z526">
        <v>7</v>
      </c>
      <c r="AA526">
        <v>7</v>
      </c>
      <c r="AB526">
        <v>7</v>
      </c>
    </row>
    <row r="527" spans="1:28" x14ac:dyDescent="0.35">
      <c r="A527" s="2">
        <v>24</v>
      </c>
      <c r="B527" s="2" t="str" cm="1">
        <f t="array" ref="B527">_xlfn.IFS(HR_table[[#This Row],[Age]]&lt;=20, "Under 20yrs",HR_table[[#This Row],[Age]]&lt;=30,"(21-30)yrs",HR_table[[#This Row],[Age]]&lt;=40,"(31-40)yrs",HR_table[[#This Row],[Age]]&lt;=50,"(41-50)yrs",HR_table[[#This Row],[Age]]&lt;=60,"(51-60)yrs")</f>
        <v>(21-30)yrs</v>
      </c>
      <c r="C527" t="s">
        <v>35</v>
      </c>
      <c r="D527" t="s">
        <v>36</v>
      </c>
      <c r="E527" t="s">
        <v>37</v>
      </c>
      <c r="F527" t="s">
        <v>38</v>
      </c>
      <c r="G527" t="s">
        <v>40</v>
      </c>
      <c r="H527">
        <v>720</v>
      </c>
      <c r="I527" s="2">
        <v>3</v>
      </c>
      <c r="J527" s="2">
        <v>1</v>
      </c>
      <c r="K527" t="s">
        <v>39</v>
      </c>
      <c r="L527" s="2">
        <v>2</v>
      </c>
      <c r="M527" s="2">
        <v>3</v>
      </c>
      <c r="N527" t="s">
        <v>41</v>
      </c>
      <c r="O527" s="2">
        <v>4577</v>
      </c>
      <c r="P527" s="2">
        <v>24785</v>
      </c>
      <c r="Q527" s="2">
        <v>9</v>
      </c>
      <c r="R527" t="s">
        <v>43</v>
      </c>
      <c r="S527" s="2">
        <v>3</v>
      </c>
      <c r="T527" s="2">
        <v>1</v>
      </c>
      <c r="U527">
        <v>80</v>
      </c>
      <c r="V527" s="2">
        <v>4</v>
      </c>
      <c r="W527">
        <v>3</v>
      </c>
      <c r="X527">
        <v>3</v>
      </c>
      <c r="Y527">
        <v>2</v>
      </c>
      <c r="Z527">
        <v>2</v>
      </c>
      <c r="AA527">
        <v>2</v>
      </c>
      <c r="AB527">
        <v>0</v>
      </c>
    </row>
    <row r="528" spans="1:28" x14ac:dyDescent="0.35">
      <c r="A528" s="2">
        <v>39</v>
      </c>
      <c r="B528" s="2" t="str" cm="1">
        <f t="array" ref="B528">_xlfn.IFS(HR_table[[#This Row],[Age]]&lt;=20, "Under 20yrs",HR_table[[#This Row],[Age]]&lt;=30,"(21-30)yrs",HR_table[[#This Row],[Age]]&lt;=40,"(31-40)yrs",HR_table[[#This Row],[Age]]&lt;=50,"(41-50)yrs",HR_table[[#This Row],[Age]]&lt;=60,"(51-60)yrs")</f>
        <v>(31-40)yrs</v>
      </c>
      <c r="C528" t="s">
        <v>43</v>
      </c>
      <c r="D528" t="s">
        <v>36</v>
      </c>
      <c r="E528" t="s">
        <v>45</v>
      </c>
      <c r="F528" t="s">
        <v>60</v>
      </c>
      <c r="G528" t="s">
        <v>54</v>
      </c>
      <c r="H528">
        <v>721</v>
      </c>
      <c r="I528" s="2">
        <v>2</v>
      </c>
      <c r="J528" s="2">
        <v>4</v>
      </c>
      <c r="K528" t="s">
        <v>39</v>
      </c>
      <c r="L528" s="2">
        <v>2</v>
      </c>
      <c r="M528" s="2">
        <v>3</v>
      </c>
      <c r="N528" t="s">
        <v>41</v>
      </c>
      <c r="O528" s="2">
        <v>4553</v>
      </c>
      <c r="P528" s="2">
        <v>20978</v>
      </c>
      <c r="Q528" s="2">
        <v>1</v>
      </c>
      <c r="R528" t="s">
        <v>43</v>
      </c>
      <c r="S528" s="2">
        <v>3</v>
      </c>
      <c r="T528" s="2">
        <v>1</v>
      </c>
      <c r="U528">
        <v>80</v>
      </c>
      <c r="V528" s="2">
        <v>20</v>
      </c>
      <c r="W528">
        <v>4</v>
      </c>
      <c r="X528">
        <v>3</v>
      </c>
      <c r="Y528">
        <v>20</v>
      </c>
      <c r="Z528">
        <v>7</v>
      </c>
      <c r="AA528">
        <v>11</v>
      </c>
      <c r="AB528">
        <v>10</v>
      </c>
    </row>
    <row r="529" spans="1:28" x14ac:dyDescent="0.35">
      <c r="A529" s="2">
        <v>32</v>
      </c>
      <c r="B529" s="2" t="str" cm="1">
        <f t="array" ref="B529">_xlfn.IFS(HR_table[[#This Row],[Age]]&lt;=20, "Under 20yrs",HR_table[[#This Row],[Age]]&lt;=30,"(21-30)yrs",HR_table[[#This Row],[Age]]&lt;=40,"(31-40)yrs",HR_table[[#This Row],[Age]]&lt;=50,"(41-50)yrs",HR_table[[#This Row],[Age]]&lt;=60,"(51-60)yrs")</f>
        <v>(31-40)yrs</v>
      </c>
      <c r="C529" t="s">
        <v>43</v>
      </c>
      <c r="D529" t="s">
        <v>36</v>
      </c>
      <c r="E529" t="s">
        <v>37</v>
      </c>
      <c r="F529" t="s">
        <v>59</v>
      </c>
      <c r="G529" t="s">
        <v>40</v>
      </c>
      <c r="H529">
        <v>722</v>
      </c>
      <c r="I529" s="2">
        <v>10</v>
      </c>
      <c r="J529" s="2">
        <v>4</v>
      </c>
      <c r="K529" t="s">
        <v>46</v>
      </c>
      <c r="L529" s="2">
        <v>2</v>
      </c>
      <c r="M529" s="2">
        <v>4</v>
      </c>
      <c r="N529" t="s">
        <v>41</v>
      </c>
      <c r="O529" s="2">
        <v>5396</v>
      </c>
      <c r="P529" s="2">
        <v>21703</v>
      </c>
      <c r="Q529" s="2">
        <v>1</v>
      </c>
      <c r="R529" t="s">
        <v>43</v>
      </c>
      <c r="S529" s="2">
        <v>3</v>
      </c>
      <c r="T529" s="2">
        <v>4</v>
      </c>
      <c r="U529">
        <v>80</v>
      </c>
      <c r="V529" s="2">
        <v>10</v>
      </c>
      <c r="W529">
        <v>2</v>
      </c>
      <c r="X529">
        <v>2</v>
      </c>
      <c r="Y529">
        <v>10</v>
      </c>
      <c r="Z529">
        <v>7</v>
      </c>
      <c r="AA529">
        <v>0</v>
      </c>
      <c r="AB529">
        <v>8</v>
      </c>
    </row>
    <row r="530" spans="1:28" x14ac:dyDescent="0.35">
      <c r="A530" s="2">
        <v>50</v>
      </c>
      <c r="B530" s="2" t="str" cm="1">
        <f t="array" ref="B530">_xlfn.IFS(HR_table[[#This Row],[Age]]&lt;=20, "Under 20yrs",HR_table[[#This Row],[Age]]&lt;=30,"(21-30)yrs",HR_table[[#This Row],[Age]]&lt;=40,"(31-40)yrs",HR_table[[#This Row],[Age]]&lt;=50,"(41-50)yrs",HR_table[[#This Row],[Age]]&lt;=60,"(51-60)yrs")</f>
        <v>(41-50)yrs</v>
      </c>
      <c r="C530" t="s">
        <v>35</v>
      </c>
      <c r="D530" t="s">
        <v>44</v>
      </c>
      <c r="E530" t="s">
        <v>37</v>
      </c>
      <c r="F530" t="s">
        <v>60</v>
      </c>
      <c r="G530" t="s">
        <v>40</v>
      </c>
      <c r="H530">
        <v>723</v>
      </c>
      <c r="I530" s="2">
        <v>8</v>
      </c>
      <c r="J530" s="2">
        <v>2</v>
      </c>
      <c r="K530" t="s">
        <v>46</v>
      </c>
      <c r="L530" s="2">
        <v>2</v>
      </c>
      <c r="M530" s="2">
        <v>3</v>
      </c>
      <c r="N530" t="s">
        <v>48</v>
      </c>
      <c r="O530" s="2">
        <v>6796</v>
      </c>
      <c r="P530" s="2">
        <v>23452</v>
      </c>
      <c r="Q530" s="2">
        <v>3</v>
      </c>
      <c r="R530" t="s">
        <v>35</v>
      </c>
      <c r="S530" s="2">
        <v>3</v>
      </c>
      <c r="T530" s="2">
        <v>1</v>
      </c>
      <c r="U530">
        <v>80</v>
      </c>
      <c r="V530" s="2">
        <v>18</v>
      </c>
      <c r="W530">
        <v>4</v>
      </c>
      <c r="X530">
        <v>3</v>
      </c>
      <c r="Y530">
        <v>4</v>
      </c>
      <c r="Z530">
        <v>3</v>
      </c>
      <c r="AA530">
        <v>1</v>
      </c>
      <c r="AB530">
        <v>3</v>
      </c>
    </row>
    <row r="531" spans="1:28" x14ac:dyDescent="0.35">
      <c r="A531" s="2">
        <v>38</v>
      </c>
      <c r="B531" s="2" t="str" cm="1">
        <f t="array" ref="B531">_xlfn.IFS(HR_table[[#This Row],[Age]]&lt;=20, "Under 20yrs",HR_table[[#This Row],[Age]]&lt;=30,"(21-30)yrs",HR_table[[#This Row],[Age]]&lt;=40,"(31-40)yrs",HR_table[[#This Row],[Age]]&lt;=50,"(41-50)yrs",HR_table[[#This Row],[Age]]&lt;=60,"(51-60)yrs")</f>
        <v>(31-40)yrs</v>
      </c>
      <c r="C531" t="s">
        <v>43</v>
      </c>
      <c r="D531" t="s">
        <v>36</v>
      </c>
      <c r="E531" t="s">
        <v>45</v>
      </c>
      <c r="F531" t="s">
        <v>38</v>
      </c>
      <c r="G531" t="s">
        <v>54</v>
      </c>
      <c r="H531">
        <v>724</v>
      </c>
      <c r="I531" s="2">
        <v>1</v>
      </c>
      <c r="J531" s="2">
        <v>2</v>
      </c>
      <c r="K531" t="s">
        <v>39</v>
      </c>
      <c r="L531" s="2">
        <v>2</v>
      </c>
      <c r="M531" s="2">
        <v>4</v>
      </c>
      <c r="N531" t="s">
        <v>41</v>
      </c>
      <c r="O531" s="2">
        <v>7625</v>
      </c>
      <c r="P531" s="2">
        <v>19383</v>
      </c>
      <c r="Q531" s="2">
        <v>0</v>
      </c>
      <c r="R531" t="s">
        <v>43</v>
      </c>
      <c r="S531" s="2">
        <v>3</v>
      </c>
      <c r="T531" s="2">
        <v>3</v>
      </c>
      <c r="U531">
        <v>80</v>
      </c>
      <c r="V531" s="2">
        <v>10</v>
      </c>
      <c r="W531">
        <v>4</v>
      </c>
      <c r="X531">
        <v>2</v>
      </c>
      <c r="Y531">
        <v>9</v>
      </c>
      <c r="Z531">
        <v>7</v>
      </c>
      <c r="AA531">
        <v>1</v>
      </c>
      <c r="AB531">
        <v>8</v>
      </c>
    </row>
    <row r="532" spans="1:28" x14ac:dyDescent="0.35">
      <c r="A532" s="2">
        <v>27</v>
      </c>
      <c r="B532" s="2" t="str" cm="1">
        <f t="array" ref="B532">_xlfn.IFS(HR_table[[#This Row],[Age]]&lt;=20, "Under 20yrs",HR_table[[#This Row],[Age]]&lt;=30,"(21-30)yrs",HR_table[[#This Row],[Age]]&lt;=40,"(31-40)yrs",HR_table[[#This Row],[Age]]&lt;=50,"(41-50)yrs",HR_table[[#This Row],[Age]]&lt;=60,"(51-60)yrs")</f>
        <v>(21-30)yrs</v>
      </c>
      <c r="C532" t="s">
        <v>43</v>
      </c>
      <c r="D532" t="s">
        <v>36</v>
      </c>
      <c r="E532" t="s">
        <v>45</v>
      </c>
      <c r="F532" t="s">
        <v>38</v>
      </c>
      <c r="G532" t="s">
        <v>53</v>
      </c>
      <c r="H532">
        <v>725</v>
      </c>
      <c r="I532" s="2">
        <v>1</v>
      </c>
      <c r="J532" s="2">
        <v>3</v>
      </c>
      <c r="K532" t="s">
        <v>39</v>
      </c>
      <c r="L532" s="2">
        <v>3</v>
      </c>
      <c r="M532" s="2">
        <v>1</v>
      </c>
      <c r="N532" t="s">
        <v>48</v>
      </c>
      <c r="O532" s="2">
        <v>7412</v>
      </c>
      <c r="P532" s="2">
        <v>6009</v>
      </c>
      <c r="Q532" s="2">
        <v>1</v>
      </c>
      <c r="R532" t="s">
        <v>43</v>
      </c>
      <c r="S532" s="2">
        <v>3</v>
      </c>
      <c r="T532" s="2">
        <v>4</v>
      </c>
      <c r="U532">
        <v>80</v>
      </c>
      <c r="V532" s="2">
        <v>9</v>
      </c>
      <c r="W532">
        <v>3</v>
      </c>
      <c r="X532">
        <v>3</v>
      </c>
      <c r="Y532">
        <v>9</v>
      </c>
      <c r="Z532">
        <v>7</v>
      </c>
      <c r="AA532">
        <v>0</v>
      </c>
      <c r="AB532">
        <v>7</v>
      </c>
    </row>
    <row r="533" spans="1:28" x14ac:dyDescent="0.35">
      <c r="A533" s="2">
        <v>32</v>
      </c>
      <c r="B533" s="2" t="str" cm="1">
        <f t="array" ref="B533">_xlfn.IFS(HR_table[[#This Row],[Age]]&lt;=20, "Under 20yrs",HR_table[[#This Row],[Age]]&lt;=30,"(21-30)yrs",HR_table[[#This Row],[Age]]&lt;=40,"(31-40)yrs",HR_table[[#This Row],[Age]]&lt;=50,"(41-50)yrs",HR_table[[#This Row],[Age]]&lt;=60,"(51-60)yrs")</f>
        <v>(31-40)yrs</v>
      </c>
      <c r="C533" t="s">
        <v>43</v>
      </c>
      <c r="D533" t="s">
        <v>36</v>
      </c>
      <c r="E533" t="s">
        <v>45</v>
      </c>
      <c r="F533" t="s">
        <v>38</v>
      </c>
      <c r="G533" t="s">
        <v>58</v>
      </c>
      <c r="H533">
        <v>727</v>
      </c>
      <c r="I533" s="2">
        <v>3</v>
      </c>
      <c r="J533" s="2">
        <v>3</v>
      </c>
      <c r="K533" t="s">
        <v>39</v>
      </c>
      <c r="L533" s="2">
        <v>3</v>
      </c>
      <c r="M533" s="2">
        <v>4</v>
      </c>
      <c r="N533" t="s">
        <v>41</v>
      </c>
      <c r="O533" s="2">
        <v>11159</v>
      </c>
      <c r="P533" s="2">
        <v>19373</v>
      </c>
      <c r="Q533" s="2">
        <v>3</v>
      </c>
      <c r="R533" t="s">
        <v>43</v>
      </c>
      <c r="S533" s="2">
        <v>3</v>
      </c>
      <c r="T533" s="2">
        <v>4</v>
      </c>
      <c r="U533">
        <v>80</v>
      </c>
      <c r="V533" s="2">
        <v>10</v>
      </c>
      <c r="W533">
        <v>6</v>
      </c>
      <c r="X533">
        <v>3</v>
      </c>
      <c r="Y533">
        <v>7</v>
      </c>
      <c r="Z533">
        <v>7</v>
      </c>
      <c r="AA533">
        <v>7</v>
      </c>
      <c r="AB533">
        <v>7</v>
      </c>
    </row>
    <row r="534" spans="1:28" x14ac:dyDescent="0.35">
      <c r="A534" s="2">
        <v>47</v>
      </c>
      <c r="B534" s="2" t="str" cm="1">
        <f t="array" ref="B534">_xlfn.IFS(HR_table[[#This Row],[Age]]&lt;=20, "Under 20yrs",HR_table[[#This Row],[Age]]&lt;=30,"(21-30)yrs",HR_table[[#This Row],[Age]]&lt;=40,"(31-40)yrs",HR_table[[#This Row],[Age]]&lt;=50,"(41-50)yrs",HR_table[[#This Row],[Age]]&lt;=60,"(51-60)yrs")</f>
        <v>(41-50)yrs</v>
      </c>
      <c r="C534" t="s">
        <v>43</v>
      </c>
      <c r="D534" t="s">
        <v>36</v>
      </c>
      <c r="E534" t="s">
        <v>37</v>
      </c>
      <c r="F534" t="s">
        <v>59</v>
      </c>
      <c r="G534" t="s">
        <v>40</v>
      </c>
      <c r="H534">
        <v>728</v>
      </c>
      <c r="I534" s="2">
        <v>14</v>
      </c>
      <c r="J534" s="2">
        <v>4</v>
      </c>
      <c r="K534" t="s">
        <v>46</v>
      </c>
      <c r="L534" s="2">
        <v>2</v>
      </c>
      <c r="M534" s="2">
        <v>1</v>
      </c>
      <c r="N534" t="s">
        <v>41</v>
      </c>
      <c r="O534" s="2">
        <v>4960</v>
      </c>
      <c r="P534" s="2">
        <v>11825</v>
      </c>
      <c r="Q534" s="2">
        <v>2</v>
      </c>
      <c r="R534" t="s">
        <v>43</v>
      </c>
      <c r="S534" s="2">
        <v>3</v>
      </c>
      <c r="T534" s="2">
        <v>4</v>
      </c>
      <c r="U534">
        <v>80</v>
      </c>
      <c r="V534" s="2">
        <v>20</v>
      </c>
      <c r="W534">
        <v>2</v>
      </c>
      <c r="X534">
        <v>3</v>
      </c>
      <c r="Y534">
        <v>7</v>
      </c>
      <c r="Z534">
        <v>7</v>
      </c>
      <c r="AA534">
        <v>1</v>
      </c>
      <c r="AB534">
        <v>7</v>
      </c>
    </row>
    <row r="535" spans="1:28" x14ac:dyDescent="0.35">
      <c r="A535" s="2">
        <v>40</v>
      </c>
      <c r="B535" s="2" t="str" cm="1">
        <f t="array" ref="B535">_xlfn.IFS(HR_table[[#This Row],[Age]]&lt;=20, "Under 20yrs",HR_table[[#This Row],[Age]]&lt;=30,"(21-30)yrs",HR_table[[#This Row],[Age]]&lt;=40,"(31-40)yrs",HR_table[[#This Row],[Age]]&lt;=50,"(41-50)yrs",HR_table[[#This Row],[Age]]&lt;=60,"(51-60)yrs")</f>
        <v>(31-40)yrs</v>
      </c>
      <c r="C535" t="s">
        <v>43</v>
      </c>
      <c r="D535" t="s">
        <v>44</v>
      </c>
      <c r="E535" t="s">
        <v>37</v>
      </c>
      <c r="F535" t="s">
        <v>38</v>
      </c>
      <c r="G535" t="s">
        <v>40</v>
      </c>
      <c r="H535">
        <v>729</v>
      </c>
      <c r="I535" s="2">
        <v>5</v>
      </c>
      <c r="J535" s="2">
        <v>4</v>
      </c>
      <c r="K535" t="s">
        <v>46</v>
      </c>
      <c r="L535" s="2">
        <v>3</v>
      </c>
      <c r="M535" s="2">
        <v>1</v>
      </c>
      <c r="N535" t="s">
        <v>48</v>
      </c>
      <c r="O535" s="2">
        <v>10475</v>
      </c>
      <c r="P535" s="2">
        <v>23772</v>
      </c>
      <c r="Q535" s="2">
        <v>5</v>
      </c>
      <c r="R535" t="s">
        <v>35</v>
      </c>
      <c r="S535" s="2">
        <v>4</v>
      </c>
      <c r="T535" s="2">
        <v>3</v>
      </c>
      <c r="U535">
        <v>80</v>
      </c>
      <c r="V535" s="2">
        <v>20</v>
      </c>
      <c r="W535">
        <v>2</v>
      </c>
      <c r="X535">
        <v>3</v>
      </c>
      <c r="Y535">
        <v>18</v>
      </c>
      <c r="Z535">
        <v>13</v>
      </c>
      <c r="AA535">
        <v>1</v>
      </c>
      <c r="AB535">
        <v>12</v>
      </c>
    </row>
    <row r="536" spans="1:28" x14ac:dyDescent="0.35">
      <c r="A536" s="2">
        <v>53</v>
      </c>
      <c r="B536" s="2" t="str" cm="1">
        <f t="array" ref="B536">_xlfn.IFS(HR_table[[#This Row],[Age]]&lt;=20, "Under 20yrs",HR_table[[#This Row],[Age]]&lt;=30,"(21-30)yrs",HR_table[[#This Row],[Age]]&lt;=40,"(31-40)yrs",HR_table[[#This Row],[Age]]&lt;=50,"(41-50)yrs",HR_table[[#This Row],[Age]]&lt;=60,"(51-60)yrs")</f>
        <v>(51-60)yrs</v>
      </c>
      <c r="C536" t="s">
        <v>43</v>
      </c>
      <c r="D536" t="s">
        <v>36</v>
      </c>
      <c r="E536" t="s">
        <v>45</v>
      </c>
      <c r="F536" t="s">
        <v>38</v>
      </c>
      <c r="G536" t="s">
        <v>58</v>
      </c>
      <c r="H536">
        <v>730</v>
      </c>
      <c r="I536" s="2">
        <v>7</v>
      </c>
      <c r="J536" s="2">
        <v>3</v>
      </c>
      <c r="K536" t="s">
        <v>46</v>
      </c>
      <c r="L536" s="2">
        <v>4</v>
      </c>
      <c r="M536" s="2">
        <v>3</v>
      </c>
      <c r="N536" t="s">
        <v>48</v>
      </c>
      <c r="O536" s="2">
        <v>14814</v>
      </c>
      <c r="P536" s="2">
        <v>13514</v>
      </c>
      <c r="Q536" s="2">
        <v>3</v>
      </c>
      <c r="R536" t="s">
        <v>43</v>
      </c>
      <c r="S536" s="2">
        <v>3</v>
      </c>
      <c r="T536" s="2">
        <v>3</v>
      </c>
      <c r="U536">
        <v>80</v>
      </c>
      <c r="V536" s="2">
        <v>32</v>
      </c>
      <c r="W536">
        <v>3</v>
      </c>
      <c r="X536">
        <v>3</v>
      </c>
      <c r="Y536">
        <v>5</v>
      </c>
      <c r="Z536">
        <v>1</v>
      </c>
      <c r="AA536">
        <v>1</v>
      </c>
      <c r="AB536">
        <v>3</v>
      </c>
    </row>
    <row r="537" spans="1:28" x14ac:dyDescent="0.35">
      <c r="A537" s="2">
        <v>41</v>
      </c>
      <c r="B537" s="2" t="str" cm="1">
        <f t="array" ref="B537">_xlfn.IFS(HR_table[[#This Row],[Age]]&lt;=20, "Under 20yrs",HR_table[[#This Row],[Age]]&lt;=30,"(21-30)yrs",HR_table[[#This Row],[Age]]&lt;=40,"(31-40)yrs",HR_table[[#This Row],[Age]]&lt;=50,"(41-50)yrs",HR_table[[#This Row],[Age]]&lt;=60,"(51-60)yrs")</f>
        <v>(41-50)yrs</v>
      </c>
      <c r="C537" t="s">
        <v>43</v>
      </c>
      <c r="D537" t="s">
        <v>36</v>
      </c>
      <c r="E537" t="s">
        <v>61</v>
      </c>
      <c r="F537" t="s">
        <v>61</v>
      </c>
      <c r="G537" t="s">
        <v>56</v>
      </c>
      <c r="H537">
        <v>731</v>
      </c>
      <c r="I537" s="2">
        <v>10</v>
      </c>
      <c r="J537" s="2">
        <v>2</v>
      </c>
      <c r="K537" t="s">
        <v>46</v>
      </c>
      <c r="L537" s="2">
        <v>5</v>
      </c>
      <c r="M537" s="2">
        <v>4</v>
      </c>
      <c r="N537" t="s">
        <v>52</v>
      </c>
      <c r="O537" s="2">
        <v>19141</v>
      </c>
      <c r="P537" s="2">
        <v>8861</v>
      </c>
      <c r="Q537" s="2">
        <v>3</v>
      </c>
      <c r="R537" t="s">
        <v>43</v>
      </c>
      <c r="S537" s="2">
        <v>3</v>
      </c>
      <c r="T537" s="2">
        <v>2</v>
      </c>
      <c r="U537">
        <v>80</v>
      </c>
      <c r="V537" s="2">
        <v>23</v>
      </c>
      <c r="W537">
        <v>2</v>
      </c>
      <c r="X537">
        <v>2</v>
      </c>
      <c r="Y537">
        <v>21</v>
      </c>
      <c r="Z537">
        <v>6</v>
      </c>
      <c r="AA537">
        <v>12</v>
      </c>
      <c r="AB537">
        <v>6</v>
      </c>
    </row>
    <row r="538" spans="1:28" x14ac:dyDescent="0.35">
      <c r="A538" s="2">
        <v>60</v>
      </c>
      <c r="B538" s="2" t="str" cm="1">
        <f t="array" ref="B538">_xlfn.IFS(HR_table[[#This Row],[Age]]&lt;=20, "Under 20yrs",HR_table[[#This Row],[Age]]&lt;=30,"(21-30)yrs",HR_table[[#This Row],[Age]]&lt;=40,"(31-40)yrs",HR_table[[#This Row],[Age]]&lt;=50,"(41-50)yrs",HR_table[[#This Row],[Age]]&lt;=60,"(51-60)yrs")</f>
        <v>(51-60)yrs</v>
      </c>
      <c r="C538" t="s">
        <v>43</v>
      </c>
      <c r="D538" t="s">
        <v>36</v>
      </c>
      <c r="E538" t="s">
        <v>37</v>
      </c>
      <c r="F538" t="s">
        <v>59</v>
      </c>
      <c r="G538" t="s">
        <v>40</v>
      </c>
      <c r="H538">
        <v>732</v>
      </c>
      <c r="I538" s="2">
        <v>16</v>
      </c>
      <c r="J538" s="2">
        <v>1</v>
      </c>
      <c r="K538" t="s">
        <v>46</v>
      </c>
      <c r="L538" s="2">
        <v>2</v>
      </c>
      <c r="M538" s="2">
        <v>1</v>
      </c>
      <c r="N538" t="s">
        <v>41</v>
      </c>
      <c r="O538" s="2">
        <v>5405</v>
      </c>
      <c r="P538" s="2">
        <v>11924</v>
      </c>
      <c r="Q538" s="2">
        <v>8</v>
      </c>
      <c r="R538" t="s">
        <v>43</v>
      </c>
      <c r="S538" s="2">
        <v>3</v>
      </c>
      <c r="T538" s="2">
        <v>4</v>
      </c>
      <c r="U538">
        <v>80</v>
      </c>
      <c r="V538" s="2">
        <v>10</v>
      </c>
      <c r="W538">
        <v>1</v>
      </c>
      <c r="X538">
        <v>3</v>
      </c>
      <c r="Y538">
        <v>2</v>
      </c>
      <c r="Z538">
        <v>2</v>
      </c>
      <c r="AA538">
        <v>2</v>
      </c>
      <c r="AB538">
        <v>2</v>
      </c>
    </row>
    <row r="539" spans="1:28" x14ac:dyDescent="0.35">
      <c r="A539" s="2">
        <v>27</v>
      </c>
      <c r="B539" s="2" t="str" cm="1">
        <f t="array" ref="B539">_xlfn.IFS(HR_table[[#This Row],[Age]]&lt;=20, "Under 20yrs",HR_table[[#This Row],[Age]]&lt;=30,"(21-30)yrs",HR_table[[#This Row],[Age]]&lt;=40,"(31-40)yrs",HR_table[[#This Row],[Age]]&lt;=50,"(41-50)yrs",HR_table[[#This Row],[Age]]&lt;=60,"(51-60)yrs")</f>
        <v>(21-30)yrs</v>
      </c>
      <c r="C539" t="s">
        <v>43</v>
      </c>
      <c r="D539" t="s">
        <v>44</v>
      </c>
      <c r="E539" t="s">
        <v>45</v>
      </c>
      <c r="F539" t="s">
        <v>38</v>
      </c>
      <c r="G539" t="s">
        <v>53</v>
      </c>
      <c r="H539">
        <v>733</v>
      </c>
      <c r="I539" s="2">
        <v>10</v>
      </c>
      <c r="J539" s="2">
        <v>4</v>
      </c>
      <c r="K539" t="s">
        <v>46</v>
      </c>
      <c r="L539" s="2">
        <v>3</v>
      </c>
      <c r="M539" s="2">
        <v>1</v>
      </c>
      <c r="N539" t="s">
        <v>52</v>
      </c>
      <c r="O539" s="2">
        <v>8793</v>
      </c>
      <c r="P539" s="2">
        <v>4809</v>
      </c>
      <c r="Q539" s="2">
        <v>1</v>
      </c>
      <c r="R539" t="s">
        <v>43</v>
      </c>
      <c r="S539" s="2">
        <v>4</v>
      </c>
      <c r="T539" s="2">
        <v>3</v>
      </c>
      <c r="U539">
        <v>80</v>
      </c>
      <c r="V539" s="2">
        <v>9</v>
      </c>
      <c r="W539">
        <v>4</v>
      </c>
      <c r="X539">
        <v>2</v>
      </c>
      <c r="Y539">
        <v>9</v>
      </c>
      <c r="Z539">
        <v>7</v>
      </c>
      <c r="AA539">
        <v>1</v>
      </c>
      <c r="AB539">
        <v>7</v>
      </c>
    </row>
    <row r="540" spans="1:28" x14ac:dyDescent="0.35">
      <c r="A540" s="2">
        <v>41</v>
      </c>
      <c r="B540" s="2" t="str" cm="1">
        <f t="array" ref="B540">_xlfn.IFS(HR_table[[#This Row],[Age]]&lt;=20, "Under 20yrs",HR_table[[#This Row],[Age]]&lt;=30,"(21-30)yrs",HR_table[[#This Row],[Age]]&lt;=40,"(31-40)yrs",HR_table[[#This Row],[Age]]&lt;=50,"(41-50)yrs",HR_table[[#This Row],[Age]]&lt;=60,"(51-60)yrs")</f>
        <v>(41-50)yrs</v>
      </c>
      <c r="C540" t="s">
        <v>43</v>
      </c>
      <c r="D540" t="s">
        <v>36</v>
      </c>
      <c r="E540" t="s">
        <v>61</v>
      </c>
      <c r="F540" t="s">
        <v>61</v>
      </c>
      <c r="G540" t="s">
        <v>56</v>
      </c>
      <c r="H540">
        <v>734</v>
      </c>
      <c r="I540" s="2">
        <v>1</v>
      </c>
      <c r="J540" s="2">
        <v>4</v>
      </c>
      <c r="K540" t="s">
        <v>46</v>
      </c>
      <c r="L540" s="2">
        <v>5</v>
      </c>
      <c r="M540" s="2">
        <v>3</v>
      </c>
      <c r="N540" t="s">
        <v>48</v>
      </c>
      <c r="O540" s="2">
        <v>19189</v>
      </c>
      <c r="P540" s="2">
        <v>19562</v>
      </c>
      <c r="Q540" s="2">
        <v>1</v>
      </c>
      <c r="R540" t="s">
        <v>43</v>
      </c>
      <c r="S540" s="2">
        <v>3</v>
      </c>
      <c r="T540" s="2">
        <v>2</v>
      </c>
      <c r="U540">
        <v>80</v>
      </c>
      <c r="V540" s="2">
        <v>22</v>
      </c>
      <c r="W540">
        <v>3</v>
      </c>
      <c r="X540">
        <v>3</v>
      </c>
      <c r="Y540">
        <v>22</v>
      </c>
      <c r="Z540">
        <v>7</v>
      </c>
      <c r="AA540">
        <v>2</v>
      </c>
      <c r="AB540">
        <v>10</v>
      </c>
    </row>
    <row r="541" spans="1:28" x14ac:dyDescent="0.35">
      <c r="A541" s="2">
        <v>50</v>
      </c>
      <c r="B541" s="2" t="str" cm="1">
        <f t="array" ref="B541">_xlfn.IFS(HR_table[[#This Row],[Age]]&lt;=20, "Under 20yrs",HR_table[[#This Row],[Age]]&lt;=30,"(21-30)yrs",HR_table[[#This Row],[Age]]&lt;=40,"(31-40)yrs",HR_table[[#This Row],[Age]]&lt;=50,"(41-50)yrs",HR_table[[#This Row],[Age]]&lt;=60,"(51-60)yrs")</f>
        <v>(41-50)yrs</v>
      </c>
      <c r="C541" t="s">
        <v>43</v>
      </c>
      <c r="D541" t="s">
        <v>36</v>
      </c>
      <c r="E541" t="s">
        <v>37</v>
      </c>
      <c r="F541" t="s">
        <v>59</v>
      </c>
      <c r="G541" t="s">
        <v>57</v>
      </c>
      <c r="H541">
        <v>738</v>
      </c>
      <c r="I541" s="2">
        <v>8</v>
      </c>
      <c r="J541" s="2">
        <v>4</v>
      </c>
      <c r="K541" t="s">
        <v>46</v>
      </c>
      <c r="L541" s="2">
        <v>1</v>
      </c>
      <c r="M541" s="2">
        <v>2</v>
      </c>
      <c r="N541" t="s">
        <v>48</v>
      </c>
      <c r="O541" s="2">
        <v>3875</v>
      </c>
      <c r="P541" s="2">
        <v>9983</v>
      </c>
      <c r="Q541" s="2">
        <v>7</v>
      </c>
      <c r="R541" t="s">
        <v>43</v>
      </c>
      <c r="S541" s="2">
        <v>3</v>
      </c>
      <c r="T541" s="2">
        <v>4</v>
      </c>
      <c r="U541">
        <v>80</v>
      </c>
      <c r="V541" s="2">
        <v>4</v>
      </c>
      <c r="W541">
        <v>2</v>
      </c>
      <c r="X541">
        <v>3</v>
      </c>
      <c r="Y541">
        <v>2</v>
      </c>
      <c r="Z541">
        <v>2</v>
      </c>
      <c r="AA541">
        <v>2</v>
      </c>
      <c r="AB541">
        <v>2</v>
      </c>
    </row>
    <row r="542" spans="1:28" x14ac:dyDescent="0.35">
      <c r="A542" s="2">
        <v>28</v>
      </c>
      <c r="B542" s="2" t="str" cm="1">
        <f t="array" ref="B542">_xlfn.IFS(HR_table[[#This Row],[Age]]&lt;=20, "Under 20yrs",HR_table[[#This Row],[Age]]&lt;=30,"(21-30)yrs",HR_table[[#This Row],[Age]]&lt;=40,"(31-40)yrs",HR_table[[#This Row],[Age]]&lt;=50,"(41-50)yrs",HR_table[[#This Row],[Age]]&lt;=60,"(51-60)yrs")</f>
        <v>(21-30)yrs</v>
      </c>
      <c r="C542" t="s">
        <v>35</v>
      </c>
      <c r="D542" t="s">
        <v>36</v>
      </c>
      <c r="E542" t="s">
        <v>45</v>
      </c>
      <c r="F542" t="s">
        <v>38</v>
      </c>
      <c r="G542" t="s">
        <v>47</v>
      </c>
      <c r="H542">
        <v>741</v>
      </c>
      <c r="I542" s="2">
        <v>1</v>
      </c>
      <c r="J542" s="2">
        <v>1</v>
      </c>
      <c r="K542" t="s">
        <v>39</v>
      </c>
      <c r="L542" s="2">
        <v>1</v>
      </c>
      <c r="M542" s="2">
        <v>2</v>
      </c>
      <c r="N542" t="s">
        <v>41</v>
      </c>
      <c r="O542" s="2">
        <v>2216</v>
      </c>
      <c r="P542" s="2">
        <v>3872</v>
      </c>
      <c r="Q542" s="2">
        <v>7</v>
      </c>
      <c r="R542" t="s">
        <v>35</v>
      </c>
      <c r="S542" s="2">
        <v>3</v>
      </c>
      <c r="T542" s="2">
        <v>4</v>
      </c>
      <c r="U542">
        <v>80</v>
      </c>
      <c r="V542" s="2">
        <v>10</v>
      </c>
      <c r="W542">
        <v>4</v>
      </c>
      <c r="X542">
        <v>3</v>
      </c>
      <c r="Y542">
        <v>7</v>
      </c>
      <c r="Z542">
        <v>7</v>
      </c>
      <c r="AA542">
        <v>3</v>
      </c>
      <c r="AB542">
        <v>7</v>
      </c>
    </row>
    <row r="543" spans="1:28" x14ac:dyDescent="0.35">
      <c r="A543" s="2">
        <v>36</v>
      </c>
      <c r="B543" s="2" t="str" cm="1">
        <f t="array" ref="B543">_xlfn.IFS(HR_table[[#This Row],[Age]]&lt;=20, "Under 20yrs",HR_table[[#This Row],[Age]]&lt;=30,"(21-30)yrs",HR_table[[#This Row],[Age]]&lt;=40,"(31-40)yrs",HR_table[[#This Row],[Age]]&lt;=50,"(41-50)yrs",HR_table[[#This Row],[Age]]&lt;=60,"(51-60)yrs")</f>
        <v>(31-40)yrs</v>
      </c>
      <c r="C543" t="s">
        <v>43</v>
      </c>
      <c r="D543" t="s">
        <v>55</v>
      </c>
      <c r="E543" t="s">
        <v>45</v>
      </c>
      <c r="F543" t="s">
        <v>38</v>
      </c>
      <c r="G543" t="s">
        <v>58</v>
      </c>
      <c r="H543">
        <v>742</v>
      </c>
      <c r="I543" s="2">
        <v>8</v>
      </c>
      <c r="J543" s="2">
        <v>1</v>
      </c>
      <c r="K543" t="s">
        <v>39</v>
      </c>
      <c r="L543" s="2">
        <v>3</v>
      </c>
      <c r="M543" s="2">
        <v>1</v>
      </c>
      <c r="N543" t="s">
        <v>48</v>
      </c>
      <c r="O543" s="2">
        <v>11713</v>
      </c>
      <c r="P543" s="2">
        <v>20335</v>
      </c>
      <c r="Q543" s="2">
        <v>9</v>
      </c>
      <c r="R543" t="s">
        <v>43</v>
      </c>
      <c r="S543" s="2">
        <v>3</v>
      </c>
      <c r="T543" s="2">
        <v>1</v>
      </c>
      <c r="U543">
        <v>80</v>
      </c>
      <c r="V543" s="2">
        <v>10</v>
      </c>
      <c r="W543">
        <v>2</v>
      </c>
      <c r="X543">
        <v>3</v>
      </c>
      <c r="Y543">
        <v>8</v>
      </c>
      <c r="Z543">
        <v>7</v>
      </c>
      <c r="AA543">
        <v>0</v>
      </c>
      <c r="AB543">
        <v>5</v>
      </c>
    </row>
    <row r="544" spans="1:28" x14ac:dyDescent="0.35">
      <c r="A544" s="2">
        <v>38</v>
      </c>
      <c r="B544" s="2" t="str" cm="1">
        <f t="array" ref="B544">_xlfn.IFS(HR_table[[#This Row],[Age]]&lt;=20, "Under 20yrs",HR_table[[#This Row],[Age]]&lt;=30,"(21-30)yrs",HR_table[[#This Row],[Age]]&lt;=40,"(31-40)yrs",HR_table[[#This Row],[Age]]&lt;=50,"(41-50)yrs",HR_table[[#This Row],[Age]]&lt;=60,"(51-60)yrs")</f>
        <v>(31-40)yrs</v>
      </c>
      <c r="C544" t="s">
        <v>43</v>
      </c>
      <c r="D544" t="s">
        <v>36</v>
      </c>
      <c r="E544" t="s">
        <v>45</v>
      </c>
      <c r="F544" t="s">
        <v>38</v>
      </c>
      <c r="G544" t="s">
        <v>53</v>
      </c>
      <c r="H544">
        <v>743</v>
      </c>
      <c r="I544" s="2">
        <v>1</v>
      </c>
      <c r="J544" s="2">
        <v>3</v>
      </c>
      <c r="K544" t="s">
        <v>39</v>
      </c>
      <c r="L544" s="2">
        <v>3</v>
      </c>
      <c r="M544" s="2">
        <v>3</v>
      </c>
      <c r="N544" t="s">
        <v>41</v>
      </c>
      <c r="O544" s="2">
        <v>7861</v>
      </c>
      <c r="P544" s="2">
        <v>15397</v>
      </c>
      <c r="Q544" s="2">
        <v>4</v>
      </c>
      <c r="R544" t="s">
        <v>35</v>
      </c>
      <c r="S544" s="2">
        <v>3</v>
      </c>
      <c r="T544" s="2">
        <v>4</v>
      </c>
      <c r="U544">
        <v>80</v>
      </c>
      <c r="V544" s="2">
        <v>10</v>
      </c>
      <c r="W544">
        <v>4</v>
      </c>
      <c r="X544">
        <v>4</v>
      </c>
      <c r="Y544">
        <v>1</v>
      </c>
      <c r="Z544">
        <v>0</v>
      </c>
      <c r="AA544">
        <v>0</v>
      </c>
      <c r="AB544">
        <v>0</v>
      </c>
    </row>
    <row r="545" spans="1:28" x14ac:dyDescent="0.35">
      <c r="A545" s="2">
        <v>44</v>
      </c>
      <c r="B545" s="2" t="str" cm="1">
        <f t="array" ref="B545">_xlfn.IFS(HR_table[[#This Row],[Age]]&lt;=20, "Under 20yrs",HR_table[[#This Row],[Age]]&lt;=30,"(21-30)yrs",HR_table[[#This Row],[Age]]&lt;=40,"(31-40)yrs",HR_table[[#This Row],[Age]]&lt;=50,"(41-50)yrs",HR_table[[#This Row],[Age]]&lt;=60,"(51-60)yrs")</f>
        <v>(41-50)yrs</v>
      </c>
      <c r="C545" t="s">
        <v>43</v>
      </c>
      <c r="D545" t="s">
        <v>55</v>
      </c>
      <c r="E545" t="s">
        <v>45</v>
      </c>
      <c r="F545" t="s">
        <v>51</v>
      </c>
      <c r="G545" t="s">
        <v>50</v>
      </c>
      <c r="H545">
        <v>744</v>
      </c>
      <c r="I545" s="2">
        <v>24</v>
      </c>
      <c r="J545" s="2">
        <v>1</v>
      </c>
      <c r="K545" t="s">
        <v>46</v>
      </c>
      <c r="L545" s="2">
        <v>1</v>
      </c>
      <c r="M545" s="2">
        <v>3</v>
      </c>
      <c r="N545" t="s">
        <v>41</v>
      </c>
      <c r="O545" s="2">
        <v>3708</v>
      </c>
      <c r="P545" s="2">
        <v>2104</v>
      </c>
      <c r="Q545" s="2">
        <v>2</v>
      </c>
      <c r="R545" t="s">
        <v>43</v>
      </c>
      <c r="S545" s="2">
        <v>3</v>
      </c>
      <c r="T545" s="2">
        <v>3</v>
      </c>
      <c r="U545">
        <v>80</v>
      </c>
      <c r="V545" s="2">
        <v>9</v>
      </c>
      <c r="W545">
        <v>5</v>
      </c>
      <c r="X545">
        <v>3</v>
      </c>
      <c r="Y545">
        <v>5</v>
      </c>
      <c r="Z545">
        <v>2</v>
      </c>
      <c r="AA545">
        <v>1</v>
      </c>
      <c r="AB545">
        <v>4</v>
      </c>
    </row>
    <row r="546" spans="1:28" x14ac:dyDescent="0.35">
      <c r="A546" s="2">
        <v>47</v>
      </c>
      <c r="B546" s="2" t="str" cm="1">
        <f t="array" ref="B546">_xlfn.IFS(HR_table[[#This Row],[Age]]&lt;=20, "Under 20yrs",HR_table[[#This Row],[Age]]&lt;=30,"(21-30)yrs",HR_table[[#This Row],[Age]]&lt;=40,"(31-40)yrs",HR_table[[#This Row],[Age]]&lt;=50,"(41-50)yrs",HR_table[[#This Row],[Age]]&lt;=60,"(51-60)yrs")</f>
        <v>(41-50)yrs</v>
      </c>
      <c r="C546" t="s">
        <v>43</v>
      </c>
      <c r="D546" t="s">
        <v>44</v>
      </c>
      <c r="E546" t="s">
        <v>37</v>
      </c>
      <c r="F546" t="s">
        <v>51</v>
      </c>
      <c r="G546" t="s">
        <v>40</v>
      </c>
      <c r="H546">
        <v>746</v>
      </c>
      <c r="I546" s="2">
        <v>3</v>
      </c>
      <c r="J546" s="2">
        <v>4</v>
      </c>
      <c r="K546" t="s">
        <v>39</v>
      </c>
      <c r="L546" s="2">
        <v>4</v>
      </c>
      <c r="M546" s="2">
        <v>3</v>
      </c>
      <c r="N546" t="s">
        <v>52</v>
      </c>
      <c r="O546" s="2">
        <v>13770</v>
      </c>
      <c r="P546" s="2">
        <v>10225</v>
      </c>
      <c r="Q546" s="2">
        <v>9</v>
      </c>
      <c r="R546" t="s">
        <v>35</v>
      </c>
      <c r="S546" s="2">
        <v>3</v>
      </c>
      <c r="T546" s="2">
        <v>4</v>
      </c>
      <c r="U546">
        <v>80</v>
      </c>
      <c r="V546" s="2">
        <v>28</v>
      </c>
      <c r="W546">
        <v>2</v>
      </c>
      <c r="X546">
        <v>2</v>
      </c>
      <c r="Y546">
        <v>22</v>
      </c>
      <c r="Z546">
        <v>2</v>
      </c>
      <c r="AA546">
        <v>11</v>
      </c>
      <c r="AB546">
        <v>13</v>
      </c>
    </row>
    <row r="547" spans="1:28" x14ac:dyDescent="0.35">
      <c r="A547" s="2">
        <v>30</v>
      </c>
      <c r="B547" s="2" t="str" cm="1">
        <f t="array" ref="B547">_xlfn.IFS(HR_table[[#This Row],[Age]]&lt;=20, "Under 20yrs",HR_table[[#This Row],[Age]]&lt;=30,"(21-30)yrs",HR_table[[#This Row],[Age]]&lt;=40,"(31-40)yrs",HR_table[[#This Row],[Age]]&lt;=50,"(41-50)yrs",HR_table[[#This Row],[Age]]&lt;=60,"(51-60)yrs")</f>
        <v>(21-30)yrs</v>
      </c>
      <c r="C547" t="s">
        <v>43</v>
      </c>
      <c r="D547" t="s">
        <v>36</v>
      </c>
      <c r="E547" t="s">
        <v>37</v>
      </c>
      <c r="F547" t="s">
        <v>59</v>
      </c>
      <c r="G547" t="s">
        <v>40</v>
      </c>
      <c r="H547">
        <v>747</v>
      </c>
      <c r="I547" s="2">
        <v>27</v>
      </c>
      <c r="J547" s="2">
        <v>3</v>
      </c>
      <c r="K547" t="s">
        <v>46</v>
      </c>
      <c r="L547" s="2">
        <v>2</v>
      </c>
      <c r="M547" s="2">
        <v>4</v>
      </c>
      <c r="N547" t="s">
        <v>52</v>
      </c>
      <c r="O547" s="2">
        <v>5304</v>
      </c>
      <c r="P547" s="2">
        <v>25275</v>
      </c>
      <c r="Q547" s="2">
        <v>7</v>
      </c>
      <c r="R547" t="s">
        <v>43</v>
      </c>
      <c r="S547" s="2">
        <v>4</v>
      </c>
      <c r="T547" s="2">
        <v>4</v>
      </c>
      <c r="U547">
        <v>80</v>
      </c>
      <c r="V547" s="2">
        <v>10</v>
      </c>
      <c r="W547">
        <v>2</v>
      </c>
      <c r="X547">
        <v>2</v>
      </c>
      <c r="Y547">
        <v>8</v>
      </c>
      <c r="Z547">
        <v>7</v>
      </c>
      <c r="AA547">
        <v>7</v>
      </c>
      <c r="AB547">
        <v>7</v>
      </c>
    </row>
    <row r="548" spans="1:28" x14ac:dyDescent="0.35">
      <c r="A548" s="2">
        <v>29</v>
      </c>
      <c r="B548" s="2" t="str" cm="1">
        <f t="array" ref="B548">_xlfn.IFS(HR_table[[#This Row],[Age]]&lt;=20, "Under 20yrs",HR_table[[#This Row],[Age]]&lt;=30,"(21-30)yrs",HR_table[[#This Row],[Age]]&lt;=40,"(31-40)yrs",HR_table[[#This Row],[Age]]&lt;=50,"(41-50)yrs",HR_table[[#This Row],[Age]]&lt;=60,"(51-60)yrs")</f>
        <v>(21-30)yrs</v>
      </c>
      <c r="C548" t="s">
        <v>43</v>
      </c>
      <c r="D548" t="s">
        <v>36</v>
      </c>
      <c r="E548" t="s">
        <v>37</v>
      </c>
      <c r="F548" t="s">
        <v>38</v>
      </c>
      <c r="G548" t="s">
        <v>57</v>
      </c>
      <c r="H548">
        <v>749</v>
      </c>
      <c r="I548" s="2">
        <v>10</v>
      </c>
      <c r="J548" s="2">
        <v>3</v>
      </c>
      <c r="K548" t="s">
        <v>46</v>
      </c>
      <c r="L548" s="2">
        <v>1</v>
      </c>
      <c r="M548" s="2">
        <v>3</v>
      </c>
      <c r="N548" t="s">
        <v>41</v>
      </c>
      <c r="O548" s="2">
        <v>2642</v>
      </c>
      <c r="P548" s="2">
        <v>2755</v>
      </c>
      <c r="Q548" s="2">
        <v>1</v>
      </c>
      <c r="R548" t="s">
        <v>43</v>
      </c>
      <c r="S548" s="2">
        <v>3</v>
      </c>
      <c r="T548" s="2">
        <v>3</v>
      </c>
      <c r="U548">
        <v>80</v>
      </c>
      <c r="V548" s="2">
        <v>1</v>
      </c>
      <c r="W548">
        <v>6</v>
      </c>
      <c r="X548">
        <v>3</v>
      </c>
      <c r="Y548">
        <v>1</v>
      </c>
      <c r="Z548">
        <v>0</v>
      </c>
      <c r="AA548">
        <v>0</v>
      </c>
      <c r="AB548">
        <v>0</v>
      </c>
    </row>
    <row r="549" spans="1:28" x14ac:dyDescent="0.35">
      <c r="A549" s="2">
        <v>42</v>
      </c>
      <c r="B549" s="2" t="str" cm="1">
        <f t="array" ref="B549">_xlfn.IFS(HR_table[[#This Row],[Age]]&lt;=20, "Under 20yrs",HR_table[[#This Row],[Age]]&lt;=30,"(21-30)yrs",HR_table[[#This Row],[Age]]&lt;=40,"(31-40)yrs",HR_table[[#This Row],[Age]]&lt;=50,"(41-50)yrs",HR_table[[#This Row],[Age]]&lt;=60,"(51-60)yrs")</f>
        <v>(41-50)yrs</v>
      </c>
      <c r="C549" t="s">
        <v>35</v>
      </c>
      <c r="D549" t="s">
        <v>44</v>
      </c>
      <c r="E549" t="s">
        <v>45</v>
      </c>
      <c r="F549" t="s">
        <v>51</v>
      </c>
      <c r="G549" t="s">
        <v>47</v>
      </c>
      <c r="H549">
        <v>752</v>
      </c>
      <c r="I549" s="2">
        <v>19</v>
      </c>
      <c r="J549" s="2">
        <v>3</v>
      </c>
      <c r="K549" t="s">
        <v>46</v>
      </c>
      <c r="L549" s="2">
        <v>1</v>
      </c>
      <c r="M549" s="2">
        <v>3</v>
      </c>
      <c r="N549" t="s">
        <v>52</v>
      </c>
      <c r="O549" s="2">
        <v>2759</v>
      </c>
      <c r="P549" s="2">
        <v>20366</v>
      </c>
      <c r="Q549" s="2">
        <v>6</v>
      </c>
      <c r="R549" t="s">
        <v>35</v>
      </c>
      <c r="S549" s="2">
        <v>3</v>
      </c>
      <c r="T549" s="2">
        <v>4</v>
      </c>
      <c r="U549">
        <v>80</v>
      </c>
      <c r="V549" s="2">
        <v>7</v>
      </c>
      <c r="W549">
        <v>2</v>
      </c>
      <c r="X549">
        <v>3</v>
      </c>
      <c r="Y549">
        <v>2</v>
      </c>
      <c r="Z549">
        <v>2</v>
      </c>
      <c r="AA549">
        <v>2</v>
      </c>
      <c r="AB549">
        <v>2</v>
      </c>
    </row>
    <row r="550" spans="1:28" x14ac:dyDescent="0.35">
      <c r="A550" s="2">
        <v>43</v>
      </c>
      <c r="B550" s="2" t="str" cm="1">
        <f t="array" ref="B550">_xlfn.IFS(HR_table[[#This Row],[Age]]&lt;=20, "Under 20yrs",HR_table[[#This Row],[Age]]&lt;=30,"(21-30)yrs",HR_table[[#This Row],[Age]]&lt;=40,"(31-40)yrs",HR_table[[#This Row],[Age]]&lt;=50,"(41-50)yrs",HR_table[[#This Row],[Age]]&lt;=60,"(51-60)yrs")</f>
        <v>(41-50)yrs</v>
      </c>
      <c r="C550" t="s">
        <v>43</v>
      </c>
      <c r="D550" t="s">
        <v>44</v>
      </c>
      <c r="E550" t="s">
        <v>37</v>
      </c>
      <c r="F550" t="s">
        <v>38</v>
      </c>
      <c r="G550" t="s">
        <v>40</v>
      </c>
      <c r="H550">
        <v>754</v>
      </c>
      <c r="I550" s="2">
        <v>15</v>
      </c>
      <c r="J550" s="2">
        <v>4</v>
      </c>
      <c r="K550" t="s">
        <v>46</v>
      </c>
      <c r="L550" s="2">
        <v>2</v>
      </c>
      <c r="M550" s="2">
        <v>4</v>
      </c>
      <c r="N550" t="s">
        <v>48</v>
      </c>
      <c r="O550" s="2">
        <v>6804</v>
      </c>
      <c r="P550" s="2">
        <v>23683</v>
      </c>
      <c r="Q550" s="2">
        <v>3</v>
      </c>
      <c r="R550" t="s">
        <v>43</v>
      </c>
      <c r="S550" s="2">
        <v>3</v>
      </c>
      <c r="T550" s="2">
        <v>3</v>
      </c>
      <c r="U550">
        <v>80</v>
      </c>
      <c r="V550" s="2">
        <v>7</v>
      </c>
      <c r="W550">
        <v>5</v>
      </c>
      <c r="X550">
        <v>3</v>
      </c>
      <c r="Y550">
        <v>2</v>
      </c>
      <c r="Z550">
        <v>2</v>
      </c>
      <c r="AA550">
        <v>2</v>
      </c>
      <c r="AB550">
        <v>2</v>
      </c>
    </row>
    <row r="551" spans="1:28" x14ac:dyDescent="0.35">
      <c r="A551" s="2">
        <v>34</v>
      </c>
      <c r="B551" s="2" t="str" cm="1">
        <f t="array" ref="B551">_xlfn.IFS(HR_table[[#This Row],[Age]]&lt;=20, "Under 20yrs",HR_table[[#This Row],[Age]]&lt;=30,"(21-30)yrs",HR_table[[#This Row],[Age]]&lt;=40,"(31-40)yrs",HR_table[[#This Row],[Age]]&lt;=50,"(41-50)yrs",HR_table[[#This Row],[Age]]&lt;=60,"(51-60)yrs")</f>
        <v>(31-40)yrs</v>
      </c>
      <c r="C551" t="s">
        <v>43</v>
      </c>
      <c r="D551" t="s">
        <v>36</v>
      </c>
      <c r="E551" t="s">
        <v>45</v>
      </c>
      <c r="F551" t="s">
        <v>51</v>
      </c>
      <c r="G551" t="s">
        <v>54</v>
      </c>
      <c r="H551">
        <v>757</v>
      </c>
      <c r="I551" s="2">
        <v>8</v>
      </c>
      <c r="J551" s="2">
        <v>2</v>
      </c>
      <c r="K551" t="s">
        <v>39</v>
      </c>
      <c r="L551" s="2">
        <v>2</v>
      </c>
      <c r="M551" s="2">
        <v>3</v>
      </c>
      <c r="N551" t="s">
        <v>41</v>
      </c>
      <c r="O551" s="2">
        <v>6142</v>
      </c>
      <c r="P551" s="2">
        <v>7360</v>
      </c>
      <c r="Q551" s="2">
        <v>3</v>
      </c>
      <c r="R551" t="s">
        <v>43</v>
      </c>
      <c r="S551" s="2">
        <v>3</v>
      </c>
      <c r="T551" s="2">
        <v>4</v>
      </c>
      <c r="U551">
        <v>80</v>
      </c>
      <c r="V551" s="2">
        <v>10</v>
      </c>
      <c r="W551">
        <v>2</v>
      </c>
      <c r="X551">
        <v>3</v>
      </c>
      <c r="Y551">
        <v>5</v>
      </c>
      <c r="Z551">
        <v>1</v>
      </c>
      <c r="AA551">
        <v>4</v>
      </c>
      <c r="AB551">
        <v>3</v>
      </c>
    </row>
    <row r="552" spans="1:28" x14ac:dyDescent="0.35">
      <c r="A552" s="2">
        <v>23</v>
      </c>
      <c r="B552" s="2" t="str" cm="1">
        <f t="array" ref="B552">_xlfn.IFS(HR_table[[#This Row],[Age]]&lt;=20, "Under 20yrs",HR_table[[#This Row],[Age]]&lt;=30,"(21-30)yrs",HR_table[[#This Row],[Age]]&lt;=40,"(31-40)yrs",HR_table[[#This Row],[Age]]&lt;=50,"(41-50)yrs",HR_table[[#This Row],[Age]]&lt;=60,"(51-60)yrs")</f>
        <v>(21-30)yrs</v>
      </c>
      <c r="C552" t="s">
        <v>43</v>
      </c>
      <c r="D552" t="s">
        <v>36</v>
      </c>
      <c r="E552" t="s">
        <v>45</v>
      </c>
      <c r="F552" t="s">
        <v>51</v>
      </c>
      <c r="G552" t="s">
        <v>50</v>
      </c>
      <c r="H552">
        <v>758</v>
      </c>
      <c r="I552" s="2">
        <v>9</v>
      </c>
      <c r="J552" s="2">
        <v>2</v>
      </c>
      <c r="K552" t="s">
        <v>46</v>
      </c>
      <c r="L552" s="2">
        <v>1</v>
      </c>
      <c r="M552" s="2">
        <v>1</v>
      </c>
      <c r="N552" t="s">
        <v>48</v>
      </c>
      <c r="O552" s="2">
        <v>2500</v>
      </c>
      <c r="P552" s="2">
        <v>4344</v>
      </c>
      <c r="Q552" s="2">
        <v>1</v>
      </c>
      <c r="R552" t="s">
        <v>43</v>
      </c>
      <c r="S552" s="2">
        <v>3</v>
      </c>
      <c r="T552" s="2">
        <v>4</v>
      </c>
      <c r="U552">
        <v>80</v>
      </c>
      <c r="V552" s="2">
        <v>5</v>
      </c>
      <c r="W552">
        <v>2</v>
      </c>
      <c r="X552">
        <v>4</v>
      </c>
      <c r="Y552">
        <v>4</v>
      </c>
      <c r="Z552">
        <v>3</v>
      </c>
      <c r="AA552">
        <v>0</v>
      </c>
      <c r="AB552">
        <v>2</v>
      </c>
    </row>
    <row r="553" spans="1:28" x14ac:dyDescent="0.35">
      <c r="A553" s="2">
        <v>39</v>
      </c>
      <c r="B553" s="2" t="str" cm="1">
        <f t="array" ref="B553">_xlfn.IFS(HR_table[[#This Row],[Age]]&lt;=20, "Under 20yrs",HR_table[[#This Row],[Age]]&lt;=30,"(21-30)yrs",HR_table[[#This Row],[Age]]&lt;=40,"(31-40)yrs",HR_table[[#This Row],[Age]]&lt;=50,"(41-50)yrs",HR_table[[#This Row],[Age]]&lt;=60,"(51-60)yrs")</f>
        <v>(31-40)yrs</v>
      </c>
      <c r="C553" t="s">
        <v>43</v>
      </c>
      <c r="D553" t="s">
        <v>36</v>
      </c>
      <c r="E553" t="s">
        <v>61</v>
      </c>
      <c r="F553" t="s">
        <v>61</v>
      </c>
      <c r="G553" t="s">
        <v>61</v>
      </c>
      <c r="H553">
        <v>760</v>
      </c>
      <c r="I553" s="2">
        <v>3</v>
      </c>
      <c r="J553" s="2">
        <v>3</v>
      </c>
      <c r="K553" t="s">
        <v>39</v>
      </c>
      <c r="L553" s="2">
        <v>2</v>
      </c>
      <c r="M553" s="2">
        <v>2</v>
      </c>
      <c r="N553" t="s">
        <v>48</v>
      </c>
      <c r="O553" s="2">
        <v>6389</v>
      </c>
      <c r="P553" s="2">
        <v>18767</v>
      </c>
      <c r="Q553" s="2">
        <v>9</v>
      </c>
      <c r="R553" t="s">
        <v>43</v>
      </c>
      <c r="S553" s="2">
        <v>3</v>
      </c>
      <c r="T553" s="2">
        <v>3</v>
      </c>
      <c r="U553">
        <v>80</v>
      </c>
      <c r="V553" s="2">
        <v>12</v>
      </c>
      <c r="W553">
        <v>3</v>
      </c>
      <c r="X553">
        <v>1</v>
      </c>
      <c r="Y553">
        <v>8</v>
      </c>
      <c r="Z553">
        <v>3</v>
      </c>
      <c r="AA553">
        <v>3</v>
      </c>
      <c r="AB553">
        <v>6</v>
      </c>
    </row>
    <row r="554" spans="1:28" x14ac:dyDescent="0.35">
      <c r="A554" s="2">
        <v>56</v>
      </c>
      <c r="B554" s="2" t="str" cm="1">
        <f t="array" ref="B554">_xlfn.IFS(HR_table[[#This Row],[Age]]&lt;=20, "Under 20yrs",HR_table[[#This Row],[Age]]&lt;=30,"(21-30)yrs",HR_table[[#This Row],[Age]]&lt;=40,"(31-40)yrs",HR_table[[#This Row],[Age]]&lt;=50,"(41-50)yrs",HR_table[[#This Row],[Age]]&lt;=60,"(51-60)yrs")</f>
        <v>(51-60)yrs</v>
      </c>
      <c r="C554" t="s">
        <v>43</v>
      </c>
      <c r="D554" t="s">
        <v>36</v>
      </c>
      <c r="E554" t="s">
        <v>45</v>
      </c>
      <c r="F554" t="s">
        <v>51</v>
      </c>
      <c r="G554" t="s">
        <v>54</v>
      </c>
      <c r="H554">
        <v>762</v>
      </c>
      <c r="I554" s="2">
        <v>9</v>
      </c>
      <c r="J554" s="2">
        <v>3</v>
      </c>
      <c r="K554" t="s">
        <v>46</v>
      </c>
      <c r="L554" s="2">
        <v>4</v>
      </c>
      <c r="M554" s="2">
        <v>4</v>
      </c>
      <c r="N554" t="s">
        <v>48</v>
      </c>
      <c r="O554" s="2">
        <v>11103</v>
      </c>
      <c r="P554" s="2">
        <v>20420</v>
      </c>
      <c r="Q554" s="2">
        <v>7</v>
      </c>
      <c r="R554" t="s">
        <v>43</v>
      </c>
      <c r="S554" s="2">
        <v>3</v>
      </c>
      <c r="T554" s="2">
        <v>3</v>
      </c>
      <c r="U554">
        <v>80</v>
      </c>
      <c r="V554" s="2">
        <v>30</v>
      </c>
      <c r="W554">
        <v>1</v>
      </c>
      <c r="X554">
        <v>2</v>
      </c>
      <c r="Y554">
        <v>10</v>
      </c>
      <c r="Z554">
        <v>7</v>
      </c>
      <c r="AA554">
        <v>1</v>
      </c>
      <c r="AB554">
        <v>1</v>
      </c>
    </row>
    <row r="555" spans="1:28" x14ac:dyDescent="0.35">
      <c r="A555" s="2">
        <v>40</v>
      </c>
      <c r="B555" s="2" t="str" cm="1">
        <f t="array" ref="B555">_xlfn.IFS(HR_table[[#This Row],[Age]]&lt;=20, "Under 20yrs",HR_table[[#This Row],[Age]]&lt;=30,"(21-30)yrs",HR_table[[#This Row],[Age]]&lt;=40,"(31-40)yrs",HR_table[[#This Row],[Age]]&lt;=50,"(41-50)yrs",HR_table[[#This Row],[Age]]&lt;=60,"(51-60)yrs")</f>
        <v>(31-40)yrs</v>
      </c>
      <c r="C555" t="s">
        <v>43</v>
      </c>
      <c r="D555" t="s">
        <v>36</v>
      </c>
      <c r="E555" t="s">
        <v>45</v>
      </c>
      <c r="F555" t="s">
        <v>51</v>
      </c>
      <c r="G555" t="s">
        <v>47</v>
      </c>
      <c r="H555">
        <v>763</v>
      </c>
      <c r="I555" s="2">
        <v>2</v>
      </c>
      <c r="J555" s="2">
        <v>4</v>
      </c>
      <c r="K555" t="s">
        <v>39</v>
      </c>
      <c r="L555" s="2">
        <v>1</v>
      </c>
      <c r="M555" s="2">
        <v>4</v>
      </c>
      <c r="N555" t="s">
        <v>41</v>
      </c>
      <c r="O555" s="2">
        <v>2342</v>
      </c>
      <c r="P555" s="2">
        <v>22929</v>
      </c>
      <c r="Q555" s="2">
        <v>0</v>
      </c>
      <c r="R555" t="s">
        <v>35</v>
      </c>
      <c r="S555" s="2">
        <v>4</v>
      </c>
      <c r="T555" s="2">
        <v>4</v>
      </c>
      <c r="U555">
        <v>80</v>
      </c>
      <c r="V555" s="2">
        <v>5</v>
      </c>
      <c r="W555">
        <v>2</v>
      </c>
      <c r="X555">
        <v>2</v>
      </c>
      <c r="Y555">
        <v>4</v>
      </c>
      <c r="Z555">
        <v>2</v>
      </c>
      <c r="AA555">
        <v>2</v>
      </c>
      <c r="AB555">
        <v>3</v>
      </c>
    </row>
    <row r="556" spans="1:28" x14ac:dyDescent="0.35">
      <c r="A556" s="2">
        <v>27</v>
      </c>
      <c r="B556" s="2" t="str" cm="1">
        <f t="array" ref="B556">_xlfn.IFS(HR_table[[#This Row],[Age]]&lt;=20, "Under 20yrs",HR_table[[#This Row],[Age]]&lt;=30,"(21-30)yrs",HR_table[[#This Row],[Age]]&lt;=40,"(31-40)yrs",HR_table[[#This Row],[Age]]&lt;=50,"(41-50)yrs",HR_table[[#This Row],[Age]]&lt;=60,"(51-60)yrs")</f>
        <v>(21-30)yrs</v>
      </c>
      <c r="C556" t="s">
        <v>43</v>
      </c>
      <c r="D556" t="s">
        <v>36</v>
      </c>
      <c r="E556" t="s">
        <v>45</v>
      </c>
      <c r="F556" t="s">
        <v>51</v>
      </c>
      <c r="G556" t="s">
        <v>54</v>
      </c>
      <c r="H556">
        <v>764</v>
      </c>
      <c r="I556" s="2">
        <v>7</v>
      </c>
      <c r="J556" s="2">
        <v>4</v>
      </c>
      <c r="K556" t="s">
        <v>39</v>
      </c>
      <c r="L556" s="2">
        <v>2</v>
      </c>
      <c r="M556" s="2">
        <v>1</v>
      </c>
      <c r="N556" t="s">
        <v>41</v>
      </c>
      <c r="O556" s="2">
        <v>6811</v>
      </c>
      <c r="P556" s="2">
        <v>23398</v>
      </c>
      <c r="Q556" s="2">
        <v>8</v>
      </c>
      <c r="R556" t="s">
        <v>43</v>
      </c>
      <c r="S556" s="2">
        <v>3</v>
      </c>
      <c r="T556" s="2">
        <v>1</v>
      </c>
      <c r="U556">
        <v>80</v>
      </c>
      <c r="V556" s="2">
        <v>9</v>
      </c>
      <c r="W556">
        <v>2</v>
      </c>
      <c r="X556">
        <v>1</v>
      </c>
      <c r="Y556">
        <v>7</v>
      </c>
      <c r="Z556">
        <v>6</v>
      </c>
      <c r="AA556">
        <v>0</v>
      </c>
      <c r="AB556">
        <v>7</v>
      </c>
    </row>
    <row r="557" spans="1:28" x14ac:dyDescent="0.35">
      <c r="A557" s="2">
        <v>29</v>
      </c>
      <c r="B557" s="2" t="str" cm="1">
        <f t="array" ref="B557">_xlfn.IFS(HR_table[[#This Row],[Age]]&lt;=20, "Under 20yrs",HR_table[[#This Row],[Age]]&lt;=30,"(21-30)yrs",HR_table[[#This Row],[Age]]&lt;=40,"(31-40)yrs",HR_table[[#This Row],[Age]]&lt;=50,"(41-50)yrs",HR_table[[#This Row],[Age]]&lt;=60,"(51-60)yrs")</f>
        <v>(21-30)yrs</v>
      </c>
      <c r="C557" t="s">
        <v>43</v>
      </c>
      <c r="D557" t="s">
        <v>36</v>
      </c>
      <c r="E557" t="s">
        <v>37</v>
      </c>
      <c r="F557" t="s">
        <v>59</v>
      </c>
      <c r="G557" t="s">
        <v>57</v>
      </c>
      <c r="H557">
        <v>766</v>
      </c>
      <c r="I557" s="2">
        <v>10</v>
      </c>
      <c r="J557" s="2">
        <v>4</v>
      </c>
      <c r="K557" t="s">
        <v>46</v>
      </c>
      <c r="L557" s="2">
        <v>1</v>
      </c>
      <c r="M557" s="2">
        <v>2</v>
      </c>
      <c r="N557" t="s">
        <v>52</v>
      </c>
      <c r="O557" s="2">
        <v>2297</v>
      </c>
      <c r="P557" s="2">
        <v>17967</v>
      </c>
      <c r="Q557" s="2">
        <v>1</v>
      </c>
      <c r="R557" t="s">
        <v>43</v>
      </c>
      <c r="S557" s="2">
        <v>3</v>
      </c>
      <c r="T557" s="2">
        <v>4</v>
      </c>
      <c r="U557">
        <v>80</v>
      </c>
      <c r="V557" s="2">
        <v>2</v>
      </c>
      <c r="W557">
        <v>2</v>
      </c>
      <c r="X557">
        <v>3</v>
      </c>
      <c r="Y557">
        <v>2</v>
      </c>
      <c r="Z557">
        <v>2</v>
      </c>
      <c r="AA557">
        <v>2</v>
      </c>
      <c r="AB557">
        <v>2</v>
      </c>
    </row>
    <row r="558" spans="1:28" x14ac:dyDescent="0.35">
      <c r="A558" s="2">
        <v>53</v>
      </c>
      <c r="B558" s="2" t="str" cm="1">
        <f t="array" ref="B558">_xlfn.IFS(HR_table[[#This Row],[Age]]&lt;=20, "Under 20yrs",HR_table[[#This Row],[Age]]&lt;=30,"(21-30)yrs",HR_table[[#This Row],[Age]]&lt;=40,"(31-40)yrs",HR_table[[#This Row],[Age]]&lt;=50,"(41-50)yrs",HR_table[[#This Row],[Age]]&lt;=60,"(51-60)yrs")</f>
        <v>(51-60)yrs</v>
      </c>
      <c r="C558" t="s">
        <v>43</v>
      </c>
      <c r="D558" t="s">
        <v>36</v>
      </c>
      <c r="E558" t="s">
        <v>45</v>
      </c>
      <c r="F558" t="s">
        <v>38</v>
      </c>
      <c r="G558" t="s">
        <v>50</v>
      </c>
      <c r="H558">
        <v>769</v>
      </c>
      <c r="I558" s="2">
        <v>6</v>
      </c>
      <c r="J558" s="2">
        <v>4</v>
      </c>
      <c r="K558" t="s">
        <v>46</v>
      </c>
      <c r="L558" s="2">
        <v>2</v>
      </c>
      <c r="M558" s="2">
        <v>4</v>
      </c>
      <c r="N558" t="s">
        <v>41</v>
      </c>
      <c r="O558" s="2">
        <v>2450</v>
      </c>
      <c r="P558" s="2">
        <v>10919</v>
      </c>
      <c r="Q558" s="2">
        <v>2</v>
      </c>
      <c r="R558" t="s">
        <v>43</v>
      </c>
      <c r="S558" s="2">
        <v>3</v>
      </c>
      <c r="T558" s="2">
        <v>4</v>
      </c>
      <c r="U558">
        <v>80</v>
      </c>
      <c r="V558" s="2">
        <v>19</v>
      </c>
      <c r="W558">
        <v>4</v>
      </c>
      <c r="X558">
        <v>3</v>
      </c>
      <c r="Y558">
        <v>2</v>
      </c>
      <c r="Z558">
        <v>2</v>
      </c>
      <c r="AA558">
        <v>2</v>
      </c>
      <c r="AB558">
        <v>2</v>
      </c>
    </row>
    <row r="559" spans="1:28" x14ac:dyDescent="0.35">
      <c r="A559" s="2">
        <v>35</v>
      </c>
      <c r="B559" s="2" t="str" cm="1">
        <f t="array" ref="B559">_xlfn.IFS(HR_table[[#This Row],[Age]]&lt;=20, "Under 20yrs",HR_table[[#This Row],[Age]]&lt;=30,"(21-30)yrs",HR_table[[#This Row],[Age]]&lt;=40,"(31-40)yrs",HR_table[[#This Row],[Age]]&lt;=50,"(41-50)yrs",HR_table[[#This Row],[Age]]&lt;=60,"(51-60)yrs")</f>
        <v>(31-40)yrs</v>
      </c>
      <c r="C559" t="s">
        <v>43</v>
      </c>
      <c r="D559" t="s">
        <v>55</v>
      </c>
      <c r="E559" t="s">
        <v>45</v>
      </c>
      <c r="F559" t="s">
        <v>38</v>
      </c>
      <c r="G559" t="s">
        <v>54</v>
      </c>
      <c r="H559">
        <v>771</v>
      </c>
      <c r="I559" s="2">
        <v>2</v>
      </c>
      <c r="J559" s="2">
        <v>4</v>
      </c>
      <c r="K559" t="s">
        <v>39</v>
      </c>
      <c r="L559" s="2">
        <v>2</v>
      </c>
      <c r="M559" s="2">
        <v>1</v>
      </c>
      <c r="N559" t="s">
        <v>52</v>
      </c>
      <c r="O559" s="2">
        <v>5093</v>
      </c>
      <c r="P559" s="2">
        <v>4761</v>
      </c>
      <c r="Q559" s="2">
        <v>2</v>
      </c>
      <c r="R559" t="s">
        <v>43</v>
      </c>
      <c r="S559" s="2">
        <v>3</v>
      </c>
      <c r="T559" s="2">
        <v>1</v>
      </c>
      <c r="U559">
        <v>80</v>
      </c>
      <c r="V559" s="2">
        <v>16</v>
      </c>
      <c r="W559">
        <v>2</v>
      </c>
      <c r="X559">
        <v>4</v>
      </c>
      <c r="Y559">
        <v>1</v>
      </c>
      <c r="Z559">
        <v>0</v>
      </c>
      <c r="AA559">
        <v>0</v>
      </c>
      <c r="AB559">
        <v>0</v>
      </c>
    </row>
    <row r="560" spans="1:28" x14ac:dyDescent="0.35">
      <c r="A560" s="2">
        <v>32</v>
      </c>
      <c r="B560" s="2" t="str" cm="1">
        <f t="array" ref="B560">_xlfn.IFS(HR_table[[#This Row],[Age]]&lt;=20, "Under 20yrs",HR_table[[#This Row],[Age]]&lt;=30,"(21-30)yrs",HR_table[[#This Row],[Age]]&lt;=40,"(31-40)yrs",HR_table[[#This Row],[Age]]&lt;=50,"(41-50)yrs",HR_table[[#This Row],[Age]]&lt;=60,"(51-60)yrs")</f>
        <v>(31-40)yrs</v>
      </c>
      <c r="C560" t="s">
        <v>43</v>
      </c>
      <c r="D560" t="s">
        <v>44</v>
      </c>
      <c r="E560" t="s">
        <v>45</v>
      </c>
      <c r="F560" t="s">
        <v>38</v>
      </c>
      <c r="G560" t="s">
        <v>50</v>
      </c>
      <c r="H560">
        <v>772</v>
      </c>
      <c r="I560" s="2">
        <v>24</v>
      </c>
      <c r="J560" s="2">
        <v>1</v>
      </c>
      <c r="K560" t="s">
        <v>46</v>
      </c>
      <c r="L560" s="2">
        <v>2</v>
      </c>
      <c r="M560" s="2">
        <v>4</v>
      </c>
      <c r="N560" t="s">
        <v>48</v>
      </c>
      <c r="O560" s="2">
        <v>5309</v>
      </c>
      <c r="P560" s="2">
        <v>21146</v>
      </c>
      <c r="Q560" s="2">
        <v>1</v>
      </c>
      <c r="R560" t="s">
        <v>43</v>
      </c>
      <c r="S560" s="2">
        <v>3</v>
      </c>
      <c r="T560" s="2">
        <v>4</v>
      </c>
      <c r="U560">
        <v>80</v>
      </c>
      <c r="V560" s="2">
        <v>10</v>
      </c>
      <c r="W560">
        <v>2</v>
      </c>
      <c r="X560">
        <v>3</v>
      </c>
      <c r="Y560">
        <v>10</v>
      </c>
      <c r="Z560">
        <v>8</v>
      </c>
      <c r="AA560">
        <v>4</v>
      </c>
      <c r="AB560">
        <v>7</v>
      </c>
    </row>
    <row r="561" spans="1:28" x14ac:dyDescent="0.35">
      <c r="A561" s="2">
        <v>38</v>
      </c>
      <c r="B561" s="2" t="str" cm="1">
        <f t="array" ref="B561">_xlfn.IFS(HR_table[[#This Row],[Age]]&lt;=20, "Under 20yrs",HR_table[[#This Row],[Age]]&lt;=30,"(21-30)yrs",HR_table[[#This Row],[Age]]&lt;=40,"(31-40)yrs",HR_table[[#This Row],[Age]]&lt;=50,"(41-50)yrs",HR_table[[#This Row],[Age]]&lt;=60,"(51-60)yrs")</f>
        <v>(31-40)yrs</v>
      </c>
      <c r="C561" t="s">
        <v>43</v>
      </c>
      <c r="D561" t="s">
        <v>36</v>
      </c>
      <c r="E561" t="s">
        <v>45</v>
      </c>
      <c r="F561" t="s">
        <v>51</v>
      </c>
      <c r="G561" t="s">
        <v>47</v>
      </c>
      <c r="H561">
        <v>773</v>
      </c>
      <c r="I561" s="2">
        <v>2</v>
      </c>
      <c r="J561" s="2">
        <v>4</v>
      </c>
      <c r="K561" t="s">
        <v>46</v>
      </c>
      <c r="L561" s="2">
        <v>1</v>
      </c>
      <c r="M561" s="2">
        <v>3</v>
      </c>
      <c r="N561" t="s">
        <v>48</v>
      </c>
      <c r="O561" s="2">
        <v>3057</v>
      </c>
      <c r="P561" s="2">
        <v>20471</v>
      </c>
      <c r="Q561" s="2">
        <v>6</v>
      </c>
      <c r="R561" t="s">
        <v>35</v>
      </c>
      <c r="S561" s="2">
        <v>3</v>
      </c>
      <c r="T561" s="2">
        <v>2</v>
      </c>
      <c r="U561">
        <v>80</v>
      </c>
      <c r="V561" s="2">
        <v>6</v>
      </c>
      <c r="W561">
        <v>0</v>
      </c>
      <c r="X561">
        <v>1</v>
      </c>
      <c r="Y561">
        <v>1</v>
      </c>
      <c r="Z561">
        <v>0</v>
      </c>
      <c r="AA561">
        <v>0</v>
      </c>
      <c r="AB561">
        <v>1</v>
      </c>
    </row>
    <row r="562" spans="1:28" x14ac:dyDescent="0.35">
      <c r="A562" s="2">
        <v>34</v>
      </c>
      <c r="B562" s="2" t="str" cm="1">
        <f t="array" ref="B562">_xlfn.IFS(HR_table[[#This Row],[Age]]&lt;=20, "Under 20yrs",HR_table[[#This Row],[Age]]&lt;=30,"(21-30)yrs",HR_table[[#This Row],[Age]]&lt;=40,"(31-40)yrs",HR_table[[#This Row],[Age]]&lt;=50,"(41-50)yrs",HR_table[[#This Row],[Age]]&lt;=60,"(51-60)yrs")</f>
        <v>(31-40)yrs</v>
      </c>
      <c r="C562" t="s">
        <v>43</v>
      </c>
      <c r="D562" t="s">
        <v>36</v>
      </c>
      <c r="E562" t="s">
        <v>45</v>
      </c>
      <c r="F562" t="s">
        <v>38</v>
      </c>
      <c r="G562" t="s">
        <v>53</v>
      </c>
      <c r="H562">
        <v>775</v>
      </c>
      <c r="I562" s="2">
        <v>8</v>
      </c>
      <c r="J562" s="2">
        <v>2</v>
      </c>
      <c r="K562" t="s">
        <v>39</v>
      </c>
      <c r="L562" s="2">
        <v>2</v>
      </c>
      <c r="M562" s="2">
        <v>1</v>
      </c>
      <c r="N562" t="s">
        <v>52</v>
      </c>
      <c r="O562" s="2">
        <v>5121</v>
      </c>
      <c r="P562" s="2">
        <v>4187</v>
      </c>
      <c r="Q562" s="2">
        <v>3</v>
      </c>
      <c r="R562" t="s">
        <v>43</v>
      </c>
      <c r="S562" s="2">
        <v>3</v>
      </c>
      <c r="T562" s="2">
        <v>3</v>
      </c>
      <c r="U562">
        <v>80</v>
      </c>
      <c r="V562" s="2">
        <v>7</v>
      </c>
      <c r="W562">
        <v>3</v>
      </c>
      <c r="X562">
        <v>3</v>
      </c>
      <c r="Y562">
        <v>0</v>
      </c>
      <c r="Z562">
        <v>0</v>
      </c>
      <c r="AA562">
        <v>0</v>
      </c>
      <c r="AB562">
        <v>0</v>
      </c>
    </row>
    <row r="563" spans="1:28" x14ac:dyDescent="0.35">
      <c r="A563" s="2">
        <v>52</v>
      </c>
      <c r="B563" s="2" t="str" cm="1">
        <f t="array" ref="B563">_xlfn.IFS(HR_table[[#This Row],[Age]]&lt;=20, "Under 20yrs",HR_table[[#This Row],[Age]]&lt;=30,"(21-30)yrs",HR_table[[#This Row],[Age]]&lt;=40,"(31-40)yrs",HR_table[[#This Row],[Age]]&lt;=50,"(41-50)yrs",HR_table[[#This Row],[Age]]&lt;=60,"(51-60)yrs")</f>
        <v>(51-60)yrs</v>
      </c>
      <c r="C563" t="s">
        <v>43</v>
      </c>
      <c r="D563" t="s">
        <v>36</v>
      </c>
      <c r="E563" t="s">
        <v>37</v>
      </c>
      <c r="F563" t="s">
        <v>59</v>
      </c>
      <c r="G563" t="s">
        <v>56</v>
      </c>
      <c r="H563">
        <v>776</v>
      </c>
      <c r="I563" s="2">
        <v>3</v>
      </c>
      <c r="J563" s="2">
        <v>3</v>
      </c>
      <c r="K563" t="s">
        <v>46</v>
      </c>
      <c r="L563" s="2">
        <v>4</v>
      </c>
      <c r="M563" s="2">
        <v>1</v>
      </c>
      <c r="N563" t="s">
        <v>48</v>
      </c>
      <c r="O563" s="2">
        <v>16856</v>
      </c>
      <c r="P563" s="2">
        <v>10084</v>
      </c>
      <c r="Q563" s="2">
        <v>1</v>
      </c>
      <c r="R563" t="s">
        <v>43</v>
      </c>
      <c r="S563" s="2">
        <v>3</v>
      </c>
      <c r="T563" s="2">
        <v>1</v>
      </c>
      <c r="U563">
        <v>80</v>
      </c>
      <c r="V563" s="2">
        <v>34</v>
      </c>
      <c r="W563">
        <v>3</v>
      </c>
      <c r="X563">
        <v>4</v>
      </c>
      <c r="Y563">
        <v>34</v>
      </c>
      <c r="Z563">
        <v>6</v>
      </c>
      <c r="AA563">
        <v>1</v>
      </c>
      <c r="AB563">
        <v>16</v>
      </c>
    </row>
    <row r="564" spans="1:28" x14ac:dyDescent="0.35">
      <c r="A564" s="2">
        <v>33</v>
      </c>
      <c r="B564" s="2" t="str" cm="1">
        <f t="array" ref="B564">_xlfn.IFS(HR_table[[#This Row],[Age]]&lt;=20, "Under 20yrs",HR_table[[#This Row],[Age]]&lt;=30,"(21-30)yrs",HR_table[[#This Row],[Age]]&lt;=40,"(31-40)yrs",HR_table[[#This Row],[Age]]&lt;=50,"(41-50)yrs",HR_table[[#This Row],[Age]]&lt;=60,"(51-60)yrs")</f>
        <v>(31-40)yrs</v>
      </c>
      <c r="C564" t="s">
        <v>35</v>
      </c>
      <c r="D564" t="s">
        <v>36</v>
      </c>
      <c r="E564" t="s">
        <v>45</v>
      </c>
      <c r="F564" t="s">
        <v>49</v>
      </c>
      <c r="G564" t="s">
        <v>47</v>
      </c>
      <c r="H564">
        <v>780</v>
      </c>
      <c r="I564" s="2">
        <v>1</v>
      </c>
      <c r="J564" s="2">
        <v>4</v>
      </c>
      <c r="K564" t="s">
        <v>46</v>
      </c>
      <c r="L564" s="2">
        <v>1</v>
      </c>
      <c r="M564" s="2">
        <v>4</v>
      </c>
      <c r="N564" t="s">
        <v>41</v>
      </c>
      <c r="O564" s="2">
        <v>2686</v>
      </c>
      <c r="P564" s="2">
        <v>5207</v>
      </c>
      <c r="Q564" s="2">
        <v>1</v>
      </c>
      <c r="R564" t="s">
        <v>35</v>
      </c>
      <c r="S564" s="2">
        <v>3</v>
      </c>
      <c r="T564" s="2">
        <v>3</v>
      </c>
      <c r="U564">
        <v>80</v>
      </c>
      <c r="V564" s="2">
        <v>10</v>
      </c>
      <c r="W564">
        <v>2</v>
      </c>
      <c r="X564">
        <v>2</v>
      </c>
      <c r="Y564">
        <v>10</v>
      </c>
      <c r="Z564">
        <v>9</v>
      </c>
      <c r="AA564">
        <v>7</v>
      </c>
      <c r="AB564">
        <v>8</v>
      </c>
    </row>
    <row r="565" spans="1:28" x14ac:dyDescent="0.35">
      <c r="A565" s="2">
        <v>25</v>
      </c>
      <c r="B565" s="2" t="str" cm="1">
        <f t="array" ref="B565">_xlfn.IFS(HR_table[[#This Row],[Age]]&lt;=20, "Under 20yrs",HR_table[[#This Row],[Age]]&lt;=30,"(21-30)yrs",HR_table[[#This Row],[Age]]&lt;=40,"(31-40)yrs",HR_table[[#This Row],[Age]]&lt;=50,"(41-50)yrs",HR_table[[#This Row],[Age]]&lt;=60,"(51-60)yrs")</f>
        <v>(21-30)yrs</v>
      </c>
      <c r="C565" t="s">
        <v>43</v>
      </c>
      <c r="D565" t="s">
        <v>36</v>
      </c>
      <c r="E565" t="s">
        <v>37</v>
      </c>
      <c r="F565" t="s">
        <v>51</v>
      </c>
      <c r="G565" t="s">
        <v>40</v>
      </c>
      <c r="H565">
        <v>781</v>
      </c>
      <c r="I565" s="2">
        <v>26</v>
      </c>
      <c r="J565" s="2">
        <v>3</v>
      </c>
      <c r="K565" t="s">
        <v>39</v>
      </c>
      <c r="L565" s="2">
        <v>2</v>
      </c>
      <c r="M565" s="2">
        <v>4</v>
      </c>
      <c r="N565" t="s">
        <v>41</v>
      </c>
      <c r="O565" s="2">
        <v>6180</v>
      </c>
      <c r="P565" s="2">
        <v>22807</v>
      </c>
      <c r="Q565" s="2">
        <v>1</v>
      </c>
      <c r="R565" t="s">
        <v>43</v>
      </c>
      <c r="S565" s="2">
        <v>4</v>
      </c>
      <c r="T565" s="2">
        <v>2</v>
      </c>
      <c r="U565">
        <v>80</v>
      </c>
      <c r="V565" s="2">
        <v>6</v>
      </c>
      <c r="W565">
        <v>5</v>
      </c>
      <c r="X565">
        <v>2</v>
      </c>
      <c r="Y565">
        <v>6</v>
      </c>
      <c r="Z565">
        <v>5</v>
      </c>
      <c r="AA565">
        <v>1</v>
      </c>
      <c r="AB565">
        <v>4</v>
      </c>
    </row>
    <row r="566" spans="1:28" x14ac:dyDescent="0.35">
      <c r="A566" s="2">
        <v>45</v>
      </c>
      <c r="B566" s="2" t="str" cm="1">
        <f t="array" ref="B566">_xlfn.IFS(HR_table[[#This Row],[Age]]&lt;=20, "Under 20yrs",HR_table[[#This Row],[Age]]&lt;=30,"(21-30)yrs",HR_table[[#This Row],[Age]]&lt;=40,"(31-40)yrs",HR_table[[#This Row],[Age]]&lt;=50,"(41-50)yrs",HR_table[[#This Row],[Age]]&lt;=60,"(51-60)yrs")</f>
        <v>(41-50)yrs</v>
      </c>
      <c r="C566" t="s">
        <v>43</v>
      </c>
      <c r="D566" t="s">
        <v>36</v>
      </c>
      <c r="E566" t="s">
        <v>37</v>
      </c>
      <c r="F566" t="s">
        <v>60</v>
      </c>
      <c r="G566" t="s">
        <v>57</v>
      </c>
      <c r="H566">
        <v>783</v>
      </c>
      <c r="I566" s="2">
        <v>2</v>
      </c>
      <c r="J566" s="2">
        <v>2</v>
      </c>
      <c r="K566" t="s">
        <v>46</v>
      </c>
      <c r="L566" s="2">
        <v>2</v>
      </c>
      <c r="M566" s="2">
        <v>3</v>
      </c>
      <c r="N566" t="s">
        <v>41</v>
      </c>
      <c r="O566" s="2">
        <v>6632</v>
      </c>
      <c r="P566" s="2">
        <v>12388</v>
      </c>
      <c r="Q566" s="2">
        <v>0</v>
      </c>
      <c r="R566" t="s">
        <v>43</v>
      </c>
      <c r="S566" s="2">
        <v>3</v>
      </c>
      <c r="T566" s="2">
        <v>1</v>
      </c>
      <c r="U566">
        <v>80</v>
      </c>
      <c r="V566" s="2">
        <v>9</v>
      </c>
      <c r="W566">
        <v>3</v>
      </c>
      <c r="X566">
        <v>3</v>
      </c>
      <c r="Y566">
        <v>8</v>
      </c>
      <c r="Z566">
        <v>7</v>
      </c>
      <c r="AA566">
        <v>3</v>
      </c>
      <c r="AB566">
        <v>1</v>
      </c>
    </row>
    <row r="567" spans="1:28" x14ac:dyDescent="0.35">
      <c r="A567" s="2">
        <v>23</v>
      </c>
      <c r="B567" s="2" t="str" cm="1">
        <f t="array" ref="B567">_xlfn.IFS(HR_table[[#This Row],[Age]]&lt;=20, "Under 20yrs",HR_table[[#This Row],[Age]]&lt;=30,"(21-30)yrs",HR_table[[#This Row],[Age]]&lt;=40,"(31-40)yrs",HR_table[[#This Row],[Age]]&lt;=50,"(41-50)yrs",HR_table[[#This Row],[Age]]&lt;=60,"(51-60)yrs")</f>
        <v>(21-30)yrs</v>
      </c>
      <c r="C567" t="s">
        <v>43</v>
      </c>
      <c r="D567" t="s">
        <v>36</v>
      </c>
      <c r="E567" t="s">
        <v>45</v>
      </c>
      <c r="F567" t="s">
        <v>51</v>
      </c>
      <c r="G567" t="s">
        <v>47</v>
      </c>
      <c r="H567">
        <v>784</v>
      </c>
      <c r="I567" s="2">
        <v>10</v>
      </c>
      <c r="J567" s="2">
        <v>1</v>
      </c>
      <c r="K567" t="s">
        <v>46</v>
      </c>
      <c r="L567" s="2">
        <v>1</v>
      </c>
      <c r="M567" s="2">
        <v>3</v>
      </c>
      <c r="N567" t="s">
        <v>41</v>
      </c>
      <c r="O567" s="2">
        <v>3505</v>
      </c>
      <c r="P567" s="2">
        <v>19630</v>
      </c>
      <c r="Q567" s="2">
        <v>1</v>
      </c>
      <c r="R567" t="s">
        <v>43</v>
      </c>
      <c r="S567" s="2">
        <v>3</v>
      </c>
      <c r="T567" s="2">
        <v>4</v>
      </c>
      <c r="U567">
        <v>80</v>
      </c>
      <c r="V567" s="2">
        <v>2</v>
      </c>
      <c r="W567">
        <v>3</v>
      </c>
      <c r="X567">
        <v>3</v>
      </c>
      <c r="Y567">
        <v>2</v>
      </c>
      <c r="Z567">
        <v>2</v>
      </c>
      <c r="AA567">
        <v>0</v>
      </c>
      <c r="AB567">
        <v>2</v>
      </c>
    </row>
    <row r="568" spans="1:28" x14ac:dyDescent="0.35">
      <c r="A568" s="2">
        <v>47</v>
      </c>
      <c r="B568" s="2" t="str" cm="1">
        <f t="array" ref="B568">_xlfn.IFS(HR_table[[#This Row],[Age]]&lt;=20, "Under 20yrs",HR_table[[#This Row],[Age]]&lt;=30,"(21-30)yrs",HR_table[[#This Row],[Age]]&lt;=40,"(31-40)yrs",HR_table[[#This Row],[Age]]&lt;=50,"(41-50)yrs",HR_table[[#This Row],[Age]]&lt;=60,"(51-60)yrs")</f>
        <v>(41-50)yrs</v>
      </c>
      <c r="C568" t="s">
        <v>35</v>
      </c>
      <c r="D568" t="s">
        <v>44</v>
      </c>
      <c r="E568" t="s">
        <v>37</v>
      </c>
      <c r="F568" t="s">
        <v>38</v>
      </c>
      <c r="G568" t="s">
        <v>40</v>
      </c>
      <c r="H568">
        <v>785</v>
      </c>
      <c r="I568" s="2">
        <v>27</v>
      </c>
      <c r="J568" s="2">
        <v>2</v>
      </c>
      <c r="K568" t="s">
        <v>39</v>
      </c>
      <c r="L568" s="2">
        <v>2</v>
      </c>
      <c r="M568" s="2">
        <v>3</v>
      </c>
      <c r="N568" t="s">
        <v>41</v>
      </c>
      <c r="O568" s="2">
        <v>6397</v>
      </c>
      <c r="P568" s="2">
        <v>10339</v>
      </c>
      <c r="Q568" s="2">
        <v>4</v>
      </c>
      <c r="R568" t="s">
        <v>35</v>
      </c>
      <c r="S568" s="2">
        <v>3</v>
      </c>
      <c r="T568" s="2">
        <v>4</v>
      </c>
      <c r="U568">
        <v>80</v>
      </c>
      <c r="V568" s="2">
        <v>8</v>
      </c>
      <c r="W568">
        <v>2</v>
      </c>
      <c r="X568">
        <v>3</v>
      </c>
      <c r="Y568">
        <v>5</v>
      </c>
      <c r="Z568">
        <v>4</v>
      </c>
      <c r="AA568">
        <v>1</v>
      </c>
      <c r="AB568">
        <v>3</v>
      </c>
    </row>
    <row r="569" spans="1:28" x14ac:dyDescent="0.35">
      <c r="A569" s="2">
        <v>34</v>
      </c>
      <c r="B569" s="2" t="str" cm="1">
        <f t="array" ref="B569">_xlfn.IFS(HR_table[[#This Row],[Age]]&lt;=20, "Under 20yrs",HR_table[[#This Row],[Age]]&lt;=30,"(21-30)yrs",HR_table[[#This Row],[Age]]&lt;=40,"(31-40)yrs",HR_table[[#This Row],[Age]]&lt;=50,"(41-50)yrs",HR_table[[#This Row],[Age]]&lt;=60,"(51-60)yrs")</f>
        <v>(31-40)yrs</v>
      </c>
      <c r="C569" t="s">
        <v>43</v>
      </c>
      <c r="D569" t="s">
        <v>36</v>
      </c>
      <c r="E569" t="s">
        <v>37</v>
      </c>
      <c r="F569" t="s">
        <v>49</v>
      </c>
      <c r="G569" t="s">
        <v>40</v>
      </c>
      <c r="H569">
        <v>786</v>
      </c>
      <c r="I569" s="2">
        <v>2</v>
      </c>
      <c r="J569" s="2">
        <v>4</v>
      </c>
      <c r="K569" t="s">
        <v>46</v>
      </c>
      <c r="L569" s="2">
        <v>2</v>
      </c>
      <c r="M569" s="2">
        <v>4</v>
      </c>
      <c r="N569" t="s">
        <v>41</v>
      </c>
      <c r="O569" s="2">
        <v>6274</v>
      </c>
      <c r="P569" s="2">
        <v>18686</v>
      </c>
      <c r="Q569" s="2">
        <v>1</v>
      </c>
      <c r="R569" t="s">
        <v>43</v>
      </c>
      <c r="S569" s="2">
        <v>4</v>
      </c>
      <c r="T569" s="2">
        <v>3</v>
      </c>
      <c r="U569">
        <v>80</v>
      </c>
      <c r="V569" s="2">
        <v>6</v>
      </c>
      <c r="W569">
        <v>5</v>
      </c>
      <c r="X569">
        <v>3</v>
      </c>
      <c r="Y569">
        <v>6</v>
      </c>
      <c r="Z569">
        <v>5</v>
      </c>
      <c r="AA569">
        <v>1</v>
      </c>
      <c r="AB569">
        <v>4</v>
      </c>
    </row>
    <row r="570" spans="1:28" x14ac:dyDescent="0.35">
      <c r="A570" s="2">
        <v>55</v>
      </c>
      <c r="B570" s="2" t="str" cm="1">
        <f t="array" ref="B570">_xlfn.IFS(HR_table[[#This Row],[Age]]&lt;=20, "Under 20yrs",HR_table[[#This Row],[Age]]&lt;=30,"(21-30)yrs",HR_table[[#This Row],[Age]]&lt;=40,"(31-40)yrs",HR_table[[#This Row],[Age]]&lt;=50,"(41-50)yrs",HR_table[[#This Row],[Age]]&lt;=60,"(51-60)yrs")</f>
        <v>(51-60)yrs</v>
      </c>
      <c r="C570" t="s">
        <v>35</v>
      </c>
      <c r="D570" t="s">
        <v>36</v>
      </c>
      <c r="E570" t="s">
        <v>45</v>
      </c>
      <c r="F570" t="s">
        <v>51</v>
      </c>
      <c r="G570" t="s">
        <v>56</v>
      </c>
      <c r="H570">
        <v>787</v>
      </c>
      <c r="I570" s="2">
        <v>2</v>
      </c>
      <c r="J570" s="2">
        <v>4</v>
      </c>
      <c r="K570" t="s">
        <v>46</v>
      </c>
      <c r="L570" s="2">
        <v>5</v>
      </c>
      <c r="M570" s="2">
        <v>1</v>
      </c>
      <c r="N570" t="s">
        <v>48</v>
      </c>
      <c r="O570" s="2">
        <v>19859</v>
      </c>
      <c r="P570" s="2">
        <v>21199</v>
      </c>
      <c r="Q570" s="2">
        <v>5</v>
      </c>
      <c r="R570" t="s">
        <v>35</v>
      </c>
      <c r="S570" s="2">
        <v>3</v>
      </c>
      <c r="T570" s="2">
        <v>4</v>
      </c>
      <c r="U570">
        <v>80</v>
      </c>
      <c r="V570" s="2">
        <v>24</v>
      </c>
      <c r="W570">
        <v>2</v>
      </c>
      <c r="X570">
        <v>3</v>
      </c>
      <c r="Y570">
        <v>5</v>
      </c>
      <c r="Z570">
        <v>2</v>
      </c>
      <c r="AA570">
        <v>1</v>
      </c>
      <c r="AB570">
        <v>4</v>
      </c>
    </row>
    <row r="571" spans="1:28" x14ac:dyDescent="0.35">
      <c r="A571" s="2">
        <v>36</v>
      </c>
      <c r="B571" s="2" t="str" cm="1">
        <f t="array" ref="B571">_xlfn.IFS(HR_table[[#This Row],[Age]]&lt;=20, "Under 20yrs",HR_table[[#This Row],[Age]]&lt;=30,"(21-30)yrs",HR_table[[#This Row],[Age]]&lt;=40,"(31-40)yrs",HR_table[[#This Row],[Age]]&lt;=50,"(41-50)yrs",HR_table[[#This Row],[Age]]&lt;=60,"(51-60)yrs")</f>
        <v>(31-40)yrs</v>
      </c>
      <c r="C571" t="s">
        <v>43</v>
      </c>
      <c r="D571" t="s">
        <v>55</v>
      </c>
      <c r="E571" t="s">
        <v>37</v>
      </c>
      <c r="F571" t="s">
        <v>38</v>
      </c>
      <c r="G571" t="s">
        <v>40</v>
      </c>
      <c r="H571">
        <v>789</v>
      </c>
      <c r="I571" s="2">
        <v>8</v>
      </c>
      <c r="J571" s="2">
        <v>1</v>
      </c>
      <c r="K571" t="s">
        <v>46</v>
      </c>
      <c r="L571" s="2">
        <v>3</v>
      </c>
      <c r="M571" s="2">
        <v>1</v>
      </c>
      <c r="N571" t="s">
        <v>41</v>
      </c>
      <c r="O571" s="2">
        <v>7587</v>
      </c>
      <c r="P571" s="2">
        <v>14229</v>
      </c>
      <c r="Q571" s="2">
        <v>1</v>
      </c>
      <c r="R571" t="s">
        <v>43</v>
      </c>
      <c r="S571" s="2">
        <v>3</v>
      </c>
      <c r="T571" s="2">
        <v>2</v>
      </c>
      <c r="U571">
        <v>80</v>
      </c>
      <c r="V571" s="2">
        <v>10</v>
      </c>
      <c r="W571">
        <v>1</v>
      </c>
      <c r="X571">
        <v>3</v>
      </c>
      <c r="Y571">
        <v>10</v>
      </c>
      <c r="Z571">
        <v>7</v>
      </c>
      <c r="AA571">
        <v>0</v>
      </c>
      <c r="AB571">
        <v>9</v>
      </c>
    </row>
    <row r="572" spans="1:28" x14ac:dyDescent="0.35">
      <c r="A572" s="2">
        <v>52</v>
      </c>
      <c r="B572" s="2" t="str" cm="1">
        <f t="array" ref="B572">_xlfn.IFS(HR_table[[#This Row],[Age]]&lt;=20, "Under 20yrs",HR_table[[#This Row],[Age]]&lt;=30,"(21-30)yrs",HR_table[[#This Row],[Age]]&lt;=40,"(31-40)yrs",HR_table[[#This Row],[Age]]&lt;=50,"(41-50)yrs",HR_table[[#This Row],[Age]]&lt;=60,"(51-60)yrs")</f>
        <v>(51-60)yrs</v>
      </c>
      <c r="C572" t="s">
        <v>43</v>
      </c>
      <c r="D572" t="s">
        <v>55</v>
      </c>
      <c r="E572" t="s">
        <v>45</v>
      </c>
      <c r="F572" t="s">
        <v>51</v>
      </c>
      <c r="G572" t="s">
        <v>47</v>
      </c>
      <c r="H572">
        <v>791</v>
      </c>
      <c r="I572" s="2">
        <v>19</v>
      </c>
      <c r="J572" s="2">
        <v>4</v>
      </c>
      <c r="K572" t="s">
        <v>46</v>
      </c>
      <c r="L572" s="2">
        <v>1</v>
      </c>
      <c r="M572" s="2">
        <v>4</v>
      </c>
      <c r="N572" t="s">
        <v>48</v>
      </c>
      <c r="O572" s="2">
        <v>4258</v>
      </c>
      <c r="P572" s="2">
        <v>26589</v>
      </c>
      <c r="Q572" s="2">
        <v>0</v>
      </c>
      <c r="R572" t="s">
        <v>43</v>
      </c>
      <c r="S572" s="2">
        <v>3</v>
      </c>
      <c r="T572" s="2">
        <v>1</v>
      </c>
      <c r="U572">
        <v>80</v>
      </c>
      <c r="V572" s="2">
        <v>5</v>
      </c>
      <c r="W572">
        <v>3</v>
      </c>
      <c r="X572">
        <v>3</v>
      </c>
      <c r="Y572">
        <v>4</v>
      </c>
      <c r="Z572">
        <v>3</v>
      </c>
      <c r="AA572">
        <v>1</v>
      </c>
      <c r="AB572">
        <v>2</v>
      </c>
    </row>
    <row r="573" spans="1:28" x14ac:dyDescent="0.35">
      <c r="A573" s="2">
        <v>26</v>
      </c>
      <c r="B573" s="2" t="str" cm="1">
        <f t="array" ref="B573">_xlfn.IFS(HR_table[[#This Row],[Age]]&lt;=20, "Under 20yrs",HR_table[[#This Row],[Age]]&lt;=30,"(21-30)yrs",HR_table[[#This Row],[Age]]&lt;=40,"(31-40)yrs",HR_table[[#This Row],[Age]]&lt;=50,"(41-50)yrs",HR_table[[#This Row],[Age]]&lt;=60,"(51-60)yrs")</f>
        <v>(21-30)yrs</v>
      </c>
      <c r="C573" t="s">
        <v>43</v>
      </c>
      <c r="D573" t="s">
        <v>44</v>
      </c>
      <c r="E573" t="s">
        <v>45</v>
      </c>
      <c r="F573" t="s">
        <v>38</v>
      </c>
      <c r="G573" t="s">
        <v>50</v>
      </c>
      <c r="H573">
        <v>792</v>
      </c>
      <c r="I573" s="2">
        <v>1</v>
      </c>
      <c r="J573" s="2">
        <v>1</v>
      </c>
      <c r="K573" t="s">
        <v>39</v>
      </c>
      <c r="L573" s="2">
        <v>1</v>
      </c>
      <c r="M573" s="2">
        <v>4</v>
      </c>
      <c r="N573" t="s">
        <v>52</v>
      </c>
      <c r="O573" s="2">
        <v>4364</v>
      </c>
      <c r="P573" s="2">
        <v>5288</v>
      </c>
      <c r="Q573" s="2">
        <v>3</v>
      </c>
      <c r="R573" t="s">
        <v>43</v>
      </c>
      <c r="S573" s="2">
        <v>3</v>
      </c>
      <c r="T573" s="2">
        <v>1</v>
      </c>
      <c r="U573">
        <v>80</v>
      </c>
      <c r="V573" s="2">
        <v>5</v>
      </c>
      <c r="W573">
        <v>2</v>
      </c>
      <c r="X573">
        <v>3</v>
      </c>
      <c r="Y573">
        <v>2</v>
      </c>
      <c r="Z573">
        <v>2</v>
      </c>
      <c r="AA573">
        <v>2</v>
      </c>
      <c r="AB573">
        <v>0</v>
      </c>
    </row>
    <row r="574" spans="1:28" x14ac:dyDescent="0.35">
      <c r="A574" s="2">
        <v>29</v>
      </c>
      <c r="B574" s="2" t="str" cm="1">
        <f t="array" ref="B574">_xlfn.IFS(HR_table[[#This Row],[Age]]&lt;=20, "Under 20yrs",HR_table[[#This Row],[Age]]&lt;=30,"(21-30)yrs",HR_table[[#This Row],[Age]]&lt;=40,"(31-40)yrs",HR_table[[#This Row],[Age]]&lt;=50,"(41-50)yrs",HR_table[[#This Row],[Age]]&lt;=60,"(51-60)yrs")</f>
        <v>(21-30)yrs</v>
      </c>
      <c r="C574" t="s">
        <v>43</v>
      </c>
      <c r="D574" t="s">
        <v>36</v>
      </c>
      <c r="E574" t="s">
        <v>45</v>
      </c>
      <c r="F574" t="s">
        <v>51</v>
      </c>
      <c r="G574" t="s">
        <v>54</v>
      </c>
      <c r="H574">
        <v>793</v>
      </c>
      <c r="I574" s="2">
        <v>27</v>
      </c>
      <c r="J574" s="2">
        <v>2</v>
      </c>
      <c r="K574" t="s">
        <v>39</v>
      </c>
      <c r="L574" s="2">
        <v>2</v>
      </c>
      <c r="M574" s="2">
        <v>3</v>
      </c>
      <c r="N574" t="s">
        <v>48</v>
      </c>
      <c r="O574" s="2">
        <v>4335</v>
      </c>
      <c r="P574" s="2">
        <v>25549</v>
      </c>
      <c r="Q574" s="2">
        <v>4</v>
      </c>
      <c r="R574" t="s">
        <v>43</v>
      </c>
      <c r="S574" s="2">
        <v>3</v>
      </c>
      <c r="T574" s="2">
        <v>1</v>
      </c>
      <c r="U574">
        <v>80</v>
      </c>
      <c r="V574" s="2">
        <v>11</v>
      </c>
      <c r="W574">
        <v>3</v>
      </c>
      <c r="X574">
        <v>2</v>
      </c>
      <c r="Y574">
        <v>8</v>
      </c>
      <c r="Z574">
        <v>7</v>
      </c>
      <c r="AA574">
        <v>1</v>
      </c>
      <c r="AB574">
        <v>1</v>
      </c>
    </row>
    <row r="575" spans="1:28" x14ac:dyDescent="0.35">
      <c r="A575" s="2">
        <v>26</v>
      </c>
      <c r="B575" s="2" t="str" cm="1">
        <f t="array" ref="B575">_xlfn.IFS(HR_table[[#This Row],[Age]]&lt;=20, "Under 20yrs",HR_table[[#This Row],[Age]]&lt;=30,"(21-30)yrs",HR_table[[#This Row],[Age]]&lt;=40,"(31-40)yrs",HR_table[[#This Row],[Age]]&lt;=50,"(41-50)yrs",HR_table[[#This Row],[Age]]&lt;=60,"(51-60)yrs")</f>
        <v>(21-30)yrs</v>
      </c>
      <c r="C575" t="s">
        <v>35</v>
      </c>
      <c r="D575" t="s">
        <v>36</v>
      </c>
      <c r="E575" t="s">
        <v>37</v>
      </c>
      <c r="F575" t="s">
        <v>60</v>
      </c>
      <c r="G575" t="s">
        <v>40</v>
      </c>
      <c r="H575">
        <v>796</v>
      </c>
      <c r="I575" s="2">
        <v>8</v>
      </c>
      <c r="J575" s="2">
        <v>4</v>
      </c>
      <c r="K575" t="s">
        <v>46</v>
      </c>
      <c r="L575" s="2">
        <v>2</v>
      </c>
      <c r="M575" s="2">
        <v>1</v>
      </c>
      <c r="N575" t="s">
        <v>41</v>
      </c>
      <c r="O575" s="2">
        <v>5326</v>
      </c>
      <c r="P575" s="2">
        <v>3064</v>
      </c>
      <c r="Q575" s="2">
        <v>6</v>
      </c>
      <c r="R575" t="s">
        <v>43</v>
      </c>
      <c r="S575" s="2">
        <v>3</v>
      </c>
      <c r="T575" s="2">
        <v>3</v>
      </c>
      <c r="U575">
        <v>80</v>
      </c>
      <c r="V575" s="2">
        <v>6</v>
      </c>
      <c r="W575">
        <v>2</v>
      </c>
      <c r="X575">
        <v>2</v>
      </c>
      <c r="Y575">
        <v>4</v>
      </c>
      <c r="Z575">
        <v>3</v>
      </c>
      <c r="AA575">
        <v>1</v>
      </c>
      <c r="AB575">
        <v>2</v>
      </c>
    </row>
    <row r="576" spans="1:28" x14ac:dyDescent="0.35">
      <c r="A576" s="2">
        <v>34</v>
      </c>
      <c r="B576" s="2" t="str" cm="1">
        <f t="array" ref="B576">_xlfn.IFS(HR_table[[#This Row],[Age]]&lt;=20, "Under 20yrs",HR_table[[#This Row],[Age]]&lt;=30,"(21-30)yrs",HR_table[[#This Row],[Age]]&lt;=40,"(31-40)yrs",HR_table[[#This Row],[Age]]&lt;=50,"(41-50)yrs",HR_table[[#This Row],[Age]]&lt;=60,"(51-60)yrs")</f>
        <v>(31-40)yrs</v>
      </c>
      <c r="C576" t="s">
        <v>43</v>
      </c>
      <c r="D576" t="s">
        <v>36</v>
      </c>
      <c r="E576" t="s">
        <v>45</v>
      </c>
      <c r="F576" t="s">
        <v>38</v>
      </c>
      <c r="G576" t="s">
        <v>47</v>
      </c>
      <c r="H576">
        <v>797</v>
      </c>
      <c r="I576" s="2">
        <v>1</v>
      </c>
      <c r="J576" s="2">
        <v>2</v>
      </c>
      <c r="K576" t="s">
        <v>39</v>
      </c>
      <c r="L576" s="2">
        <v>1</v>
      </c>
      <c r="M576" s="2">
        <v>4</v>
      </c>
      <c r="N576" t="s">
        <v>41</v>
      </c>
      <c r="O576" s="2">
        <v>3280</v>
      </c>
      <c r="P576" s="2">
        <v>13551</v>
      </c>
      <c r="Q576" s="2">
        <v>2</v>
      </c>
      <c r="R576" t="s">
        <v>43</v>
      </c>
      <c r="S576" s="2">
        <v>3</v>
      </c>
      <c r="T576" s="2">
        <v>3</v>
      </c>
      <c r="U576">
        <v>80</v>
      </c>
      <c r="V576" s="2">
        <v>10</v>
      </c>
      <c r="W576">
        <v>2</v>
      </c>
      <c r="X576">
        <v>3</v>
      </c>
      <c r="Y576">
        <v>4</v>
      </c>
      <c r="Z576">
        <v>2</v>
      </c>
      <c r="AA576">
        <v>1</v>
      </c>
      <c r="AB576">
        <v>3</v>
      </c>
    </row>
    <row r="577" spans="1:28" x14ac:dyDescent="0.35">
      <c r="A577" s="2">
        <v>54</v>
      </c>
      <c r="B577" s="2" t="str" cm="1">
        <f t="array" ref="B577">_xlfn.IFS(HR_table[[#This Row],[Age]]&lt;=20, "Under 20yrs",HR_table[[#This Row],[Age]]&lt;=30,"(21-30)yrs",HR_table[[#This Row],[Age]]&lt;=40,"(31-40)yrs",HR_table[[#This Row],[Age]]&lt;=50,"(41-50)yrs",HR_table[[#This Row],[Age]]&lt;=60,"(51-60)yrs")</f>
        <v>(51-60)yrs</v>
      </c>
      <c r="C577" t="s">
        <v>43</v>
      </c>
      <c r="D577" t="s">
        <v>36</v>
      </c>
      <c r="E577" t="s">
        <v>45</v>
      </c>
      <c r="F577" t="s">
        <v>51</v>
      </c>
      <c r="G577" t="s">
        <v>53</v>
      </c>
      <c r="H577">
        <v>799</v>
      </c>
      <c r="I577" s="2">
        <v>19</v>
      </c>
      <c r="J577" s="2">
        <v>4</v>
      </c>
      <c r="K577" t="s">
        <v>39</v>
      </c>
      <c r="L577" s="2">
        <v>2</v>
      </c>
      <c r="M577" s="2">
        <v>1</v>
      </c>
      <c r="N577" t="s">
        <v>52</v>
      </c>
      <c r="O577" s="2">
        <v>5485</v>
      </c>
      <c r="P577" s="2">
        <v>22670</v>
      </c>
      <c r="Q577" s="2">
        <v>9</v>
      </c>
      <c r="R577" t="s">
        <v>35</v>
      </c>
      <c r="S577" s="2">
        <v>3</v>
      </c>
      <c r="T577" s="2">
        <v>2</v>
      </c>
      <c r="U577">
        <v>80</v>
      </c>
      <c r="V577" s="2">
        <v>9</v>
      </c>
      <c r="W577">
        <v>4</v>
      </c>
      <c r="X577">
        <v>3</v>
      </c>
      <c r="Y577">
        <v>5</v>
      </c>
      <c r="Z577">
        <v>3</v>
      </c>
      <c r="AA577">
        <v>1</v>
      </c>
      <c r="AB577">
        <v>4</v>
      </c>
    </row>
    <row r="578" spans="1:28" x14ac:dyDescent="0.35">
      <c r="A578" s="2">
        <v>27</v>
      </c>
      <c r="B578" s="2" t="str" cm="1">
        <f t="array" ref="B578">_xlfn.IFS(HR_table[[#This Row],[Age]]&lt;=20, "Under 20yrs",HR_table[[#This Row],[Age]]&lt;=30,"(21-30)yrs",HR_table[[#This Row],[Age]]&lt;=40,"(31-40)yrs",HR_table[[#This Row],[Age]]&lt;=50,"(41-50)yrs",HR_table[[#This Row],[Age]]&lt;=60,"(51-60)yrs")</f>
        <v>(21-30)yrs</v>
      </c>
      <c r="C578" t="s">
        <v>43</v>
      </c>
      <c r="D578" t="s">
        <v>44</v>
      </c>
      <c r="E578" t="s">
        <v>37</v>
      </c>
      <c r="F578" t="s">
        <v>59</v>
      </c>
      <c r="G578" t="s">
        <v>40</v>
      </c>
      <c r="H578">
        <v>800</v>
      </c>
      <c r="I578" s="2">
        <v>8</v>
      </c>
      <c r="J578" s="2">
        <v>3</v>
      </c>
      <c r="K578" t="s">
        <v>46</v>
      </c>
      <c r="L578" s="2">
        <v>2</v>
      </c>
      <c r="M578" s="2">
        <v>4</v>
      </c>
      <c r="N578" t="s">
        <v>48</v>
      </c>
      <c r="O578" s="2">
        <v>4342</v>
      </c>
      <c r="P578" s="2">
        <v>24008</v>
      </c>
      <c r="Q578" s="2">
        <v>0</v>
      </c>
      <c r="R578" t="s">
        <v>43</v>
      </c>
      <c r="S578" s="2">
        <v>3</v>
      </c>
      <c r="T578" s="2">
        <v>2</v>
      </c>
      <c r="U578">
        <v>80</v>
      </c>
      <c r="V578" s="2">
        <v>5</v>
      </c>
      <c r="W578">
        <v>3</v>
      </c>
      <c r="X578">
        <v>3</v>
      </c>
      <c r="Y578">
        <v>4</v>
      </c>
      <c r="Z578">
        <v>2</v>
      </c>
      <c r="AA578">
        <v>1</v>
      </c>
      <c r="AB578">
        <v>1</v>
      </c>
    </row>
    <row r="579" spans="1:28" x14ac:dyDescent="0.35">
      <c r="A579" s="2">
        <v>37</v>
      </c>
      <c r="B579" s="2" t="str" cm="1">
        <f t="array" ref="B579">_xlfn.IFS(HR_table[[#This Row],[Age]]&lt;=20, "Under 20yrs",HR_table[[#This Row],[Age]]&lt;=30,"(21-30)yrs",HR_table[[#This Row],[Age]]&lt;=40,"(31-40)yrs",HR_table[[#This Row],[Age]]&lt;=50,"(41-50)yrs",HR_table[[#This Row],[Age]]&lt;=60,"(51-60)yrs")</f>
        <v>(31-40)yrs</v>
      </c>
      <c r="C579" t="s">
        <v>43</v>
      </c>
      <c r="D579" t="s">
        <v>36</v>
      </c>
      <c r="E579" t="s">
        <v>45</v>
      </c>
      <c r="F579" t="s">
        <v>38</v>
      </c>
      <c r="G579" t="s">
        <v>47</v>
      </c>
      <c r="H579">
        <v>802</v>
      </c>
      <c r="I579" s="2">
        <v>10</v>
      </c>
      <c r="J579" s="2">
        <v>4</v>
      </c>
      <c r="K579" t="s">
        <v>39</v>
      </c>
      <c r="L579" s="2">
        <v>1</v>
      </c>
      <c r="M579" s="2">
        <v>1</v>
      </c>
      <c r="N579" t="s">
        <v>52</v>
      </c>
      <c r="O579" s="2">
        <v>2782</v>
      </c>
      <c r="P579" s="2">
        <v>19905</v>
      </c>
      <c r="Q579" s="2">
        <v>0</v>
      </c>
      <c r="R579" t="s">
        <v>35</v>
      </c>
      <c r="S579" s="2">
        <v>3</v>
      </c>
      <c r="T579" s="2">
        <v>2</v>
      </c>
      <c r="U579">
        <v>80</v>
      </c>
      <c r="V579" s="2">
        <v>6</v>
      </c>
      <c r="W579">
        <v>3</v>
      </c>
      <c r="X579">
        <v>2</v>
      </c>
      <c r="Y579">
        <v>5</v>
      </c>
      <c r="Z579">
        <v>3</v>
      </c>
      <c r="AA579">
        <v>4</v>
      </c>
      <c r="AB579">
        <v>3</v>
      </c>
    </row>
    <row r="580" spans="1:28" x14ac:dyDescent="0.35">
      <c r="A580" s="2">
        <v>38</v>
      </c>
      <c r="B580" s="2" t="str" cm="1">
        <f t="array" ref="B580">_xlfn.IFS(HR_table[[#This Row],[Age]]&lt;=20, "Under 20yrs",HR_table[[#This Row],[Age]]&lt;=30,"(21-30)yrs",HR_table[[#This Row],[Age]]&lt;=40,"(31-40)yrs",HR_table[[#This Row],[Age]]&lt;=50,"(41-50)yrs",HR_table[[#This Row],[Age]]&lt;=60,"(51-60)yrs")</f>
        <v>(31-40)yrs</v>
      </c>
      <c r="C580" t="s">
        <v>43</v>
      </c>
      <c r="D580" t="s">
        <v>44</v>
      </c>
      <c r="E580" t="s">
        <v>45</v>
      </c>
      <c r="F580" t="s">
        <v>38</v>
      </c>
      <c r="G580" t="s">
        <v>53</v>
      </c>
      <c r="H580">
        <v>803</v>
      </c>
      <c r="I580" s="2">
        <v>2</v>
      </c>
      <c r="J580" s="2">
        <v>1</v>
      </c>
      <c r="K580" t="s">
        <v>39</v>
      </c>
      <c r="L580" s="2">
        <v>2</v>
      </c>
      <c r="M580" s="2">
        <v>1</v>
      </c>
      <c r="N580" t="s">
        <v>41</v>
      </c>
      <c r="O580" s="2">
        <v>5980</v>
      </c>
      <c r="P580" s="2">
        <v>26085</v>
      </c>
      <c r="Q580" s="2">
        <v>6</v>
      </c>
      <c r="R580" t="s">
        <v>35</v>
      </c>
      <c r="S580" s="2">
        <v>3</v>
      </c>
      <c r="T580" s="2">
        <v>4</v>
      </c>
      <c r="U580">
        <v>80</v>
      </c>
      <c r="V580" s="2">
        <v>17</v>
      </c>
      <c r="W580">
        <v>2</v>
      </c>
      <c r="X580">
        <v>3</v>
      </c>
      <c r="Y580">
        <v>15</v>
      </c>
      <c r="Z580">
        <v>7</v>
      </c>
      <c r="AA580">
        <v>4</v>
      </c>
      <c r="AB580">
        <v>12</v>
      </c>
    </row>
    <row r="581" spans="1:28" x14ac:dyDescent="0.35">
      <c r="A581" s="2">
        <v>34</v>
      </c>
      <c r="B581" s="2" t="str" cm="1">
        <f t="array" ref="B581">_xlfn.IFS(HR_table[[#This Row],[Age]]&lt;=20, "Under 20yrs",HR_table[[#This Row],[Age]]&lt;=30,"(21-30)yrs",HR_table[[#This Row],[Age]]&lt;=40,"(31-40)yrs",HR_table[[#This Row],[Age]]&lt;=50,"(41-50)yrs",HR_table[[#This Row],[Age]]&lt;=60,"(51-60)yrs")</f>
        <v>(31-40)yrs</v>
      </c>
      <c r="C581" t="s">
        <v>43</v>
      </c>
      <c r="D581" t="s">
        <v>36</v>
      </c>
      <c r="E581" t="s">
        <v>45</v>
      </c>
      <c r="F581" t="s">
        <v>51</v>
      </c>
      <c r="G581" t="s">
        <v>47</v>
      </c>
      <c r="H581">
        <v>804</v>
      </c>
      <c r="I581" s="2">
        <v>2</v>
      </c>
      <c r="J581" s="2">
        <v>3</v>
      </c>
      <c r="K581" t="s">
        <v>39</v>
      </c>
      <c r="L581" s="2">
        <v>1</v>
      </c>
      <c r="M581" s="2">
        <v>1</v>
      </c>
      <c r="N581" t="s">
        <v>41</v>
      </c>
      <c r="O581" s="2">
        <v>4381</v>
      </c>
      <c r="P581" s="2">
        <v>7530</v>
      </c>
      <c r="Q581" s="2">
        <v>1</v>
      </c>
      <c r="R581" t="s">
        <v>43</v>
      </c>
      <c r="S581" s="2">
        <v>3</v>
      </c>
      <c r="T581" s="2">
        <v>3</v>
      </c>
      <c r="U581">
        <v>80</v>
      </c>
      <c r="V581" s="2">
        <v>6</v>
      </c>
      <c r="W581">
        <v>3</v>
      </c>
      <c r="X581">
        <v>3</v>
      </c>
      <c r="Y581">
        <v>6</v>
      </c>
      <c r="Z581">
        <v>5</v>
      </c>
      <c r="AA581">
        <v>1</v>
      </c>
      <c r="AB581">
        <v>3</v>
      </c>
    </row>
    <row r="582" spans="1:28" x14ac:dyDescent="0.35">
      <c r="A582" s="2">
        <v>35</v>
      </c>
      <c r="B582" s="2" t="str" cm="1">
        <f t="array" ref="B582">_xlfn.IFS(HR_table[[#This Row],[Age]]&lt;=20, "Under 20yrs",HR_table[[#This Row],[Age]]&lt;=30,"(21-30)yrs",HR_table[[#This Row],[Age]]&lt;=40,"(31-40)yrs",HR_table[[#This Row],[Age]]&lt;=50,"(41-50)yrs",HR_table[[#This Row],[Age]]&lt;=60,"(51-60)yrs")</f>
        <v>(31-40)yrs</v>
      </c>
      <c r="C582" t="s">
        <v>43</v>
      </c>
      <c r="D582" t="s">
        <v>36</v>
      </c>
      <c r="E582" t="s">
        <v>37</v>
      </c>
      <c r="F582" t="s">
        <v>38</v>
      </c>
      <c r="G582" t="s">
        <v>57</v>
      </c>
      <c r="H582">
        <v>805</v>
      </c>
      <c r="I582" s="2">
        <v>8</v>
      </c>
      <c r="J582" s="2">
        <v>1</v>
      </c>
      <c r="K582" t="s">
        <v>39</v>
      </c>
      <c r="L582" s="2">
        <v>1</v>
      </c>
      <c r="M582" s="2">
        <v>4</v>
      </c>
      <c r="N582" t="s">
        <v>48</v>
      </c>
      <c r="O582" s="2">
        <v>2572</v>
      </c>
      <c r="P582" s="2">
        <v>20317</v>
      </c>
      <c r="Q582" s="2">
        <v>1</v>
      </c>
      <c r="R582" t="s">
        <v>43</v>
      </c>
      <c r="S582" s="2">
        <v>3</v>
      </c>
      <c r="T582" s="2">
        <v>2</v>
      </c>
      <c r="U582">
        <v>80</v>
      </c>
      <c r="V582" s="2">
        <v>3</v>
      </c>
      <c r="W582">
        <v>1</v>
      </c>
      <c r="X582">
        <v>2</v>
      </c>
      <c r="Y582">
        <v>3</v>
      </c>
      <c r="Z582">
        <v>2</v>
      </c>
      <c r="AA582">
        <v>0</v>
      </c>
      <c r="AB582">
        <v>2</v>
      </c>
    </row>
    <row r="583" spans="1:28" x14ac:dyDescent="0.35">
      <c r="A583" s="2">
        <v>30</v>
      </c>
      <c r="B583" s="2" t="str" cm="1">
        <f t="array" ref="B583">_xlfn.IFS(HR_table[[#This Row],[Age]]&lt;=20, "Under 20yrs",HR_table[[#This Row],[Age]]&lt;=30,"(21-30)yrs",HR_table[[#This Row],[Age]]&lt;=40,"(31-40)yrs",HR_table[[#This Row],[Age]]&lt;=50,"(41-50)yrs",HR_table[[#This Row],[Age]]&lt;=60,"(51-60)yrs")</f>
        <v>(21-30)yrs</v>
      </c>
      <c r="C583" t="s">
        <v>43</v>
      </c>
      <c r="D583" t="s">
        <v>36</v>
      </c>
      <c r="E583" t="s">
        <v>45</v>
      </c>
      <c r="F583" t="s">
        <v>38</v>
      </c>
      <c r="G583" t="s">
        <v>50</v>
      </c>
      <c r="H583">
        <v>806</v>
      </c>
      <c r="I583" s="2">
        <v>1</v>
      </c>
      <c r="J583" s="2">
        <v>4</v>
      </c>
      <c r="K583" t="s">
        <v>46</v>
      </c>
      <c r="L583" s="2">
        <v>1</v>
      </c>
      <c r="M583" s="2">
        <v>3</v>
      </c>
      <c r="N583" t="s">
        <v>48</v>
      </c>
      <c r="O583" s="2">
        <v>3833</v>
      </c>
      <c r="P583" s="2">
        <v>24375</v>
      </c>
      <c r="Q583" s="2">
        <v>3</v>
      </c>
      <c r="R583" t="s">
        <v>43</v>
      </c>
      <c r="S583" s="2">
        <v>4</v>
      </c>
      <c r="T583" s="2">
        <v>3</v>
      </c>
      <c r="U583">
        <v>80</v>
      </c>
      <c r="V583" s="2">
        <v>7</v>
      </c>
      <c r="W583">
        <v>2</v>
      </c>
      <c r="X583">
        <v>3</v>
      </c>
      <c r="Y583">
        <v>2</v>
      </c>
      <c r="Z583">
        <v>2</v>
      </c>
      <c r="AA583">
        <v>0</v>
      </c>
      <c r="AB583">
        <v>2</v>
      </c>
    </row>
    <row r="584" spans="1:28" x14ac:dyDescent="0.35">
      <c r="A584" s="2">
        <v>40</v>
      </c>
      <c r="B584" s="2" t="str" cm="1">
        <f t="array" ref="B584">_xlfn.IFS(HR_table[[#This Row],[Age]]&lt;=20, "Under 20yrs",HR_table[[#This Row],[Age]]&lt;=30,"(21-30)yrs",HR_table[[#This Row],[Age]]&lt;=40,"(31-40)yrs",HR_table[[#This Row],[Age]]&lt;=50,"(41-50)yrs",HR_table[[#This Row],[Age]]&lt;=60,"(51-60)yrs")</f>
        <v>(31-40)yrs</v>
      </c>
      <c r="C584" t="s">
        <v>43</v>
      </c>
      <c r="D584" t="s">
        <v>44</v>
      </c>
      <c r="E584" t="s">
        <v>45</v>
      </c>
      <c r="F584" t="s">
        <v>51</v>
      </c>
      <c r="G584" t="s">
        <v>54</v>
      </c>
      <c r="H584">
        <v>807</v>
      </c>
      <c r="I584" s="2">
        <v>2</v>
      </c>
      <c r="J584" s="2">
        <v>3</v>
      </c>
      <c r="K584" t="s">
        <v>39</v>
      </c>
      <c r="L584" s="2">
        <v>2</v>
      </c>
      <c r="M584" s="2">
        <v>2</v>
      </c>
      <c r="N584" t="s">
        <v>48</v>
      </c>
      <c r="O584" s="2">
        <v>4244</v>
      </c>
      <c r="P584" s="2">
        <v>9931</v>
      </c>
      <c r="Q584" s="2">
        <v>1</v>
      </c>
      <c r="R584" t="s">
        <v>43</v>
      </c>
      <c r="S584" s="2">
        <v>4</v>
      </c>
      <c r="T584" s="2">
        <v>4</v>
      </c>
      <c r="U584">
        <v>80</v>
      </c>
      <c r="V584" s="2">
        <v>8</v>
      </c>
      <c r="W584">
        <v>2</v>
      </c>
      <c r="X584">
        <v>3</v>
      </c>
      <c r="Y584">
        <v>8</v>
      </c>
      <c r="Z584">
        <v>7</v>
      </c>
      <c r="AA584">
        <v>3</v>
      </c>
      <c r="AB584">
        <v>7</v>
      </c>
    </row>
    <row r="585" spans="1:28" x14ac:dyDescent="0.35">
      <c r="A585" s="2">
        <v>34</v>
      </c>
      <c r="B585" s="2" t="str" cm="1">
        <f t="array" ref="B585">_xlfn.IFS(HR_table[[#This Row],[Age]]&lt;=20, "Under 20yrs",HR_table[[#This Row],[Age]]&lt;=30,"(21-30)yrs",HR_table[[#This Row],[Age]]&lt;=40,"(31-40)yrs",HR_table[[#This Row],[Age]]&lt;=50,"(41-50)yrs",HR_table[[#This Row],[Age]]&lt;=60,"(51-60)yrs")</f>
        <v>(31-40)yrs</v>
      </c>
      <c r="C585" t="s">
        <v>43</v>
      </c>
      <c r="D585" t="s">
        <v>36</v>
      </c>
      <c r="E585" t="s">
        <v>37</v>
      </c>
      <c r="F585" t="s">
        <v>38</v>
      </c>
      <c r="G585" t="s">
        <v>40</v>
      </c>
      <c r="H585">
        <v>808</v>
      </c>
      <c r="I585" s="2">
        <v>8</v>
      </c>
      <c r="J585" s="2">
        <v>3</v>
      </c>
      <c r="K585" t="s">
        <v>39</v>
      </c>
      <c r="L585" s="2">
        <v>2</v>
      </c>
      <c r="M585" s="2">
        <v>1</v>
      </c>
      <c r="N585" t="s">
        <v>48</v>
      </c>
      <c r="O585" s="2">
        <v>6500</v>
      </c>
      <c r="P585" s="2">
        <v>13305</v>
      </c>
      <c r="Q585" s="2">
        <v>5</v>
      </c>
      <c r="R585" t="s">
        <v>43</v>
      </c>
      <c r="S585" s="2">
        <v>3</v>
      </c>
      <c r="T585" s="2">
        <v>2</v>
      </c>
      <c r="U585">
        <v>80</v>
      </c>
      <c r="V585" s="2">
        <v>6</v>
      </c>
      <c r="W585">
        <v>1</v>
      </c>
      <c r="X585">
        <v>3</v>
      </c>
      <c r="Y585">
        <v>3</v>
      </c>
      <c r="Z585">
        <v>2</v>
      </c>
      <c r="AA585">
        <v>1</v>
      </c>
      <c r="AB585">
        <v>2</v>
      </c>
    </row>
    <row r="586" spans="1:28" x14ac:dyDescent="0.35">
      <c r="A586" s="2">
        <v>42</v>
      </c>
      <c r="B586" s="2" t="str" cm="1">
        <f t="array" ref="B586">_xlfn.IFS(HR_table[[#This Row],[Age]]&lt;=20, "Under 20yrs",HR_table[[#This Row],[Age]]&lt;=30,"(21-30)yrs",HR_table[[#This Row],[Age]]&lt;=40,"(31-40)yrs",HR_table[[#This Row],[Age]]&lt;=50,"(41-50)yrs",HR_table[[#This Row],[Age]]&lt;=60,"(51-60)yrs")</f>
        <v>(41-50)yrs</v>
      </c>
      <c r="C586" t="s">
        <v>43</v>
      </c>
      <c r="D586" t="s">
        <v>44</v>
      </c>
      <c r="E586" t="s">
        <v>45</v>
      </c>
      <c r="F586" t="s">
        <v>38</v>
      </c>
      <c r="G586" t="s">
        <v>56</v>
      </c>
      <c r="H586">
        <v>809</v>
      </c>
      <c r="I586" s="2">
        <v>8</v>
      </c>
      <c r="J586" s="2">
        <v>2</v>
      </c>
      <c r="K586" t="s">
        <v>46</v>
      </c>
      <c r="L586" s="2">
        <v>5</v>
      </c>
      <c r="M586" s="2">
        <v>4</v>
      </c>
      <c r="N586" t="s">
        <v>52</v>
      </c>
      <c r="O586" s="2">
        <v>18430</v>
      </c>
      <c r="P586" s="2">
        <v>16225</v>
      </c>
      <c r="Q586" s="2">
        <v>1</v>
      </c>
      <c r="R586" t="s">
        <v>43</v>
      </c>
      <c r="S586" s="2">
        <v>3</v>
      </c>
      <c r="T586" s="2">
        <v>2</v>
      </c>
      <c r="U586">
        <v>80</v>
      </c>
      <c r="V586" s="2">
        <v>24</v>
      </c>
      <c r="W586">
        <v>4</v>
      </c>
      <c r="X586">
        <v>2</v>
      </c>
      <c r="Y586">
        <v>24</v>
      </c>
      <c r="Z586">
        <v>7</v>
      </c>
      <c r="AA586">
        <v>14</v>
      </c>
      <c r="AB586">
        <v>9</v>
      </c>
    </row>
    <row r="587" spans="1:28" x14ac:dyDescent="0.35">
      <c r="A587" s="2">
        <v>23</v>
      </c>
      <c r="B587" s="2" t="str" cm="1">
        <f t="array" ref="B587">_xlfn.IFS(HR_table[[#This Row],[Age]]&lt;=20, "Under 20yrs",HR_table[[#This Row],[Age]]&lt;=30,"(21-30)yrs",HR_table[[#This Row],[Age]]&lt;=40,"(31-40)yrs",HR_table[[#This Row],[Age]]&lt;=50,"(41-50)yrs",HR_table[[#This Row],[Age]]&lt;=60,"(51-60)yrs")</f>
        <v>(21-30)yrs</v>
      </c>
      <c r="C587" t="s">
        <v>35</v>
      </c>
      <c r="D587" t="s">
        <v>36</v>
      </c>
      <c r="E587" t="s">
        <v>45</v>
      </c>
      <c r="F587" t="s">
        <v>38</v>
      </c>
      <c r="G587" t="s">
        <v>50</v>
      </c>
      <c r="H587">
        <v>811</v>
      </c>
      <c r="I587" s="2">
        <v>6</v>
      </c>
      <c r="J587" s="2">
        <v>3</v>
      </c>
      <c r="K587" t="s">
        <v>46</v>
      </c>
      <c r="L587" s="2">
        <v>1</v>
      </c>
      <c r="M587" s="2">
        <v>1</v>
      </c>
      <c r="N587" t="s">
        <v>48</v>
      </c>
      <c r="O587" s="2">
        <v>1601</v>
      </c>
      <c r="P587" s="2">
        <v>3445</v>
      </c>
      <c r="Q587" s="2">
        <v>1</v>
      </c>
      <c r="R587" t="s">
        <v>35</v>
      </c>
      <c r="S587" s="2">
        <v>4</v>
      </c>
      <c r="T587" s="2">
        <v>3</v>
      </c>
      <c r="U587">
        <v>80</v>
      </c>
      <c r="V587" s="2">
        <v>1</v>
      </c>
      <c r="W587">
        <v>2</v>
      </c>
      <c r="X587">
        <v>3</v>
      </c>
      <c r="Y587">
        <v>0</v>
      </c>
      <c r="Z587">
        <v>0</v>
      </c>
      <c r="AA587">
        <v>0</v>
      </c>
      <c r="AB587">
        <v>0</v>
      </c>
    </row>
    <row r="588" spans="1:28" x14ac:dyDescent="0.35">
      <c r="A588" s="2">
        <v>24</v>
      </c>
      <c r="B588" s="2" t="str" cm="1">
        <f t="array" ref="B588">_xlfn.IFS(HR_table[[#This Row],[Age]]&lt;=20, "Under 20yrs",HR_table[[#This Row],[Age]]&lt;=30,"(21-30)yrs",HR_table[[#This Row],[Age]]&lt;=40,"(31-40)yrs",HR_table[[#This Row],[Age]]&lt;=50,"(41-50)yrs",HR_table[[#This Row],[Age]]&lt;=60,"(51-60)yrs")</f>
        <v>(21-30)yrs</v>
      </c>
      <c r="C588" t="s">
        <v>43</v>
      </c>
      <c r="D588" t="s">
        <v>55</v>
      </c>
      <c r="E588" t="s">
        <v>45</v>
      </c>
      <c r="F588" t="s">
        <v>38</v>
      </c>
      <c r="G588" t="s">
        <v>50</v>
      </c>
      <c r="H588">
        <v>812</v>
      </c>
      <c r="I588" s="2">
        <v>9</v>
      </c>
      <c r="J588" s="2">
        <v>3</v>
      </c>
      <c r="K588" t="s">
        <v>46</v>
      </c>
      <c r="L588" s="2">
        <v>1</v>
      </c>
      <c r="M588" s="2">
        <v>2</v>
      </c>
      <c r="N588" t="s">
        <v>52</v>
      </c>
      <c r="O588" s="2">
        <v>2694</v>
      </c>
      <c r="P588" s="2">
        <v>26551</v>
      </c>
      <c r="Q588" s="2">
        <v>1</v>
      </c>
      <c r="R588" t="s">
        <v>43</v>
      </c>
      <c r="S588" s="2">
        <v>3</v>
      </c>
      <c r="T588" s="2">
        <v>3</v>
      </c>
      <c r="U588">
        <v>80</v>
      </c>
      <c r="V588" s="2">
        <v>1</v>
      </c>
      <c r="W588">
        <v>4</v>
      </c>
      <c r="X588">
        <v>3</v>
      </c>
      <c r="Y588">
        <v>1</v>
      </c>
      <c r="Z588">
        <v>0</v>
      </c>
      <c r="AA588">
        <v>0</v>
      </c>
      <c r="AB588">
        <v>0</v>
      </c>
    </row>
    <row r="589" spans="1:28" x14ac:dyDescent="0.35">
      <c r="A589" s="2">
        <v>52</v>
      </c>
      <c r="B589" s="2" t="str" cm="1">
        <f t="array" ref="B589">_xlfn.IFS(HR_table[[#This Row],[Age]]&lt;=20, "Under 20yrs",HR_table[[#This Row],[Age]]&lt;=30,"(21-30)yrs",HR_table[[#This Row],[Age]]&lt;=40,"(31-40)yrs",HR_table[[#This Row],[Age]]&lt;=50,"(41-50)yrs",HR_table[[#This Row],[Age]]&lt;=60,"(51-60)yrs")</f>
        <v>(51-60)yrs</v>
      </c>
      <c r="C589" t="s">
        <v>43</v>
      </c>
      <c r="D589" t="s">
        <v>36</v>
      </c>
      <c r="E589" t="s">
        <v>45</v>
      </c>
      <c r="F589" t="s">
        <v>38</v>
      </c>
      <c r="G589" t="s">
        <v>50</v>
      </c>
      <c r="H589">
        <v>813</v>
      </c>
      <c r="I589" s="2">
        <v>11</v>
      </c>
      <c r="J589" s="2">
        <v>4</v>
      </c>
      <c r="K589" t="s">
        <v>39</v>
      </c>
      <c r="L589" s="2">
        <v>2</v>
      </c>
      <c r="M589" s="2">
        <v>3</v>
      </c>
      <c r="N589" t="s">
        <v>48</v>
      </c>
      <c r="O589" s="2">
        <v>3149</v>
      </c>
      <c r="P589" s="2">
        <v>21821</v>
      </c>
      <c r="Q589" s="2">
        <v>8</v>
      </c>
      <c r="R589" t="s">
        <v>43</v>
      </c>
      <c r="S589" s="2">
        <v>4</v>
      </c>
      <c r="T589" s="2">
        <v>2</v>
      </c>
      <c r="U589">
        <v>80</v>
      </c>
      <c r="V589" s="2">
        <v>9</v>
      </c>
      <c r="W589">
        <v>3</v>
      </c>
      <c r="X589">
        <v>3</v>
      </c>
      <c r="Y589">
        <v>5</v>
      </c>
      <c r="Z589">
        <v>2</v>
      </c>
      <c r="AA589">
        <v>1</v>
      </c>
      <c r="AB589">
        <v>4</v>
      </c>
    </row>
    <row r="590" spans="1:28" x14ac:dyDescent="0.35">
      <c r="A590" s="2">
        <v>50</v>
      </c>
      <c r="B590" s="2" t="str" cm="1">
        <f t="array" ref="B590">_xlfn.IFS(HR_table[[#This Row],[Age]]&lt;=20, "Under 20yrs",HR_table[[#This Row],[Age]]&lt;=30,"(21-30)yrs",HR_table[[#This Row],[Age]]&lt;=40,"(31-40)yrs",HR_table[[#This Row],[Age]]&lt;=50,"(41-50)yrs",HR_table[[#This Row],[Age]]&lt;=60,"(51-60)yrs")</f>
        <v>(41-50)yrs</v>
      </c>
      <c r="C590" t="s">
        <v>43</v>
      </c>
      <c r="D590" t="s">
        <v>36</v>
      </c>
      <c r="E590" t="s">
        <v>45</v>
      </c>
      <c r="F590" t="s">
        <v>51</v>
      </c>
      <c r="G590" t="s">
        <v>58</v>
      </c>
      <c r="H590">
        <v>815</v>
      </c>
      <c r="I590" s="2">
        <v>2</v>
      </c>
      <c r="J590" s="2">
        <v>3</v>
      </c>
      <c r="K590" t="s">
        <v>46</v>
      </c>
      <c r="L590" s="2">
        <v>4</v>
      </c>
      <c r="M590" s="2">
        <v>3</v>
      </c>
      <c r="N590" t="s">
        <v>48</v>
      </c>
      <c r="O590" s="2">
        <v>17639</v>
      </c>
      <c r="P590" s="2">
        <v>6881</v>
      </c>
      <c r="Q590" s="2">
        <v>5</v>
      </c>
      <c r="R590" t="s">
        <v>43</v>
      </c>
      <c r="S590" s="2">
        <v>3</v>
      </c>
      <c r="T590" s="2">
        <v>4</v>
      </c>
      <c r="U590">
        <v>80</v>
      </c>
      <c r="V590" s="2">
        <v>30</v>
      </c>
      <c r="W590">
        <v>3</v>
      </c>
      <c r="X590">
        <v>3</v>
      </c>
      <c r="Y590">
        <v>4</v>
      </c>
      <c r="Z590">
        <v>3</v>
      </c>
      <c r="AA590">
        <v>0</v>
      </c>
      <c r="AB590">
        <v>3</v>
      </c>
    </row>
    <row r="591" spans="1:28" x14ac:dyDescent="0.35">
      <c r="A591" s="2">
        <v>29</v>
      </c>
      <c r="B591" s="2" t="str" cm="1">
        <f t="array" ref="B591">_xlfn.IFS(HR_table[[#This Row],[Age]]&lt;=20, "Under 20yrs",HR_table[[#This Row],[Age]]&lt;=30,"(21-30)yrs",HR_table[[#This Row],[Age]]&lt;=40,"(31-40)yrs",HR_table[[#This Row],[Age]]&lt;=50,"(41-50)yrs",HR_table[[#This Row],[Age]]&lt;=60,"(51-60)yrs")</f>
        <v>(21-30)yrs</v>
      </c>
      <c r="C591" t="s">
        <v>35</v>
      </c>
      <c r="D591" t="s">
        <v>36</v>
      </c>
      <c r="E591" t="s">
        <v>45</v>
      </c>
      <c r="F591" t="s">
        <v>38</v>
      </c>
      <c r="G591" t="s">
        <v>50</v>
      </c>
      <c r="H591">
        <v>816</v>
      </c>
      <c r="I591" s="2">
        <v>1</v>
      </c>
      <c r="J591" s="2">
        <v>2</v>
      </c>
      <c r="K591" t="s">
        <v>39</v>
      </c>
      <c r="L591" s="2">
        <v>1</v>
      </c>
      <c r="M591" s="2">
        <v>1</v>
      </c>
      <c r="N591" t="s">
        <v>48</v>
      </c>
      <c r="O591" s="2">
        <v>2319</v>
      </c>
      <c r="P591" s="2">
        <v>6689</v>
      </c>
      <c r="Q591" s="2">
        <v>1</v>
      </c>
      <c r="R591" t="s">
        <v>35</v>
      </c>
      <c r="S591" s="2">
        <v>3</v>
      </c>
      <c r="T591" s="2">
        <v>4</v>
      </c>
      <c r="U591">
        <v>80</v>
      </c>
      <c r="V591" s="2">
        <v>1</v>
      </c>
      <c r="W591">
        <v>1</v>
      </c>
      <c r="X591">
        <v>3</v>
      </c>
      <c r="Y591">
        <v>1</v>
      </c>
      <c r="Z591">
        <v>0</v>
      </c>
      <c r="AA591">
        <v>0</v>
      </c>
      <c r="AB591">
        <v>0</v>
      </c>
    </row>
    <row r="592" spans="1:28" x14ac:dyDescent="0.35">
      <c r="A592" s="2">
        <v>33</v>
      </c>
      <c r="B592" s="2" t="str" cm="1">
        <f t="array" ref="B592">_xlfn.IFS(HR_table[[#This Row],[Age]]&lt;=20, "Under 20yrs",HR_table[[#This Row],[Age]]&lt;=30,"(21-30)yrs",HR_table[[#This Row],[Age]]&lt;=40,"(31-40)yrs",HR_table[[#This Row],[Age]]&lt;=50,"(41-50)yrs",HR_table[[#This Row],[Age]]&lt;=60,"(51-60)yrs")</f>
        <v>(31-40)yrs</v>
      </c>
      <c r="C592" t="s">
        <v>43</v>
      </c>
      <c r="D592" t="s">
        <v>36</v>
      </c>
      <c r="E592" t="s">
        <v>45</v>
      </c>
      <c r="F592" t="s">
        <v>51</v>
      </c>
      <c r="G592" t="s">
        <v>58</v>
      </c>
      <c r="H592">
        <v>817</v>
      </c>
      <c r="I592" s="2">
        <v>7</v>
      </c>
      <c r="J592" s="2">
        <v>3</v>
      </c>
      <c r="K592" t="s">
        <v>46</v>
      </c>
      <c r="L592" s="2">
        <v>3</v>
      </c>
      <c r="M592" s="2">
        <v>3</v>
      </c>
      <c r="N592" t="s">
        <v>48</v>
      </c>
      <c r="O592" s="2">
        <v>11691</v>
      </c>
      <c r="P592" s="2">
        <v>25995</v>
      </c>
      <c r="Q592" s="2">
        <v>0</v>
      </c>
      <c r="R592" t="s">
        <v>43</v>
      </c>
      <c r="S592" s="2">
        <v>3</v>
      </c>
      <c r="T592" s="2">
        <v>4</v>
      </c>
      <c r="U592">
        <v>80</v>
      </c>
      <c r="V592" s="2">
        <v>14</v>
      </c>
      <c r="W592">
        <v>3</v>
      </c>
      <c r="X592">
        <v>4</v>
      </c>
      <c r="Y592">
        <v>13</v>
      </c>
      <c r="Z592">
        <v>9</v>
      </c>
      <c r="AA592">
        <v>3</v>
      </c>
      <c r="AB592">
        <v>7</v>
      </c>
    </row>
    <row r="593" spans="1:28" x14ac:dyDescent="0.35">
      <c r="A593" s="2">
        <v>33</v>
      </c>
      <c r="B593" s="2" t="str" cm="1">
        <f t="array" ref="B593">_xlfn.IFS(HR_table[[#This Row],[Age]]&lt;=20, "Under 20yrs",HR_table[[#This Row],[Age]]&lt;=30,"(21-30)yrs",HR_table[[#This Row],[Age]]&lt;=40,"(31-40)yrs",HR_table[[#This Row],[Age]]&lt;=50,"(41-50)yrs",HR_table[[#This Row],[Age]]&lt;=60,"(51-60)yrs")</f>
        <v>(31-40)yrs</v>
      </c>
      <c r="C593" t="s">
        <v>35</v>
      </c>
      <c r="D593" t="s">
        <v>36</v>
      </c>
      <c r="E593" t="s">
        <v>37</v>
      </c>
      <c r="F593" t="s">
        <v>59</v>
      </c>
      <c r="G593" t="s">
        <v>40</v>
      </c>
      <c r="H593">
        <v>819</v>
      </c>
      <c r="I593" s="2">
        <v>16</v>
      </c>
      <c r="J593" s="2">
        <v>1</v>
      </c>
      <c r="K593" t="s">
        <v>39</v>
      </c>
      <c r="L593" s="2">
        <v>2</v>
      </c>
      <c r="M593" s="2">
        <v>1</v>
      </c>
      <c r="N593" t="s">
        <v>41</v>
      </c>
      <c r="O593" s="2">
        <v>5324</v>
      </c>
      <c r="P593" s="2">
        <v>26507</v>
      </c>
      <c r="Q593" s="2">
        <v>5</v>
      </c>
      <c r="R593" t="s">
        <v>43</v>
      </c>
      <c r="S593" s="2">
        <v>3</v>
      </c>
      <c r="T593" s="2">
        <v>3</v>
      </c>
      <c r="U593">
        <v>80</v>
      </c>
      <c r="V593" s="2">
        <v>6</v>
      </c>
      <c r="W593">
        <v>3</v>
      </c>
      <c r="X593">
        <v>3</v>
      </c>
      <c r="Y593">
        <v>3</v>
      </c>
      <c r="Z593">
        <v>2</v>
      </c>
      <c r="AA593">
        <v>0</v>
      </c>
      <c r="AB593">
        <v>2</v>
      </c>
    </row>
    <row r="594" spans="1:28" x14ac:dyDescent="0.35">
      <c r="A594" s="2">
        <v>47</v>
      </c>
      <c r="B594" s="2" t="str" cm="1">
        <f t="array" ref="B594">_xlfn.IFS(HR_table[[#This Row],[Age]]&lt;=20, "Under 20yrs",HR_table[[#This Row],[Age]]&lt;=30,"(21-30)yrs",HR_table[[#This Row],[Age]]&lt;=40,"(31-40)yrs",HR_table[[#This Row],[Age]]&lt;=50,"(41-50)yrs",HR_table[[#This Row],[Age]]&lt;=60,"(51-60)yrs")</f>
        <v>(41-50)yrs</v>
      </c>
      <c r="C594" t="s">
        <v>43</v>
      </c>
      <c r="D594" t="s">
        <v>36</v>
      </c>
      <c r="E594" t="s">
        <v>45</v>
      </c>
      <c r="F594" t="s">
        <v>49</v>
      </c>
      <c r="G594" t="s">
        <v>56</v>
      </c>
      <c r="H594">
        <v>820</v>
      </c>
      <c r="I594" s="2">
        <v>2</v>
      </c>
      <c r="J594" s="2">
        <v>3</v>
      </c>
      <c r="K594" t="s">
        <v>39</v>
      </c>
      <c r="L594" s="2">
        <v>4</v>
      </c>
      <c r="M594" s="2">
        <v>4</v>
      </c>
      <c r="N594" t="s">
        <v>48</v>
      </c>
      <c r="O594" s="2">
        <v>16752</v>
      </c>
      <c r="P594" s="2">
        <v>12982</v>
      </c>
      <c r="Q594" s="2">
        <v>1</v>
      </c>
      <c r="R594" t="s">
        <v>35</v>
      </c>
      <c r="S594" s="2">
        <v>3</v>
      </c>
      <c r="T594" s="2">
        <v>3</v>
      </c>
      <c r="U594">
        <v>80</v>
      </c>
      <c r="V594" s="2">
        <v>26</v>
      </c>
      <c r="W594">
        <v>3</v>
      </c>
      <c r="X594">
        <v>2</v>
      </c>
      <c r="Y594">
        <v>26</v>
      </c>
      <c r="Z594">
        <v>14</v>
      </c>
      <c r="AA594">
        <v>3</v>
      </c>
      <c r="AB594">
        <v>0</v>
      </c>
    </row>
    <row r="595" spans="1:28" x14ac:dyDescent="0.35">
      <c r="A595" s="2">
        <v>36</v>
      </c>
      <c r="B595" s="2" t="str" cm="1">
        <f t="array" ref="B595">_xlfn.IFS(HR_table[[#This Row],[Age]]&lt;=20, "Under 20yrs",HR_table[[#This Row],[Age]]&lt;=30,"(21-30)yrs",HR_table[[#This Row],[Age]]&lt;=40,"(31-40)yrs",HR_table[[#This Row],[Age]]&lt;=50,"(41-50)yrs",HR_table[[#This Row],[Age]]&lt;=60,"(51-60)yrs")</f>
        <v>(31-40)yrs</v>
      </c>
      <c r="C595" t="s">
        <v>43</v>
      </c>
      <c r="D595" t="s">
        <v>36</v>
      </c>
      <c r="E595" t="s">
        <v>45</v>
      </c>
      <c r="F595" t="s">
        <v>49</v>
      </c>
      <c r="G595" t="s">
        <v>53</v>
      </c>
      <c r="H595">
        <v>823</v>
      </c>
      <c r="I595" s="2">
        <v>1</v>
      </c>
      <c r="J595" s="2">
        <v>3</v>
      </c>
      <c r="K595" t="s">
        <v>39</v>
      </c>
      <c r="L595" s="2">
        <v>2</v>
      </c>
      <c r="M595" s="2">
        <v>2</v>
      </c>
      <c r="N595" t="s">
        <v>48</v>
      </c>
      <c r="O595" s="2">
        <v>5228</v>
      </c>
      <c r="P595" s="2">
        <v>23361</v>
      </c>
      <c r="Q595" s="2">
        <v>0</v>
      </c>
      <c r="R595" t="s">
        <v>43</v>
      </c>
      <c r="S595" s="2">
        <v>3</v>
      </c>
      <c r="T595" s="2">
        <v>1</v>
      </c>
      <c r="U595">
        <v>80</v>
      </c>
      <c r="V595" s="2">
        <v>10</v>
      </c>
      <c r="W595">
        <v>2</v>
      </c>
      <c r="X595">
        <v>3</v>
      </c>
      <c r="Y595">
        <v>9</v>
      </c>
      <c r="Z595">
        <v>7</v>
      </c>
      <c r="AA595">
        <v>0</v>
      </c>
      <c r="AB595">
        <v>5</v>
      </c>
    </row>
    <row r="596" spans="1:28" x14ac:dyDescent="0.35">
      <c r="A596" s="2">
        <v>29</v>
      </c>
      <c r="B596" s="2" t="str" cm="1">
        <f t="array" ref="B596">_xlfn.IFS(HR_table[[#This Row],[Age]]&lt;=20, "Under 20yrs",HR_table[[#This Row],[Age]]&lt;=30,"(21-30)yrs",HR_table[[#This Row],[Age]]&lt;=40,"(31-40)yrs",HR_table[[#This Row],[Age]]&lt;=50,"(41-50)yrs",HR_table[[#This Row],[Age]]&lt;=60,"(51-60)yrs")</f>
        <v>(21-30)yrs</v>
      </c>
      <c r="C596" t="s">
        <v>43</v>
      </c>
      <c r="D596" t="s">
        <v>36</v>
      </c>
      <c r="E596" t="s">
        <v>45</v>
      </c>
      <c r="F596" t="s">
        <v>38</v>
      </c>
      <c r="G596" t="s">
        <v>47</v>
      </c>
      <c r="H596">
        <v>824</v>
      </c>
      <c r="I596" s="2">
        <v>23</v>
      </c>
      <c r="J596" s="2">
        <v>3</v>
      </c>
      <c r="K596" t="s">
        <v>46</v>
      </c>
      <c r="L596" s="2">
        <v>1</v>
      </c>
      <c r="M596" s="2">
        <v>3</v>
      </c>
      <c r="N596" t="s">
        <v>48</v>
      </c>
      <c r="O596" s="2">
        <v>2700</v>
      </c>
      <c r="P596" s="2">
        <v>23779</v>
      </c>
      <c r="Q596" s="2">
        <v>1</v>
      </c>
      <c r="R596" t="s">
        <v>43</v>
      </c>
      <c r="S596" s="2">
        <v>4</v>
      </c>
      <c r="T596" s="2">
        <v>3</v>
      </c>
      <c r="U596">
        <v>80</v>
      </c>
      <c r="V596" s="2">
        <v>10</v>
      </c>
      <c r="W596">
        <v>3</v>
      </c>
      <c r="X596">
        <v>3</v>
      </c>
      <c r="Y596">
        <v>10</v>
      </c>
      <c r="Z596">
        <v>7</v>
      </c>
      <c r="AA596">
        <v>0</v>
      </c>
      <c r="AB596">
        <v>7</v>
      </c>
    </row>
    <row r="597" spans="1:28" x14ac:dyDescent="0.35">
      <c r="A597" s="2">
        <v>58</v>
      </c>
      <c r="B597" s="2" t="str" cm="1">
        <f t="array" ref="B597">_xlfn.IFS(HR_table[[#This Row],[Age]]&lt;=20, "Under 20yrs",HR_table[[#This Row],[Age]]&lt;=30,"(21-30)yrs",HR_table[[#This Row],[Age]]&lt;=40,"(31-40)yrs",HR_table[[#This Row],[Age]]&lt;=50,"(41-50)yrs",HR_table[[#This Row],[Age]]&lt;=60,"(51-60)yrs")</f>
        <v>(51-60)yrs</v>
      </c>
      <c r="C597" t="s">
        <v>35</v>
      </c>
      <c r="D597" t="s">
        <v>36</v>
      </c>
      <c r="E597" t="s">
        <v>45</v>
      </c>
      <c r="F597" t="s">
        <v>38</v>
      </c>
      <c r="G597" t="s">
        <v>58</v>
      </c>
      <c r="H597">
        <v>825</v>
      </c>
      <c r="I597" s="2">
        <v>2</v>
      </c>
      <c r="J597" s="2">
        <v>4</v>
      </c>
      <c r="K597" t="s">
        <v>46</v>
      </c>
      <c r="L597" s="2">
        <v>5</v>
      </c>
      <c r="M597" s="2">
        <v>2</v>
      </c>
      <c r="N597" t="s">
        <v>41</v>
      </c>
      <c r="O597" s="2">
        <v>19246</v>
      </c>
      <c r="P597" s="2">
        <v>25761</v>
      </c>
      <c r="Q597" s="2">
        <v>7</v>
      </c>
      <c r="R597" t="s">
        <v>35</v>
      </c>
      <c r="S597" s="2">
        <v>3</v>
      </c>
      <c r="T597" s="2">
        <v>4</v>
      </c>
      <c r="U597">
        <v>80</v>
      </c>
      <c r="V597" s="2">
        <v>40</v>
      </c>
      <c r="W597">
        <v>2</v>
      </c>
      <c r="X597">
        <v>3</v>
      </c>
      <c r="Y597">
        <v>31</v>
      </c>
      <c r="Z597">
        <v>15</v>
      </c>
      <c r="AA597">
        <v>13</v>
      </c>
      <c r="AB597">
        <v>8</v>
      </c>
    </row>
    <row r="598" spans="1:28" x14ac:dyDescent="0.35">
      <c r="A598" s="2">
        <v>35</v>
      </c>
      <c r="B598" s="2" t="str" cm="1">
        <f t="array" ref="B598">_xlfn.IFS(HR_table[[#This Row],[Age]]&lt;=20, "Under 20yrs",HR_table[[#This Row],[Age]]&lt;=30,"(21-30)yrs",HR_table[[#This Row],[Age]]&lt;=40,"(31-40)yrs",HR_table[[#This Row],[Age]]&lt;=50,"(41-50)yrs",HR_table[[#This Row],[Age]]&lt;=60,"(51-60)yrs")</f>
        <v>(31-40)yrs</v>
      </c>
      <c r="C598" t="s">
        <v>43</v>
      </c>
      <c r="D598" t="s">
        <v>36</v>
      </c>
      <c r="E598" t="s">
        <v>45</v>
      </c>
      <c r="F598" t="s">
        <v>38</v>
      </c>
      <c r="G598" t="s">
        <v>47</v>
      </c>
      <c r="H598">
        <v>826</v>
      </c>
      <c r="I598" s="2">
        <v>1</v>
      </c>
      <c r="J598" s="2">
        <v>4</v>
      </c>
      <c r="K598" t="s">
        <v>39</v>
      </c>
      <c r="L598" s="2">
        <v>1</v>
      </c>
      <c r="M598" s="2">
        <v>3</v>
      </c>
      <c r="N598" t="s">
        <v>41</v>
      </c>
      <c r="O598" s="2">
        <v>2506</v>
      </c>
      <c r="P598" s="2">
        <v>13301</v>
      </c>
      <c r="Q598" s="2">
        <v>3</v>
      </c>
      <c r="R598" t="s">
        <v>43</v>
      </c>
      <c r="S598" s="2">
        <v>3</v>
      </c>
      <c r="T598" s="2">
        <v>3</v>
      </c>
      <c r="U598">
        <v>80</v>
      </c>
      <c r="V598" s="2">
        <v>7</v>
      </c>
      <c r="W598">
        <v>0</v>
      </c>
      <c r="X598">
        <v>3</v>
      </c>
      <c r="Y598">
        <v>2</v>
      </c>
      <c r="Z598">
        <v>2</v>
      </c>
      <c r="AA598">
        <v>2</v>
      </c>
      <c r="AB598">
        <v>2</v>
      </c>
    </row>
    <row r="599" spans="1:28" x14ac:dyDescent="0.35">
      <c r="A599" s="2">
        <v>42</v>
      </c>
      <c r="B599" s="2" t="str" cm="1">
        <f t="array" ref="B599">_xlfn.IFS(HR_table[[#This Row],[Age]]&lt;=20, "Under 20yrs",HR_table[[#This Row],[Age]]&lt;=30,"(21-30)yrs",HR_table[[#This Row],[Age]]&lt;=40,"(31-40)yrs",HR_table[[#This Row],[Age]]&lt;=50,"(41-50)yrs",HR_table[[#This Row],[Age]]&lt;=60,"(51-60)yrs")</f>
        <v>(41-50)yrs</v>
      </c>
      <c r="C599" t="s">
        <v>43</v>
      </c>
      <c r="D599" t="s">
        <v>36</v>
      </c>
      <c r="E599" t="s">
        <v>45</v>
      </c>
      <c r="F599" t="s">
        <v>38</v>
      </c>
      <c r="G599" t="s">
        <v>53</v>
      </c>
      <c r="H599">
        <v>827</v>
      </c>
      <c r="I599" s="2">
        <v>1</v>
      </c>
      <c r="J599" s="2">
        <v>4</v>
      </c>
      <c r="K599" t="s">
        <v>39</v>
      </c>
      <c r="L599" s="2">
        <v>2</v>
      </c>
      <c r="M599" s="2">
        <v>4</v>
      </c>
      <c r="N599" t="s">
        <v>48</v>
      </c>
      <c r="O599" s="2">
        <v>6062</v>
      </c>
      <c r="P599" s="2">
        <v>4051</v>
      </c>
      <c r="Q599" s="2">
        <v>9</v>
      </c>
      <c r="R599" t="s">
        <v>35</v>
      </c>
      <c r="S599" s="2">
        <v>3</v>
      </c>
      <c r="T599" s="2">
        <v>4</v>
      </c>
      <c r="U599">
        <v>80</v>
      </c>
      <c r="V599" s="2">
        <v>8</v>
      </c>
      <c r="W599">
        <v>4</v>
      </c>
      <c r="X599">
        <v>3</v>
      </c>
      <c r="Y599">
        <v>4</v>
      </c>
      <c r="Z599">
        <v>3</v>
      </c>
      <c r="AA599">
        <v>0</v>
      </c>
      <c r="AB599">
        <v>2</v>
      </c>
    </row>
    <row r="600" spans="1:28" x14ac:dyDescent="0.35">
      <c r="A600" s="2">
        <v>28</v>
      </c>
      <c r="B600" s="2" t="str" cm="1">
        <f t="array" ref="B600">_xlfn.IFS(HR_table[[#This Row],[Age]]&lt;=20, "Under 20yrs",HR_table[[#This Row],[Age]]&lt;=30,"(21-30)yrs",HR_table[[#This Row],[Age]]&lt;=40,"(31-40)yrs",HR_table[[#This Row],[Age]]&lt;=50,"(41-50)yrs",HR_table[[#This Row],[Age]]&lt;=60,"(51-60)yrs")</f>
        <v>(21-30)yrs</v>
      </c>
      <c r="C600" t="s">
        <v>35</v>
      </c>
      <c r="D600" t="s">
        <v>36</v>
      </c>
      <c r="E600" t="s">
        <v>45</v>
      </c>
      <c r="F600" t="s">
        <v>51</v>
      </c>
      <c r="G600" t="s">
        <v>47</v>
      </c>
      <c r="H600">
        <v>828</v>
      </c>
      <c r="I600" s="2">
        <v>2</v>
      </c>
      <c r="J600" s="2">
        <v>3</v>
      </c>
      <c r="K600" t="s">
        <v>46</v>
      </c>
      <c r="L600" s="2">
        <v>1</v>
      </c>
      <c r="M600" s="2">
        <v>3</v>
      </c>
      <c r="N600" t="s">
        <v>41</v>
      </c>
      <c r="O600" s="2">
        <v>4382</v>
      </c>
      <c r="P600" s="2">
        <v>16374</v>
      </c>
      <c r="Q600" s="2">
        <v>6</v>
      </c>
      <c r="R600" t="s">
        <v>43</v>
      </c>
      <c r="S600" s="2">
        <v>3</v>
      </c>
      <c r="T600" s="2">
        <v>4</v>
      </c>
      <c r="U600">
        <v>80</v>
      </c>
      <c r="V600" s="2">
        <v>5</v>
      </c>
      <c r="W600">
        <v>3</v>
      </c>
      <c r="X600">
        <v>2</v>
      </c>
      <c r="Y600">
        <v>2</v>
      </c>
      <c r="Z600">
        <v>2</v>
      </c>
      <c r="AA600">
        <v>2</v>
      </c>
      <c r="AB600">
        <v>1</v>
      </c>
    </row>
    <row r="601" spans="1:28" x14ac:dyDescent="0.35">
      <c r="A601" s="2">
        <v>36</v>
      </c>
      <c r="B601" s="2" t="str" cm="1">
        <f t="array" ref="B601">_xlfn.IFS(HR_table[[#This Row],[Age]]&lt;=20, "Under 20yrs",HR_table[[#This Row],[Age]]&lt;=30,"(21-30)yrs",HR_table[[#This Row],[Age]]&lt;=40,"(31-40)yrs",HR_table[[#This Row],[Age]]&lt;=50,"(41-50)yrs",HR_table[[#This Row],[Age]]&lt;=60,"(51-60)yrs")</f>
        <v>(31-40)yrs</v>
      </c>
      <c r="C601" t="s">
        <v>43</v>
      </c>
      <c r="D601" t="s">
        <v>36</v>
      </c>
      <c r="E601" t="s">
        <v>61</v>
      </c>
      <c r="F601" t="s">
        <v>61</v>
      </c>
      <c r="G601" t="s">
        <v>61</v>
      </c>
      <c r="H601">
        <v>829</v>
      </c>
      <c r="I601" s="2">
        <v>13</v>
      </c>
      <c r="J601" s="2">
        <v>3</v>
      </c>
      <c r="K601" t="s">
        <v>46</v>
      </c>
      <c r="L601" s="2">
        <v>1</v>
      </c>
      <c r="M601" s="2">
        <v>2</v>
      </c>
      <c r="N601" t="s">
        <v>48</v>
      </c>
      <c r="O601" s="2">
        <v>2143</v>
      </c>
      <c r="P601" s="2">
        <v>25527</v>
      </c>
      <c r="Q601" s="2">
        <v>4</v>
      </c>
      <c r="R601" t="s">
        <v>43</v>
      </c>
      <c r="S601" s="2">
        <v>3</v>
      </c>
      <c r="T601" s="2">
        <v>2</v>
      </c>
      <c r="U601">
        <v>80</v>
      </c>
      <c r="V601" s="2">
        <v>8</v>
      </c>
      <c r="W601">
        <v>2</v>
      </c>
      <c r="X601">
        <v>3</v>
      </c>
      <c r="Y601">
        <v>5</v>
      </c>
      <c r="Z601">
        <v>2</v>
      </c>
      <c r="AA601">
        <v>0</v>
      </c>
      <c r="AB601">
        <v>4</v>
      </c>
    </row>
    <row r="602" spans="1:28" x14ac:dyDescent="0.35">
      <c r="A602" s="2">
        <v>32</v>
      </c>
      <c r="B602" s="2" t="str" cm="1">
        <f t="array" ref="B602">_xlfn.IFS(HR_table[[#This Row],[Age]]&lt;=20, "Under 20yrs",HR_table[[#This Row],[Age]]&lt;=30,"(21-30)yrs",HR_table[[#This Row],[Age]]&lt;=40,"(31-40)yrs",HR_table[[#This Row],[Age]]&lt;=50,"(41-50)yrs",HR_table[[#This Row],[Age]]&lt;=60,"(51-60)yrs")</f>
        <v>(31-40)yrs</v>
      </c>
      <c r="C602" t="s">
        <v>43</v>
      </c>
      <c r="D602" t="s">
        <v>36</v>
      </c>
      <c r="E602" t="s">
        <v>45</v>
      </c>
      <c r="F602" t="s">
        <v>38</v>
      </c>
      <c r="G602" t="s">
        <v>53</v>
      </c>
      <c r="H602">
        <v>830</v>
      </c>
      <c r="I602" s="2">
        <v>4</v>
      </c>
      <c r="J602" s="2">
        <v>3</v>
      </c>
      <c r="K602" t="s">
        <v>39</v>
      </c>
      <c r="L602" s="2">
        <v>2</v>
      </c>
      <c r="M602" s="2">
        <v>3</v>
      </c>
      <c r="N602" t="s">
        <v>48</v>
      </c>
      <c r="O602" s="2">
        <v>6162</v>
      </c>
      <c r="P602" s="2">
        <v>19124</v>
      </c>
      <c r="Q602" s="2">
        <v>1</v>
      </c>
      <c r="R602" t="s">
        <v>43</v>
      </c>
      <c r="S602" s="2">
        <v>3</v>
      </c>
      <c r="T602" s="2">
        <v>3</v>
      </c>
      <c r="U602">
        <v>80</v>
      </c>
      <c r="V602" s="2">
        <v>14</v>
      </c>
      <c r="W602">
        <v>3</v>
      </c>
      <c r="X602">
        <v>3</v>
      </c>
      <c r="Y602">
        <v>14</v>
      </c>
      <c r="Z602">
        <v>13</v>
      </c>
      <c r="AA602">
        <v>6</v>
      </c>
      <c r="AB602">
        <v>8</v>
      </c>
    </row>
    <row r="603" spans="1:28" x14ac:dyDescent="0.35">
      <c r="A603" s="2">
        <v>40</v>
      </c>
      <c r="B603" s="2" t="str" cm="1">
        <f t="array" ref="B603">_xlfn.IFS(HR_table[[#This Row],[Age]]&lt;=20, "Under 20yrs",HR_table[[#This Row],[Age]]&lt;=30,"(21-30)yrs",HR_table[[#This Row],[Age]]&lt;=40,"(31-40)yrs",HR_table[[#This Row],[Age]]&lt;=50,"(41-50)yrs",HR_table[[#This Row],[Age]]&lt;=60,"(51-60)yrs")</f>
        <v>(31-40)yrs</v>
      </c>
      <c r="C603" t="s">
        <v>43</v>
      </c>
      <c r="D603" t="s">
        <v>44</v>
      </c>
      <c r="E603" t="s">
        <v>45</v>
      </c>
      <c r="F603" t="s">
        <v>51</v>
      </c>
      <c r="G603" t="s">
        <v>50</v>
      </c>
      <c r="H603">
        <v>832</v>
      </c>
      <c r="I603" s="2">
        <v>16</v>
      </c>
      <c r="J603" s="2">
        <v>1</v>
      </c>
      <c r="K603" t="s">
        <v>46</v>
      </c>
      <c r="L603" s="2">
        <v>2</v>
      </c>
      <c r="M603" s="2">
        <v>3</v>
      </c>
      <c r="N603" t="s">
        <v>41</v>
      </c>
      <c r="O603" s="2">
        <v>5094</v>
      </c>
      <c r="P603" s="2">
        <v>11983</v>
      </c>
      <c r="Q603" s="2">
        <v>6</v>
      </c>
      <c r="R603" t="s">
        <v>43</v>
      </c>
      <c r="S603" s="2">
        <v>3</v>
      </c>
      <c r="T603" s="2">
        <v>4</v>
      </c>
      <c r="U603">
        <v>80</v>
      </c>
      <c r="V603" s="2">
        <v>10</v>
      </c>
      <c r="W603">
        <v>6</v>
      </c>
      <c r="X603">
        <v>3</v>
      </c>
      <c r="Y603">
        <v>1</v>
      </c>
      <c r="Z603">
        <v>0</v>
      </c>
      <c r="AA603">
        <v>0</v>
      </c>
      <c r="AB603">
        <v>0</v>
      </c>
    </row>
    <row r="604" spans="1:28" x14ac:dyDescent="0.35">
      <c r="A604" s="2">
        <v>30</v>
      </c>
      <c r="B604" s="2" t="str" cm="1">
        <f t="array" ref="B604">_xlfn.IFS(HR_table[[#This Row],[Age]]&lt;=20, "Under 20yrs",HR_table[[#This Row],[Age]]&lt;=30,"(21-30)yrs",HR_table[[#This Row],[Age]]&lt;=40,"(31-40)yrs",HR_table[[#This Row],[Age]]&lt;=50,"(41-50)yrs",HR_table[[#This Row],[Age]]&lt;=60,"(51-60)yrs")</f>
        <v>(21-30)yrs</v>
      </c>
      <c r="C604" t="s">
        <v>43</v>
      </c>
      <c r="D604" t="s">
        <v>36</v>
      </c>
      <c r="E604" t="s">
        <v>45</v>
      </c>
      <c r="F604" t="s">
        <v>51</v>
      </c>
      <c r="G604" t="s">
        <v>53</v>
      </c>
      <c r="H604">
        <v>833</v>
      </c>
      <c r="I604" s="2">
        <v>2</v>
      </c>
      <c r="J604" s="2">
        <v>3</v>
      </c>
      <c r="K604" t="s">
        <v>39</v>
      </c>
      <c r="L604" s="2">
        <v>2</v>
      </c>
      <c r="M604" s="2">
        <v>4</v>
      </c>
      <c r="N604" t="s">
        <v>41</v>
      </c>
      <c r="O604" s="2">
        <v>6877</v>
      </c>
      <c r="P604" s="2">
        <v>20234</v>
      </c>
      <c r="Q604" s="2">
        <v>5</v>
      </c>
      <c r="R604" t="s">
        <v>35</v>
      </c>
      <c r="S604" s="2">
        <v>4</v>
      </c>
      <c r="T604" s="2">
        <v>2</v>
      </c>
      <c r="U604">
        <v>80</v>
      </c>
      <c r="V604" s="2">
        <v>12</v>
      </c>
      <c r="W604">
        <v>4</v>
      </c>
      <c r="X604">
        <v>2</v>
      </c>
      <c r="Y604">
        <v>0</v>
      </c>
      <c r="Z604">
        <v>0</v>
      </c>
      <c r="AA604">
        <v>0</v>
      </c>
      <c r="AB604">
        <v>0</v>
      </c>
    </row>
    <row r="605" spans="1:28" x14ac:dyDescent="0.35">
      <c r="A605" s="2">
        <v>45</v>
      </c>
      <c r="B605" s="2" t="str" cm="1">
        <f t="array" ref="B605">_xlfn.IFS(HR_table[[#This Row],[Age]]&lt;=20, "Under 20yrs",HR_table[[#This Row],[Age]]&lt;=30,"(21-30)yrs",HR_table[[#This Row],[Age]]&lt;=40,"(31-40)yrs",HR_table[[#This Row],[Age]]&lt;=50,"(41-50)yrs",HR_table[[#This Row],[Age]]&lt;=60,"(51-60)yrs")</f>
        <v>(41-50)yrs</v>
      </c>
      <c r="C605" t="s">
        <v>43</v>
      </c>
      <c r="D605" t="s">
        <v>36</v>
      </c>
      <c r="E605" t="s">
        <v>45</v>
      </c>
      <c r="F605" t="s">
        <v>38</v>
      </c>
      <c r="G605" t="s">
        <v>47</v>
      </c>
      <c r="H605">
        <v>834</v>
      </c>
      <c r="I605" s="2">
        <v>2</v>
      </c>
      <c r="J605" s="2">
        <v>2</v>
      </c>
      <c r="K605" t="s">
        <v>39</v>
      </c>
      <c r="L605" s="2">
        <v>1</v>
      </c>
      <c r="M605" s="2">
        <v>3</v>
      </c>
      <c r="N605" t="s">
        <v>41</v>
      </c>
      <c r="O605" s="2">
        <v>2274</v>
      </c>
      <c r="P605" s="2">
        <v>6153</v>
      </c>
      <c r="Q605" s="2">
        <v>1</v>
      </c>
      <c r="R605" t="s">
        <v>43</v>
      </c>
      <c r="S605" s="2">
        <v>3</v>
      </c>
      <c r="T605" s="2">
        <v>4</v>
      </c>
      <c r="U605">
        <v>80</v>
      </c>
      <c r="V605" s="2">
        <v>1</v>
      </c>
      <c r="W605">
        <v>3</v>
      </c>
      <c r="X605">
        <v>3</v>
      </c>
      <c r="Y605">
        <v>1</v>
      </c>
      <c r="Z605">
        <v>0</v>
      </c>
      <c r="AA605">
        <v>0</v>
      </c>
      <c r="AB605">
        <v>0</v>
      </c>
    </row>
    <row r="606" spans="1:28" x14ac:dyDescent="0.35">
      <c r="A606" s="2">
        <v>42</v>
      </c>
      <c r="B606" s="2" t="str" cm="1">
        <f t="array" ref="B606">_xlfn.IFS(HR_table[[#This Row],[Age]]&lt;=20, "Under 20yrs",HR_table[[#This Row],[Age]]&lt;=30,"(21-30)yrs",HR_table[[#This Row],[Age]]&lt;=40,"(31-40)yrs",HR_table[[#This Row],[Age]]&lt;=50,"(41-50)yrs",HR_table[[#This Row],[Age]]&lt;=60,"(51-60)yrs")</f>
        <v>(41-50)yrs</v>
      </c>
      <c r="C606" t="s">
        <v>43</v>
      </c>
      <c r="D606" t="s">
        <v>36</v>
      </c>
      <c r="E606" t="s">
        <v>45</v>
      </c>
      <c r="F606" t="s">
        <v>38</v>
      </c>
      <c r="G606" t="s">
        <v>53</v>
      </c>
      <c r="H606">
        <v>836</v>
      </c>
      <c r="I606" s="2">
        <v>29</v>
      </c>
      <c r="J606" s="2">
        <v>2</v>
      </c>
      <c r="K606" t="s">
        <v>46</v>
      </c>
      <c r="L606" s="2">
        <v>2</v>
      </c>
      <c r="M606" s="2">
        <v>2</v>
      </c>
      <c r="N606" t="s">
        <v>48</v>
      </c>
      <c r="O606" s="2">
        <v>4434</v>
      </c>
      <c r="P606" s="2">
        <v>11806</v>
      </c>
      <c r="Q606" s="2">
        <v>1</v>
      </c>
      <c r="R606" t="s">
        <v>43</v>
      </c>
      <c r="S606" s="2">
        <v>3</v>
      </c>
      <c r="T606" s="2">
        <v>4</v>
      </c>
      <c r="U606">
        <v>80</v>
      </c>
      <c r="V606" s="2">
        <v>10</v>
      </c>
      <c r="W606">
        <v>3</v>
      </c>
      <c r="X606">
        <v>2</v>
      </c>
      <c r="Y606">
        <v>9</v>
      </c>
      <c r="Z606">
        <v>8</v>
      </c>
      <c r="AA606">
        <v>7</v>
      </c>
      <c r="AB606">
        <v>8</v>
      </c>
    </row>
    <row r="607" spans="1:28" x14ac:dyDescent="0.35">
      <c r="A607" s="2">
        <v>38</v>
      </c>
      <c r="B607" s="2" t="str" cm="1">
        <f t="array" ref="B607">_xlfn.IFS(HR_table[[#This Row],[Age]]&lt;=20, "Under 20yrs",HR_table[[#This Row],[Age]]&lt;=30,"(21-30)yrs",HR_table[[#This Row],[Age]]&lt;=40,"(31-40)yrs",HR_table[[#This Row],[Age]]&lt;=50,"(41-50)yrs",HR_table[[#This Row],[Age]]&lt;=60,"(51-60)yrs")</f>
        <v>(31-40)yrs</v>
      </c>
      <c r="C607" t="s">
        <v>43</v>
      </c>
      <c r="D607" t="s">
        <v>44</v>
      </c>
      <c r="E607" t="s">
        <v>45</v>
      </c>
      <c r="F607" t="s">
        <v>38</v>
      </c>
      <c r="G607" t="s">
        <v>54</v>
      </c>
      <c r="H607">
        <v>837</v>
      </c>
      <c r="I607" s="2">
        <v>12</v>
      </c>
      <c r="J607" s="2">
        <v>1</v>
      </c>
      <c r="K607" t="s">
        <v>46</v>
      </c>
      <c r="L607" s="2">
        <v>2</v>
      </c>
      <c r="M607" s="2">
        <v>1</v>
      </c>
      <c r="N607" t="s">
        <v>52</v>
      </c>
      <c r="O607" s="2">
        <v>6288</v>
      </c>
      <c r="P607" s="2">
        <v>4284</v>
      </c>
      <c r="Q607" s="2">
        <v>2</v>
      </c>
      <c r="R607" t="s">
        <v>43</v>
      </c>
      <c r="S607" s="2">
        <v>3</v>
      </c>
      <c r="T607" s="2">
        <v>3</v>
      </c>
      <c r="U607">
        <v>80</v>
      </c>
      <c r="V607" s="2">
        <v>13</v>
      </c>
      <c r="W607">
        <v>3</v>
      </c>
      <c r="X607">
        <v>2</v>
      </c>
      <c r="Y607">
        <v>4</v>
      </c>
      <c r="Z607">
        <v>3</v>
      </c>
      <c r="AA607">
        <v>1</v>
      </c>
      <c r="AB607">
        <v>2</v>
      </c>
    </row>
    <row r="608" spans="1:28" x14ac:dyDescent="0.35">
      <c r="A608" s="2">
        <v>34</v>
      </c>
      <c r="B608" s="2" t="str" cm="1">
        <f t="array" ref="B608">_xlfn.IFS(HR_table[[#This Row],[Age]]&lt;=20, "Under 20yrs",HR_table[[#This Row],[Age]]&lt;=30,"(21-30)yrs",HR_table[[#This Row],[Age]]&lt;=40,"(31-40)yrs",HR_table[[#This Row],[Age]]&lt;=50,"(41-50)yrs",HR_table[[#This Row],[Age]]&lt;=60,"(51-60)yrs")</f>
        <v>(31-40)yrs</v>
      </c>
      <c r="C608" t="s">
        <v>43</v>
      </c>
      <c r="D608" t="s">
        <v>44</v>
      </c>
      <c r="E608" t="s">
        <v>45</v>
      </c>
      <c r="F608" t="s">
        <v>38</v>
      </c>
      <c r="G608" t="s">
        <v>47</v>
      </c>
      <c r="H608">
        <v>838</v>
      </c>
      <c r="I608" s="2">
        <v>16</v>
      </c>
      <c r="J608" s="2">
        <v>3</v>
      </c>
      <c r="K608" t="s">
        <v>39</v>
      </c>
      <c r="L608" s="2">
        <v>1</v>
      </c>
      <c r="M608" s="2">
        <v>4</v>
      </c>
      <c r="N608" t="s">
        <v>41</v>
      </c>
      <c r="O608" s="2">
        <v>2553</v>
      </c>
      <c r="P608" s="2">
        <v>8306</v>
      </c>
      <c r="Q608" s="2">
        <v>1</v>
      </c>
      <c r="R608" t="s">
        <v>43</v>
      </c>
      <c r="S608" s="2">
        <v>3</v>
      </c>
      <c r="T608" s="2">
        <v>3</v>
      </c>
      <c r="U608">
        <v>80</v>
      </c>
      <c r="V608" s="2">
        <v>6</v>
      </c>
      <c r="W608">
        <v>3</v>
      </c>
      <c r="X608">
        <v>3</v>
      </c>
      <c r="Y608">
        <v>5</v>
      </c>
      <c r="Z608">
        <v>2</v>
      </c>
      <c r="AA608">
        <v>1</v>
      </c>
      <c r="AB608">
        <v>3</v>
      </c>
    </row>
    <row r="609" spans="1:28" x14ac:dyDescent="0.35">
      <c r="A609" s="2">
        <v>49</v>
      </c>
      <c r="B609" s="2" t="str" cm="1">
        <f t="array" ref="B609">_xlfn.IFS(HR_table[[#This Row],[Age]]&lt;=20, "Under 20yrs",HR_table[[#This Row],[Age]]&lt;=30,"(21-30)yrs",HR_table[[#This Row],[Age]]&lt;=40,"(31-40)yrs",HR_table[[#This Row],[Age]]&lt;=50,"(41-50)yrs",HR_table[[#This Row],[Age]]&lt;=60,"(51-60)yrs")</f>
        <v>(41-50)yrs</v>
      </c>
      <c r="C609" t="s">
        <v>35</v>
      </c>
      <c r="D609" t="s">
        <v>36</v>
      </c>
      <c r="E609" t="s">
        <v>37</v>
      </c>
      <c r="F609" t="s">
        <v>59</v>
      </c>
      <c r="G609" t="s">
        <v>40</v>
      </c>
      <c r="H609">
        <v>840</v>
      </c>
      <c r="I609" s="2">
        <v>11</v>
      </c>
      <c r="J609" s="2">
        <v>3</v>
      </c>
      <c r="K609" t="s">
        <v>39</v>
      </c>
      <c r="L609" s="2">
        <v>3</v>
      </c>
      <c r="M609" s="2">
        <v>4</v>
      </c>
      <c r="N609" t="s">
        <v>48</v>
      </c>
      <c r="O609" s="2">
        <v>7654</v>
      </c>
      <c r="P609" s="2">
        <v>5860</v>
      </c>
      <c r="Q609" s="2">
        <v>1</v>
      </c>
      <c r="R609" t="s">
        <v>43</v>
      </c>
      <c r="S609" s="2">
        <v>3</v>
      </c>
      <c r="T609" s="2">
        <v>1</v>
      </c>
      <c r="U609">
        <v>80</v>
      </c>
      <c r="V609" s="2">
        <v>9</v>
      </c>
      <c r="W609">
        <v>3</v>
      </c>
      <c r="X609">
        <v>4</v>
      </c>
      <c r="Y609">
        <v>9</v>
      </c>
      <c r="Z609">
        <v>8</v>
      </c>
      <c r="AA609">
        <v>7</v>
      </c>
      <c r="AB609">
        <v>7</v>
      </c>
    </row>
    <row r="610" spans="1:28" x14ac:dyDescent="0.35">
      <c r="A610" s="2">
        <v>55</v>
      </c>
      <c r="B610" s="2" t="str" cm="1">
        <f t="array" ref="B610">_xlfn.IFS(HR_table[[#This Row],[Age]]&lt;=20, "Under 20yrs",HR_table[[#This Row],[Age]]&lt;=30,"(21-30)yrs",HR_table[[#This Row],[Age]]&lt;=40,"(31-40)yrs",HR_table[[#This Row],[Age]]&lt;=50,"(41-50)yrs",HR_table[[#This Row],[Age]]&lt;=60,"(51-60)yrs")</f>
        <v>(51-60)yrs</v>
      </c>
      <c r="C610" t="s">
        <v>35</v>
      </c>
      <c r="D610" t="s">
        <v>36</v>
      </c>
      <c r="E610" t="s">
        <v>37</v>
      </c>
      <c r="F610" t="s">
        <v>51</v>
      </c>
      <c r="G610" t="s">
        <v>40</v>
      </c>
      <c r="H610">
        <v>842</v>
      </c>
      <c r="I610" s="2">
        <v>2</v>
      </c>
      <c r="J610" s="2">
        <v>3</v>
      </c>
      <c r="K610" t="s">
        <v>46</v>
      </c>
      <c r="L610" s="2">
        <v>2</v>
      </c>
      <c r="M610" s="2">
        <v>4</v>
      </c>
      <c r="N610" t="s">
        <v>41</v>
      </c>
      <c r="O610" s="2">
        <v>5160</v>
      </c>
      <c r="P610" s="2">
        <v>21519</v>
      </c>
      <c r="Q610" s="2">
        <v>4</v>
      </c>
      <c r="R610" t="s">
        <v>43</v>
      </c>
      <c r="S610" s="2">
        <v>3</v>
      </c>
      <c r="T610" s="2">
        <v>3</v>
      </c>
      <c r="U610">
        <v>80</v>
      </c>
      <c r="V610" s="2">
        <v>12</v>
      </c>
      <c r="W610">
        <v>3</v>
      </c>
      <c r="X610">
        <v>2</v>
      </c>
      <c r="Y610">
        <v>9</v>
      </c>
      <c r="Z610">
        <v>7</v>
      </c>
      <c r="AA610">
        <v>7</v>
      </c>
      <c r="AB610">
        <v>3</v>
      </c>
    </row>
    <row r="611" spans="1:28" x14ac:dyDescent="0.35">
      <c r="A611" s="2">
        <v>43</v>
      </c>
      <c r="B611" s="2" t="str" cm="1">
        <f t="array" ref="B611">_xlfn.IFS(HR_table[[#This Row],[Age]]&lt;=20, "Under 20yrs",HR_table[[#This Row],[Age]]&lt;=30,"(21-30)yrs",HR_table[[#This Row],[Age]]&lt;=40,"(31-40)yrs",HR_table[[#This Row],[Age]]&lt;=50,"(41-50)yrs",HR_table[[#This Row],[Age]]&lt;=60,"(51-60)yrs")</f>
        <v>(41-50)yrs</v>
      </c>
      <c r="C611" t="s">
        <v>43</v>
      </c>
      <c r="D611" t="s">
        <v>36</v>
      </c>
      <c r="E611" t="s">
        <v>45</v>
      </c>
      <c r="F611" t="s">
        <v>38</v>
      </c>
      <c r="G611" t="s">
        <v>58</v>
      </c>
      <c r="H611">
        <v>843</v>
      </c>
      <c r="I611" s="2">
        <v>14</v>
      </c>
      <c r="J611" s="2">
        <v>2</v>
      </c>
      <c r="K611" t="s">
        <v>46</v>
      </c>
      <c r="L611" s="2">
        <v>4</v>
      </c>
      <c r="M611" s="2">
        <v>1</v>
      </c>
      <c r="N611" t="s">
        <v>48</v>
      </c>
      <c r="O611" s="2">
        <v>17159</v>
      </c>
      <c r="P611" s="2">
        <v>5200</v>
      </c>
      <c r="Q611" s="2">
        <v>6</v>
      </c>
      <c r="R611" t="s">
        <v>43</v>
      </c>
      <c r="S611" s="2">
        <v>4</v>
      </c>
      <c r="T611" s="2">
        <v>3</v>
      </c>
      <c r="U611">
        <v>80</v>
      </c>
      <c r="V611" s="2">
        <v>22</v>
      </c>
      <c r="W611">
        <v>3</v>
      </c>
      <c r="X611">
        <v>3</v>
      </c>
      <c r="Y611">
        <v>4</v>
      </c>
      <c r="Z611">
        <v>1</v>
      </c>
      <c r="AA611">
        <v>1</v>
      </c>
      <c r="AB611">
        <v>0</v>
      </c>
    </row>
    <row r="612" spans="1:28" x14ac:dyDescent="0.35">
      <c r="A612" s="2">
        <v>27</v>
      </c>
      <c r="B612" s="2" t="str" cm="1">
        <f t="array" ref="B612">_xlfn.IFS(HR_table[[#This Row],[Age]]&lt;=20, "Under 20yrs",HR_table[[#This Row],[Age]]&lt;=30,"(21-30)yrs",HR_table[[#This Row],[Age]]&lt;=40,"(31-40)yrs",HR_table[[#This Row],[Age]]&lt;=50,"(41-50)yrs",HR_table[[#This Row],[Age]]&lt;=60,"(51-60)yrs")</f>
        <v>(21-30)yrs</v>
      </c>
      <c r="C612" t="s">
        <v>43</v>
      </c>
      <c r="D612" t="s">
        <v>36</v>
      </c>
      <c r="E612" t="s">
        <v>45</v>
      </c>
      <c r="F612" t="s">
        <v>60</v>
      </c>
      <c r="G612" t="s">
        <v>58</v>
      </c>
      <c r="H612">
        <v>844</v>
      </c>
      <c r="I612" s="2">
        <v>5</v>
      </c>
      <c r="J612" s="2">
        <v>3</v>
      </c>
      <c r="K612" t="s">
        <v>46</v>
      </c>
      <c r="L612" s="2">
        <v>3</v>
      </c>
      <c r="M612" s="2">
        <v>4</v>
      </c>
      <c r="N612" t="s">
        <v>52</v>
      </c>
      <c r="O612" s="2">
        <v>12808</v>
      </c>
      <c r="P612" s="2">
        <v>8842</v>
      </c>
      <c r="Q612" s="2">
        <v>1</v>
      </c>
      <c r="R612" t="s">
        <v>35</v>
      </c>
      <c r="S612" s="2">
        <v>3</v>
      </c>
      <c r="T612" s="2">
        <v>2</v>
      </c>
      <c r="U612">
        <v>80</v>
      </c>
      <c r="V612" s="2">
        <v>9</v>
      </c>
      <c r="W612">
        <v>3</v>
      </c>
      <c r="X612">
        <v>3</v>
      </c>
      <c r="Y612">
        <v>9</v>
      </c>
      <c r="Z612">
        <v>8</v>
      </c>
      <c r="AA612">
        <v>0</v>
      </c>
      <c r="AB612">
        <v>8</v>
      </c>
    </row>
    <row r="613" spans="1:28" x14ac:dyDescent="0.35">
      <c r="A613" s="2">
        <v>35</v>
      </c>
      <c r="B613" s="2" t="str" cm="1">
        <f t="array" ref="B613">_xlfn.IFS(HR_table[[#This Row],[Age]]&lt;=20, "Under 20yrs",HR_table[[#This Row],[Age]]&lt;=30,"(21-30)yrs",HR_table[[#This Row],[Age]]&lt;=40,"(31-40)yrs",HR_table[[#This Row],[Age]]&lt;=50,"(41-50)yrs",HR_table[[#This Row],[Age]]&lt;=60,"(51-60)yrs")</f>
        <v>(31-40)yrs</v>
      </c>
      <c r="C613" t="s">
        <v>43</v>
      </c>
      <c r="D613" t="s">
        <v>36</v>
      </c>
      <c r="E613" t="s">
        <v>45</v>
      </c>
      <c r="F613" t="s">
        <v>49</v>
      </c>
      <c r="G613" t="s">
        <v>53</v>
      </c>
      <c r="H613">
        <v>845</v>
      </c>
      <c r="I613" s="2">
        <v>7</v>
      </c>
      <c r="J613" s="2">
        <v>3</v>
      </c>
      <c r="K613" t="s">
        <v>46</v>
      </c>
      <c r="L613" s="2">
        <v>3</v>
      </c>
      <c r="M613" s="2">
        <v>3</v>
      </c>
      <c r="N613" t="s">
        <v>41</v>
      </c>
      <c r="O613" s="2">
        <v>10221</v>
      </c>
      <c r="P613" s="2">
        <v>18869</v>
      </c>
      <c r="Q613" s="2">
        <v>3</v>
      </c>
      <c r="R613" t="s">
        <v>43</v>
      </c>
      <c r="S613" s="2">
        <v>4</v>
      </c>
      <c r="T613" s="2">
        <v>2</v>
      </c>
      <c r="U613">
        <v>80</v>
      </c>
      <c r="V613" s="2">
        <v>17</v>
      </c>
      <c r="W613">
        <v>3</v>
      </c>
      <c r="X613">
        <v>4</v>
      </c>
      <c r="Y613">
        <v>8</v>
      </c>
      <c r="Z613">
        <v>5</v>
      </c>
      <c r="AA613">
        <v>1</v>
      </c>
      <c r="AB613">
        <v>6</v>
      </c>
    </row>
    <row r="614" spans="1:28" x14ac:dyDescent="0.35">
      <c r="A614" s="2">
        <v>28</v>
      </c>
      <c r="B614" s="2" t="str" cm="1">
        <f t="array" ref="B614">_xlfn.IFS(HR_table[[#This Row],[Age]]&lt;=20, "Under 20yrs",HR_table[[#This Row],[Age]]&lt;=30,"(21-30)yrs",HR_table[[#This Row],[Age]]&lt;=40,"(31-40)yrs",HR_table[[#This Row],[Age]]&lt;=50,"(41-50)yrs",HR_table[[#This Row],[Age]]&lt;=60,"(51-60)yrs")</f>
        <v>(21-30)yrs</v>
      </c>
      <c r="C614" t="s">
        <v>43</v>
      </c>
      <c r="D614" t="s">
        <v>36</v>
      </c>
      <c r="E614" t="s">
        <v>37</v>
      </c>
      <c r="F614" t="s">
        <v>59</v>
      </c>
      <c r="G614" t="s">
        <v>40</v>
      </c>
      <c r="H614">
        <v>846</v>
      </c>
      <c r="I614" s="2">
        <v>2</v>
      </c>
      <c r="J614" s="2">
        <v>2</v>
      </c>
      <c r="K614" t="s">
        <v>39</v>
      </c>
      <c r="L614" s="2">
        <v>2</v>
      </c>
      <c r="M614" s="2">
        <v>2</v>
      </c>
      <c r="N614" t="s">
        <v>48</v>
      </c>
      <c r="O614" s="2">
        <v>4779</v>
      </c>
      <c r="P614" s="2">
        <v>3698</v>
      </c>
      <c r="Q614" s="2">
        <v>1</v>
      </c>
      <c r="R614" t="s">
        <v>35</v>
      </c>
      <c r="S614" s="2">
        <v>4</v>
      </c>
      <c r="T614" s="2">
        <v>1</v>
      </c>
      <c r="U614">
        <v>80</v>
      </c>
      <c r="V614" s="2">
        <v>8</v>
      </c>
      <c r="W614">
        <v>2</v>
      </c>
      <c r="X614">
        <v>3</v>
      </c>
      <c r="Y614">
        <v>8</v>
      </c>
      <c r="Z614">
        <v>7</v>
      </c>
      <c r="AA614">
        <v>7</v>
      </c>
      <c r="AB614">
        <v>5</v>
      </c>
    </row>
    <row r="615" spans="1:28" x14ac:dyDescent="0.35">
      <c r="A615" s="2">
        <v>34</v>
      </c>
      <c r="B615" s="2" t="str" cm="1">
        <f t="array" ref="B615">_xlfn.IFS(HR_table[[#This Row],[Age]]&lt;=20, "Under 20yrs",HR_table[[#This Row],[Age]]&lt;=30,"(21-30)yrs",HR_table[[#This Row],[Age]]&lt;=40,"(31-40)yrs",HR_table[[#This Row],[Age]]&lt;=50,"(41-50)yrs",HR_table[[#This Row],[Age]]&lt;=60,"(51-60)yrs")</f>
        <v>(31-40)yrs</v>
      </c>
      <c r="C615" t="s">
        <v>43</v>
      </c>
      <c r="D615" t="s">
        <v>36</v>
      </c>
      <c r="E615" t="s">
        <v>61</v>
      </c>
      <c r="F615" t="s">
        <v>61</v>
      </c>
      <c r="G615" t="s">
        <v>61</v>
      </c>
      <c r="H615">
        <v>847</v>
      </c>
      <c r="I615" s="2">
        <v>3</v>
      </c>
      <c r="J615" s="2">
        <v>3</v>
      </c>
      <c r="K615" t="s">
        <v>46</v>
      </c>
      <c r="L615" s="2">
        <v>1</v>
      </c>
      <c r="M615" s="2">
        <v>4</v>
      </c>
      <c r="N615" t="s">
        <v>48</v>
      </c>
      <c r="O615" s="2">
        <v>3737</v>
      </c>
      <c r="P615" s="2">
        <v>2243</v>
      </c>
      <c r="Q615" s="2">
        <v>0</v>
      </c>
      <c r="R615" t="s">
        <v>43</v>
      </c>
      <c r="S615" s="2">
        <v>3</v>
      </c>
      <c r="T615" s="2">
        <v>3</v>
      </c>
      <c r="U615">
        <v>80</v>
      </c>
      <c r="V615" s="2">
        <v>4</v>
      </c>
      <c r="W615">
        <v>1</v>
      </c>
      <c r="X615">
        <v>1</v>
      </c>
      <c r="Y615">
        <v>3</v>
      </c>
      <c r="Z615">
        <v>2</v>
      </c>
      <c r="AA615">
        <v>0</v>
      </c>
      <c r="AB615">
        <v>2</v>
      </c>
    </row>
    <row r="616" spans="1:28" x14ac:dyDescent="0.35">
      <c r="A616" s="2">
        <v>26</v>
      </c>
      <c r="B616" s="2" t="str" cm="1">
        <f t="array" ref="B616">_xlfn.IFS(HR_table[[#This Row],[Age]]&lt;=20, "Under 20yrs",HR_table[[#This Row],[Age]]&lt;=30,"(21-30)yrs",HR_table[[#This Row],[Age]]&lt;=40,"(31-40)yrs",HR_table[[#This Row],[Age]]&lt;=50,"(41-50)yrs",HR_table[[#This Row],[Age]]&lt;=60,"(51-60)yrs")</f>
        <v>(21-30)yrs</v>
      </c>
      <c r="C616" t="s">
        <v>35</v>
      </c>
      <c r="D616" t="s">
        <v>44</v>
      </c>
      <c r="E616" t="s">
        <v>45</v>
      </c>
      <c r="F616" t="s">
        <v>51</v>
      </c>
      <c r="G616" t="s">
        <v>47</v>
      </c>
      <c r="H616">
        <v>848</v>
      </c>
      <c r="I616" s="2">
        <v>5</v>
      </c>
      <c r="J616" s="2">
        <v>3</v>
      </c>
      <c r="K616" t="s">
        <v>39</v>
      </c>
      <c r="L616" s="2">
        <v>1</v>
      </c>
      <c r="M616" s="2">
        <v>3</v>
      </c>
      <c r="N616" t="s">
        <v>48</v>
      </c>
      <c r="O616" s="2">
        <v>2366</v>
      </c>
      <c r="P616" s="2">
        <v>20898</v>
      </c>
      <c r="Q616" s="2">
        <v>1</v>
      </c>
      <c r="R616" t="s">
        <v>35</v>
      </c>
      <c r="S616" s="2">
        <v>3</v>
      </c>
      <c r="T616" s="2">
        <v>1</v>
      </c>
      <c r="U616">
        <v>80</v>
      </c>
      <c r="V616" s="2">
        <v>8</v>
      </c>
      <c r="W616">
        <v>2</v>
      </c>
      <c r="X616">
        <v>3</v>
      </c>
      <c r="Y616">
        <v>8</v>
      </c>
      <c r="Z616">
        <v>7</v>
      </c>
      <c r="AA616">
        <v>1</v>
      </c>
      <c r="AB616">
        <v>7</v>
      </c>
    </row>
    <row r="617" spans="1:28" x14ac:dyDescent="0.35">
      <c r="A617" s="2">
        <v>27</v>
      </c>
      <c r="B617" s="2" t="str" cm="1">
        <f t="array" ref="B617">_xlfn.IFS(HR_table[[#This Row],[Age]]&lt;=20, "Under 20yrs",HR_table[[#This Row],[Age]]&lt;=30,"(21-30)yrs",HR_table[[#This Row],[Age]]&lt;=40,"(31-40)yrs",HR_table[[#This Row],[Age]]&lt;=50,"(41-50)yrs",HR_table[[#This Row],[Age]]&lt;=60,"(51-60)yrs")</f>
        <v>(21-30)yrs</v>
      </c>
      <c r="C617" t="s">
        <v>43</v>
      </c>
      <c r="D617" t="s">
        <v>55</v>
      </c>
      <c r="E617" t="s">
        <v>45</v>
      </c>
      <c r="F617" t="s">
        <v>51</v>
      </c>
      <c r="G617" t="s">
        <v>47</v>
      </c>
      <c r="H617">
        <v>850</v>
      </c>
      <c r="I617" s="2">
        <v>3</v>
      </c>
      <c r="J617" s="2">
        <v>4</v>
      </c>
      <c r="K617" t="s">
        <v>46</v>
      </c>
      <c r="L617" s="2">
        <v>1</v>
      </c>
      <c r="M617" s="2">
        <v>4</v>
      </c>
      <c r="N617" t="s">
        <v>48</v>
      </c>
      <c r="O617" s="2">
        <v>1706</v>
      </c>
      <c r="P617" s="2">
        <v>16571</v>
      </c>
      <c r="Q617" s="2">
        <v>1</v>
      </c>
      <c r="R617" t="s">
        <v>43</v>
      </c>
      <c r="S617" s="2">
        <v>3</v>
      </c>
      <c r="T617" s="2">
        <v>3</v>
      </c>
      <c r="U617">
        <v>80</v>
      </c>
      <c r="V617" s="2">
        <v>0</v>
      </c>
      <c r="W617">
        <v>6</v>
      </c>
      <c r="X617">
        <v>2</v>
      </c>
      <c r="Y617">
        <v>0</v>
      </c>
      <c r="Z617">
        <v>0</v>
      </c>
      <c r="AA617">
        <v>0</v>
      </c>
      <c r="AB617">
        <v>0</v>
      </c>
    </row>
    <row r="618" spans="1:28" x14ac:dyDescent="0.35">
      <c r="A618" s="2">
        <v>51</v>
      </c>
      <c r="B618" s="2" t="str" cm="1">
        <f t="array" ref="B618">_xlfn.IFS(HR_table[[#This Row],[Age]]&lt;=20, "Under 20yrs",HR_table[[#This Row],[Age]]&lt;=30,"(21-30)yrs",HR_table[[#This Row],[Age]]&lt;=40,"(31-40)yrs",HR_table[[#This Row],[Age]]&lt;=50,"(41-50)yrs",HR_table[[#This Row],[Age]]&lt;=60,"(51-60)yrs")</f>
        <v>(51-60)yrs</v>
      </c>
      <c r="C618" t="s">
        <v>43</v>
      </c>
      <c r="D618" t="s">
        <v>36</v>
      </c>
      <c r="E618" t="s">
        <v>37</v>
      </c>
      <c r="F618" t="s">
        <v>59</v>
      </c>
      <c r="G618" t="s">
        <v>56</v>
      </c>
      <c r="H618">
        <v>851</v>
      </c>
      <c r="I618" s="2">
        <v>26</v>
      </c>
      <c r="J618" s="2">
        <v>1</v>
      </c>
      <c r="K618" t="s">
        <v>39</v>
      </c>
      <c r="L618" s="2">
        <v>4</v>
      </c>
      <c r="M618" s="2">
        <v>3</v>
      </c>
      <c r="N618" t="s">
        <v>48</v>
      </c>
      <c r="O618" s="2">
        <v>16307</v>
      </c>
      <c r="P618" s="2">
        <v>5594</v>
      </c>
      <c r="Q618" s="2">
        <v>2</v>
      </c>
      <c r="R618" t="s">
        <v>43</v>
      </c>
      <c r="S618" s="2">
        <v>3</v>
      </c>
      <c r="T618" s="2">
        <v>3</v>
      </c>
      <c r="U618">
        <v>80</v>
      </c>
      <c r="V618" s="2">
        <v>29</v>
      </c>
      <c r="W618">
        <v>2</v>
      </c>
      <c r="X618">
        <v>2</v>
      </c>
      <c r="Y618">
        <v>20</v>
      </c>
      <c r="Z618">
        <v>6</v>
      </c>
      <c r="AA618">
        <v>4</v>
      </c>
      <c r="AB618">
        <v>17</v>
      </c>
    </row>
    <row r="619" spans="1:28" x14ac:dyDescent="0.35">
      <c r="A619" s="2">
        <v>44</v>
      </c>
      <c r="B619" s="2" t="str" cm="1">
        <f t="array" ref="B619">_xlfn.IFS(HR_table[[#This Row],[Age]]&lt;=20, "Under 20yrs",HR_table[[#This Row],[Age]]&lt;=30,"(21-30)yrs",HR_table[[#This Row],[Age]]&lt;=40,"(31-40)yrs",HR_table[[#This Row],[Age]]&lt;=50,"(41-50)yrs",HR_table[[#This Row],[Age]]&lt;=60,"(51-60)yrs")</f>
        <v>(41-50)yrs</v>
      </c>
      <c r="C619" t="s">
        <v>43</v>
      </c>
      <c r="D619" t="s">
        <v>36</v>
      </c>
      <c r="E619" t="s">
        <v>45</v>
      </c>
      <c r="F619" t="s">
        <v>51</v>
      </c>
      <c r="G619" t="s">
        <v>54</v>
      </c>
      <c r="H619">
        <v>852</v>
      </c>
      <c r="I619" s="2">
        <v>4</v>
      </c>
      <c r="J619" s="2">
        <v>4</v>
      </c>
      <c r="K619" t="s">
        <v>46</v>
      </c>
      <c r="L619" s="2">
        <v>2</v>
      </c>
      <c r="M619" s="2">
        <v>2</v>
      </c>
      <c r="N619" t="s">
        <v>41</v>
      </c>
      <c r="O619" s="2">
        <v>5933</v>
      </c>
      <c r="P619" s="2">
        <v>5197</v>
      </c>
      <c r="Q619" s="2">
        <v>9</v>
      </c>
      <c r="R619" t="s">
        <v>43</v>
      </c>
      <c r="S619" s="2">
        <v>3</v>
      </c>
      <c r="T619" s="2">
        <v>4</v>
      </c>
      <c r="U619">
        <v>80</v>
      </c>
      <c r="V619" s="2">
        <v>10</v>
      </c>
      <c r="W619">
        <v>2</v>
      </c>
      <c r="X619">
        <v>2</v>
      </c>
      <c r="Y619">
        <v>5</v>
      </c>
      <c r="Z619">
        <v>2</v>
      </c>
      <c r="AA619">
        <v>2</v>
      </c>
      <c r="AB619">
        <v>3</v>
      </c>
    </row>
    <row r="620" spans="1:28" x14ac:dyDescent="0.35">
      <c r="A620" s="2">
        <v>25</v>
      </c>
      <c r="B620" s="2" t="str" cm="1">
        <f t="array" ref="B620">_xlfn.IFS(HR_table[[#This Row],[Age]]&lt;=20, "Under 20yrs",HR_table[[#This Row],[Age]]&lt;=30,"(21-30)yrs",HR_table[[#This Row],[Age]]&lt;=40,"(31-40)yrs",HR_table[[#This Row],[Age]]&lt;=50,"(41-50)yrs",HR_table[[#This Row],[Age]]&lt;=60,"(51-60)yrs")</f>
        <v>(21-30)yrs</v>
      </c>
      <c r="C620" t="s">
        <v>43</v>
      </c>
      <c r="D620" t="s">
        <v>36</v>
      </c>
      <c r="E620" t="s">
        <v>45</v>
      </c>
      <c r="F620" t="s">
        <v>51</v>
      </c>
      <c r="G620" t="s">
        <v>47</v>
      </c>
      <c r="H620">
        <v>854</v>
      </c>
      <c r="I620" s="2">
        <v>2</v>
      </c>
      <c r="J620" s="2">
        <v>1</v>
      </c>
      <c r="K620" t="s">
        <v>46</v>
      </c>
      <c r="L620" s="2">
        <v>1</v>
      </c>
      <c r="M620" s="2">
        <v>1</v>
      </c>
      <c r="N620" t="s">
        <v>41</v>
      </c>
      <c r="O620" s="2">
        <v>3424</v>
      </c>
      <c r="P620" s="2">
        <v>21632</v>
      </c>
      <c r="Q620" s="2">
        <v>7</v>
      </c>
      <c r="R620" t="s">
        <v>43</v>
      </c>
      <c r="S620" s="2">
        <v>3</v>
      </c>
      <c r="T620" s="2">
        <v>3</v>
      </c>
      <c r="U620">
        <v>80</v>
      </c>
      <c r="V620" s="2">
        <v>6</v>
      </c>
      <c r="W620">
        <v>3</v>
      </c>
      <c r="X620">
        <v>2</v>
      </c>
      <c r="Y620">
        <v>4</v>
      </c>
      <c r="Z620">
        <v>3</v>
      </c>
      <c r="AA620">
        <v>0</v>
      </c>
      <c r="AB620">
        <v>1</v>
      </c>
    </row>
    <row r="621" spans="1:28" x14ac:dyDescent="0.35">
      <c r="A621" s="2">
        <v>33</v>
      </c>
      <c r="B621" s="2" t="str" cm="1">
        <f t="array" ref="B621">_xlfn.IFS(HR_table[[#This Row],[Age]]&lt;=20, "Under 20yrs",HR_table[[#This Row],[Age]]&lt;=30,"(21-30)yrs",HR_table[[#This Row],[Age]]&lt;=40,"(31-40)yrs",HR_table[[#This Row],[Age]]&lt;=50,"(41-50)yrs",HR_table[[#This Row],[Age]]&lt;=60,"(51-60)yrs")</f>
        <v>(31-40)yrs</v>
      </c>
      <c r="C621" t="s">
        <v>43</v>
      </c>
      <c r="D621" t="s">
        <v>36</v>
      </c>
      <c r="E621" t="s">
        <v>37</v>
      </c>
      <c r="F621" t="s">
        <v>51</v>
      </c>
      <c r="G621" t="s">
        <v>40</v>
      </c>
      <c r="H621">
        <v>855</v>
      </c>
      <c r="I621" s="2">
        <v>1</v>
      </c>
      <c r="J621" s="2">
        <v>1</v>
      </c>
      <c r="K621" t="s">
        <v>46</v>
      </c>
      <c r="L621" s="2">
        <v>2</v>
      </c>
      <c r="M621" s="2">
        <v>1</v>
      </c>
      <c r="N621" t="s">
        <v>52</v>
      </c>
      <c r="O621" s="2">
        <v>4037</v>
      </c>
      <c r="P621" s="2">
        <v>21816</v>
      </c>
      <c r="Q621" s="2">
        <v>1</v>
      </c>
      <c r="R621" t="s">
        <v>43</v>
      </c>
      <c r="S621" s="2">
        <v>4</v>
      </c>
      <c r="T621" s="2">
        <v>1</v>
      </c>
      <c r="U621">
        <v>80</v>
      </c>
      <c r="V621" s="2">
        <v>9</v>
      </c>
      <c r="W621">
        <v>5</v>
      </c>
      <c r="X621">
        <v>3</v>
      </c>
      <c r="Y621">
        <v>9</v>
      </c>
      <c r="Z621">
        <v>8</v>
      </c>
      <c r="AA621">
        <v>0</v>
      </c>
      <c r="AB621">
        <v>8</v>
      </c>
    </row>
    <row r="622" spans="1:28" x14ac:dyDescent="0.35">
      <c r="A622" s="2">
        <v>35</v>
      </c>
      <c r="B622" s="2" t="str" cm="1">
        <f t="array" ref="B622">_xlfn.IFS(HR_table[[#This Row],[Age]]&lt;=20, "Under 20yrs",HR_table[[#This Row],[Age]]&lt;=30,"(21-30)yrs",HR_table[[#This Row],[Age]]&lt;=40,"(31-40)yrs",HR_table[[#This Row],[Age]]&lt;=50,"(41-50)yrs",HR_table[[#This Row],[Age]]&lt;=60,"(51-60)yrs")</f>
        <v>(31-40)yrs</v>
      </c>
      <c r="C622" t="s">
        <v>43</v>
      </c>
      <c r="D622" t="s">
        <v>36</v>
      </c>
      <c r="E622" t="s">
        <v>45</v>
      </c>
      <c r="F622" t="s">
        <v>51</v>
      </c>
      <c r="G622" t="s">
        <v>47</v>
      </c>
      <c r="H622">
        <v>856</v>
      </c>
      <c r="I622" s="2">
        <v>27</v>
      </c>
      <c r="J622" s="2">
        <v>3</v>
      </c>
      <c r="K622" t="s">
        <v>39</v>
      </c>
      <c r="L622" s="2">
        <v>1</v>
      </c>
      <c r="M622" s="2">
        <v>1</v>
      </c>
      <c r="N622" t="s">
        <v>41</v>
      </c>
      <c r="O622" s="2">
        <v>2559</v>
      </c>
      <c r="P622" s="2">
        <v>17852</v>
      </c>
      <c r="Q622" s="2">
        <v>1</v>
      </c>
      <c r="R622" t="s">
        <v>43</v>
      </c>
      <c r="S622" s="2">
        <v>3</v>
      </c>
      <c r="T622" s="2">
        <v>4</v>
      </c>
      <c r="U622">
        <v>80</v>
      </c>
      <c r="V622" s="2">
        <v>6</v>
      </c>
      <c r="W622">
        <v>3</v>
      </c>
      <c r="X622">
        <v>2</v>
      </c>
      <c r="Y622">
        <v>6</v>
      </c>
      <c r="Z622">
        <v>5</v>
      </c>
      <c r="AA622">
        <v>1</v>
      </c>
      <c r="AB622">
        <v>1</v>
      </c>
    </row>
    <row r="623" spans="1:28" x14ac:dyDescent="0.35">
      <c r="A623" s="2">
        <v>36</v>
      </c>
      <c r="B623" s="2" t="str" cm="1">
        <f t="array" ref="B623">_xlfn.IFS(HR_table[[#This Row],[Age]]&lt;=20, "Under 20yrs",HR_table[[#This Row],[Age]]&lt;=30,"(21-30)yrs",HR_table[[#This Row],[Age]]&lt;=40,"(31-40)yrs",HR_table[[#This Row],[Age]]&lt;=50,"(41-50)yrs",HR_table[[#This Row],[Age]]&lt;=60,"(51-60)yrs")</f>
        <v>(31-40)yrs</v>
      </c>
      <c r="C623" t="s">
        <v>43</v>
      </c>
      <c r="D623" t="s">
        <v>36</v>
      </c>
      <c r="E623" t="s">
        <v>37</v>
      </c>
      <c r="F623" t="s">
        <v>38</v>
      </c>
      <c r="G623" t="s">
        <v>40</v>
      </c>
      <c r="H623">
        <v>857</v>
      </c>
      <c r="I623" s="2">
        <v>1</v>
      </c>
      <c r="J623" s="2">
        <v>2</v>
      </c>
      <c r="K623" t="s">
        <v>46</v>
      </c>
      <c r="L623" s="2">
        <v>2</v>
      </c>
      <c r="M623" s="2">
        <v>4</v>
      </c>
      <c r="N623" t="s">
        <v>48</v>
      </c>
      <c r="O623" s="2">
        <v>6201</v>
      </c>
      <c r="P623" s="2">
        <v>2823</v>
      </c>
      <c r="Q623" s="2">
        <v>1</v>
      </c>
      <c r="R623" t="s">
        <v>35</v>
      </c>
      <c r="S623" s="2">
        <v>3</v>
      </c>
      <c r="T623" s="2">
        <v>4</v>
      </c>
      <c r="U623">
        <v>80</v>
      </c>
      <c r="V623" s="2">
        <v>18</v>
      </c>
      <c r="W623">
        <v>1</v>
      </c>
      <c r="X623">
        <v>2</v>
      </c>
      <c r="Y623">
        <v>18</v>
      </c>
      <c r="Z623">
        <v>14</v>
      </c>
      <c r="AA623">
        <v>4</v>
      </c>
      <c r="AB623">
        <v>11</v>
      </c>
    </row>
    <row r="624" spans="1:28" x14ac:dyDescent="0.35">
      <c r="A624" s="2">
        <v>32</v>
      </c>
      <c r="B624" s="2" t="str" cm="1">
        <f t="array" ref="B624">_xlfn.IFS(HR_table[[#This Row],[Age]]&lt;=20, "Under 20yrs",HR_table[[#This Row],[Age]]&lt;=30,"(21-30)yrs",HR_table[[#This Row],[Age]]&lt;=40,"(31-40)yrs",HR_table[[#This Row],[Age]]&lt;=50,"(41-50)yrs",HR_table[[#This Row],[Age]]&lt;=60,"(51-60)yrs")</f>
        <v>(31-40)yrs</v>
      </c>
      <c r="C624" t="s">
        <v>43</v>
      </c>
      <c r="D624" t="s">
        <v>36</v>
      </c>
      <c r="E624" t="s">
        <v>37</v>
      </c>
      <c r="F624" t="s">
        <v>38</v>
      </c>
      <c r="G624" t="s">
        <v>40</v>
      </c>
      <c r="H624">
        <v>859</v>
      </c>
      <c r="I624" s="2">
        <v>13</v>
      </c>
      <c r="J624" s="2">
        <v>2</v>
      </c>
      <c r="K624" t="s">
        <v>46</v>
      </c>
      <c r="L624" s="2">
        <v>2</v>
      </c>
      <c r="M624" s="2">
        <v>4</v>
      </c>
      <c r="N624" t="s">
        <v>52</v>
      </c>
      <c r="O624" s="2">
        <v>4403</v>
      </c>
      <c r="P624" s="2">
        <v>9250</v>
      </c>
      <c r="Q624" s="2">
        <v>2</v>
      </c>
      <c r="R624" t="s">
        <v>43</v>
      </c>
      <c r="S624" s="2">
        <v>3</v>
      </c>
      <c r="T624" s="2">
        <v>3</v>
      </c>
      <c r="U624">
        <v>80</v>
      </c>
      <c r="V624" s="2">
        <v>8</v>
      </c>
      <c r="W624">
        <v>3</v>
      </c>
      <c r="X624">
        <v>2</v>
      </c>
      <c r="Y624">
        <v>5</v>
      </c>
      <c r="Z624">
        <v>2</v>
      </c>
      <c r="AA624">
        <v>0</v>
      </c>
      <c r="AB624">
        <v>3</v>
      </c>
    </row>
    <row r="625" spans="1:28" x14ac:dyDescent="0.35">
      <c r="A625" s="2">
        <v>30</v>
      </c>
      <c r="B625" s="2" t="str" cm="1">
        <f t="array" ref="B625">_xlfn.IFS(HR_table[[#This Row],[Age]]&lt;=20, "Under 20yrs",HR_table[[#This Row],[Age]]&lt;=30,"(21-30)yrs",HR_table[[#This Row],[Age]]&lt;=40,"(31-40)yrs",HR_table[[#This Row],[Age]]&lt;=50,"(41-50)yrs",HR_table[[#This Row],[Age]]&lt;=60,"(51-60)yrs")</f>
        <v>(21-30)yrs</v>
      </c>
      <c r="C625" t="s">
        <v>43</v>
      </c>
      <c r="D625" t="s">
        <v>44</v>
      </c>
      <c r="E625" t="s">
        <v>45</v>
      </c>
      <c r="F625" t="s">
        <v>38</v>
      </c>
      <c r="G625" t="s">
        <v>47</v>
      </c>
      <c r="H625">
        <v>861</v>
      </c>
      <c r="I625" s="2">
        <v>5</v>
      </c>
      <c r="J625" s="2">
        <v>2</v>
      </c>
      <c r="K625" t="s">
        <v>46</v>
      </c>
      <c r="L625" s="2">
        <v>1</v>
      </c>
      <c r="M625" s="2">
        <v>4</v>
      </c>
      <c r="N625" t="s">
        <v>52</v>
      </c>
      <c r="O625" s="2">
        <v>3761</v>
      </c>
      <c r="P625" s="2">
        <v>2373</v>
      </c>
      <c r="Q625" s="2">
        <v>9</v>
      </c>
      <c r="R625" t="s">
        <v>43</v>
      </c>
      <c r="S625" s="2">
        <v>3</v>
      </c>
      <c r="T625" s="2">
        <v>2</v>
      </c>
      <c r="U625">
        <v>80</v>
      </c>
      <c r="V625" s="2">
        <v>10</v>
      </c>
      <c r="W625">
        <v>3</v>
      </c>
      <c r="X625">
        <v>2</v>
      </c>
      <c r="Y625">
        <v>5</v>
      </c>
      <c r="Z625">
        <v>4</v>
      </c>
      <c r="AA625">
        <v>0</v>
      </c>
      <c r="AB625">
        <v>3</v>
      </c>
    </row>
    <row r="626" spans="1:28" x14ac:dyDescent="0.35">
      <c r="A626" s="2">
        <v>53</v>
      </c>
      <c r="B626" s="2" t="str" cm="1">
        <f t="array" ref="B626">_xlfn.IFS(HR_table[[#This Row],[Age]]&lt;=20, "Under 20yrs",HR_table[[#This Row],[Age]]&lt;=30,"(21-30)yrs",HR_table[[#This Row],[Age]]&lt;=40,"(31-40)yrs",HR_table[[#This Row],[Age]]&lt;=50,"(41-50)yrs",HR_table[[#This Row],[Age]]&lt;=60,"(51-60)yrs")</f>
        <v>(51-60)yrs</v>
      </c>
      <c r="C626" t="s">
        <v>43</v>
      </c>
      <c r="D626" t="s">
        <v>36</v>
      </c>
      <c r="E626" t="s">
        <v>37</v>
      </c>
      <c r="F626" t="s">
        <v>59</v>
      </c>
      <c r="G626" t="s">
        <v>40</v>
      </c>
      <c r="H626">
        <v>862</v>
      </c>
      <c r="I626" s="2">
        <v>7</v>
      </c>
      <c r="J626" s="2">
        <v>1</v>
      </c>
      <c r="K626" t="s">
        <v>39</v>
      </c>
      <c r="L626" s="2">
        <v>3</v>
      </c>
      <c r="M626" s="2">
        <v>4</v>
      </c>
      <c r="N626" t="s">
        <v>48</v>
      </c>
      <c r="O626" s="2">
        <v>10934</v>
      </c>
      <c r="P626" s="2">
        <v>20715</v>
      </c>
      <c r="Q626" s="2">
        <v>7</v>
      </c>
      <c r="R626" t="s">
        <v>35</v>
      </c>
      <c r="S626" s="2">
        <v>3</v>
      </c>
      <c r="T626" s="2">
        <v>4</v>
      </c>
      <c r="U626">
        <v>80</v>
      </c>
      <c r="V626" s="2">
        <v>35</v>
      </c>
      <c r="W626">
        <v>3</v>
      </c>
      <c r="X626">
        <v>3</v>
      </c>
      <c r="Y626">
        <v>5</v>
      </c>
      <c r="Z626">
        <v>2</v>
      </c>
      <c r="AA626">
        <v>0</v>
      </c>
      <c r="AB626">
        <v>4</v>
      </c>
    </row>
    <row r="627" spans="1:28" x14ac:dyDescent="0.35">
      <c r="A627" s="2">
        <v>45</v>
      </c>
      <c r="B627" s="2" t="str" cm="1">
        <f t="array" ref="B627">_xlfn.IFS(HR_table[[#This Row],[Age]]&lt;=20, "Under 20yrs",HR_table[[#This Row],[Age]]&lt;=30,"(21-30)yrs",HR_table[[#This Row],[Age]]&lt;=40,"(31-40)yrs",HR_table[[#This Row],[Age]]&lt;=50,"(41-50)yrs",HR_table[[#This Row],[Age]]&lt;=60,"(51-60)yrs")</f>
        <v>(41-50)yrs</v>
      </c>
      <c r="C627" t="s">
        <v>43</v>
      </c>
      <c r="D627" t="s">
        <v>36</v>
      </c>
      <c r="E627" t="s">
        <v>37</v>
      </c>
      <c r="F627" t="s">
        <v>59</v>
      </c>
      <c r="G627" t="s">
        <v>40</v>
      </c>
      <c r="H627">
        <v>864</v>
      </c>
      <c r="I627" s="2">
        <v>9</v>
      </c>
      <c r="J627" s="2">
        <v>4</v>
      </c>
      <c r="K627" t="s">
        <v>46</v>
      </c>
      <c r="L627" s="2">
        <v>3</v>
      </c>
      <c r="M627" s="2">
        <v>1</v>
      </c>
      <c r="N627" t="s">
        <v>52</v>
      </c>
      <c r="O627" s="2">
        <v>10761</v>
      </c>
      <c r="P627" s="2">
        <v>19239</v>
      </c>
      <c r="Q627" s="2">
        <v>4</v>
      </c>
      <c r="R627" t="s">
        <v>35</v>
      </c>
      <c r="S627" s="2">
        <v>3</v>
      </c>
      <c r="T627" s="2">
        <v>3</v>
      </c>
      <c r="U627">
        <v>80</v>
      </c>
      <c r="V627" s="2">
        <v>18</v>
      </c>
      <c r="W627">
        <v>2</v>
      </c>
      <c r="X627">
        <v>3</v>
      </c>
      <c r="Y627">
        <v>5</v>
      </c>
      <c r="Z627">
        <v>4</v>
      </c>
      <c r="AA627">
        <v>0</v>
      </c>
      <c r="AB627">
        <v>2</v>
      </c>
    </row>
    <row r="628" spans="1:28" x14ac:dyDescent="0.35">
      <c r="A628" s="2">
        <v>32</v>
      </c>
      <c r="B628" s="2" t="str" cm="1">
        <f t="array" ref="B628">_xlfn.IFS(HR_table[[#This Row],[Age]]&lt;=20, "Under 20yrs",HR_table[[#This Row],[Age]]&lt;=30,"(21-30)yrs",HR_table[[#This Row],[Age]]&lt;=40,"(31-40)yrs",HR_table[[#This Row],[Age]]&lt;=50,"(41-50)yrs",HR_table[[#This Row],[Age]]&lt;=60,"(51-60)yrs")</f>
        <v>(31-40)yrs</v>
      </c>
      <c r="C628" t="s">
        <v>43</v>
      </c>
      <c r="D628" t="s">
        <v>36</v>
      </c>
      <c r="E628" t="s">
        <v>45</v>
      </c>
      <c r="F628" t="s">
        <v>51</v>
      </c>
      <c r="G628" t="s">
        <v>47</v>
      </c>
      <c r="H628">
        <v>865</v>
      </c>
      <c r="I628" s="2">
        <v>8</v>
      </c>
      <c r="J628" s="2">
        <v>3</v>
      </c>
      <c r="K628" t="s">
        <v>39</v>
      </c>
      <c r="L628" s="2">
        <v>2</v>
      </c>
      <c r="M628" s="2">
        <v>3</v>
      </c>
      <c r="N628" t="s">
        <v>48</v>
      </c>
      <c r="O628" s="2">
        <v>5175</v>
      </c>
      <c r="P628" s="2">
        <v>22162</v>
      </c>
      <c r="Q628" s="2">
        <v>5</v>
      </c>
      <c r="R628" t="s">
        <v>43</v>
      </c>
      <c r="S628" s="2">
        <v>3</v>
      </c>
      <c r="T628" s="2">
        <v>3</v>
      </c>
      <c r="U628">
        <v>80</v>
      </c>
      <c r="V628" s="2">
        <v>9</v>
      </c>
      <c r="W628">
        <v>3</v>
      </c>
      <c r="X628">
        <v>2</v>
      </c>
      <c r="Y628">
        <v>5</v>
      </c>
      <c r="Z628">
        <v>3</v>
      </c>
      <c r="AA628">
        <v>1</v>
      </c>
      <c r="AB628">
        <v>3</v>
      </c>
    </row>
    <row r="629" spans="1:28" x14ac:dyDescent="0.35">
      <c r="A629" s="2">
        <v>52</v>
      </c>
      <c r="B629" s="2" t="str" cm="1">
        <f t="array" ref="B629">_xlfn.IFS(HR_table[[#This Row],[Age]]&lt;=20, "Under 20yrs",HR_table[[#This Row],[Age]]&lt;=30,"(21-30)yrs",HR_table[[#This Row],[Age]]&lt;=40,"(31-40)yrs",HR_table[[#This Row],[Age]]&lt;=50,"(41-50)yrs",HR_table[[#This Row],[Age]]&lt;=60,"(51-60)yrs")</f>
        <v>(51-60)yrs</v>
      </c>
      <c r="C629" t="s">
        <v>43</v>
      </c>
      <c r="D629" t="s">
        <v>44</v>
      </c>
      <c r="E629" t="s">
        <v>45</v>
      </c>
      <c r="F629" t="s">
        <v>51</v>
      </c>
      <c r="G629" t="s">
        <v>53</v>
      </c>
      <c r="H629">
        <v>867</v>
      </c>
      <c r="I629" s="2">
        <v>25</v>
      </c>
      <c r="J629" s="2">
        <v>3</v>
      </c>
      <c r="K629" t="s">
        <v>39</v>
      </c>
      <c r="L629" s="2">
        <v>4</v>
      </c>
      <c r="M629" s="2">
        <v>4</v>
      </c>
      <c r="N629" t="s">
        <v>48</v>
      </c>
      <c r="O629" s="2">
        <v>13826</v>
      </c>
      <c r="P629" s="2">
        <v>19028</v>
      </c>
      <c r="Q629" s="2">
        <v>3</v>
      </c>
      <c r="R629" t="s">
        <v>43</v>
      </c>
      <c r="S629" s="2">
        <v>4</v>
      </c>
      <c r="T629" s="2">
        <v>3</v>
      </c>
      <c r="U629">
        <v>80</v>
      </c>
      <c r="V629" s="2">
        <v>31</v>
      </c>
      <c r="W629">
        <v>3</v>
      </c>
      <c r="X629">
        <v>3</v>
      </c>
      <c r="Y629">
        <v>9</v>
      </c>
      <c r="Z629">
        <v>8</v>
      </c>
      <c r="AA629">
        <v>0</v>
      </c>
      <c r="AB629">
        <v>0</v>
      </c>
    </row>
    <row r="630" spans="1:28" x14ac:dyDescent="0.35">
      <c r="A630" s="2">
        <v>37</v>
      </c>
      <c r="B630" s="2" t="str" cm="1">
        <f t="array" ref="B630">_xlfn.IFS(HR_table[[#This Row],[Age]]&lt;=20, "Under 20yrs",HR_table[[#This Row],[Age]]&lt;=30,"(21-30)yrs",HR_table[[#This Row],[Age]]&lt;=40,"(31-40)yrs",HR_table[[#This Row],[Age]]&lt;=50,"(41-50)yrs",HR_table[[#This Row],[Age]]&lt;=60,"(51-60)yrs")</f>
        <v>(31-40)yrs</v>
      </c>
      <c r="C630" t="s">
        <v>43</v>
      </c>
      <c r="D630" t="s">
        <v>36</v>
      </c>
      <c r="E630" t="s">
        <v>37</v>
      </c>
      <c r="F630" t="s">
        <v>59</v>
      </c>
      <c r="G630" t="s">
        <v>40</v>
      </c>
      <c r="H630">
        <v>868</v>
      </c>
      <c r="I630" s="2">
        <v>16</v>
      </c>
      <c r="J630" s="2">
        <v>4</v>
      </c>
      <c r="K630" t="s">
        <v>46</v>
      </c>
      <c r="L630" s="2">
        <v>2</v>
      </c>
      <c r="M630" s="2">
        <v>3</v>
      </c>
      <c r="N630" t="s">
        <v>52</v>
      </c>
      <c r="O630" s="2">
        <v>6334</v>
      </c>
      <c r="P630" s="2">
        <v>24558</v>
      </c>
      <c r="Q630" s="2">
        <v>4</v>
      </c>
      <c r="R630" t="s">
        <v>43</v>
      </c>
      <c r="S630" s="2">
        <v>3</v>
      </c>
      <c r="T630" s="2">
        <v>4</v>
      </c>
      <c r="U630">
        <v>80</v>
      </c>
      <c r="V630" s="2">
        <v>9</v>
      </c>
      <c r="W630">
        <v>2</v>
      </c>
      <c r="X630">
        <v>3</v>
      </c>
      <c r="Y630">
        <v>1</v>
      </c>
      <c r="Z630">
        <v>0</v>
      </c>
      <c r="AA630">
        <v>0</v>
      </c>
      <c r="AB630">
        <v>0</v>
      </c>
    </row>
    <row r="631" spans="1:28" x14ac:dyDescent="0.35">
      <c r="A631" s="2">
        <v>28</v>
      </c>
      <c r="B631" s="2" t="str" cm="1">
        <f t="array" ref="B631">_xlfn.IFS(HR_table[[#This Row],[Age]]&lt;=20, "Under 20yrs",HR_table[[#This Row],[Age]]&lt;=30,"(21-30)yrs",HR_table[[#This Row],[Age]]&lt;=40,"(31-40)yrs",HR_table[[#This Row],[Age]]&lt;=50,"(41-50)yrs",HR_table[[#This Row],[Age]]&lt;=60,"(51-60)yrs")</f>
        <v>(21-30)yrs</v>
      </c>
      <c r="C631" t="s">
        <v>43</v>
      </c>
      <c r="D631" t="s">
        <v>36</v>
      </c>
      <c r="E631" t="s">
        <v>61</v>
      </c>
      <c r="F631" t="s">
        <v>51</v>
      </c>
      <c r="G631" t="s">
        <v>61</v>
      </c>
      <c r="H631">
        <v>869</v>
      </c>
      <c r="I631" s="2">
        <v>8</v>
      </c>
      <c r="J631" s="2">
        <v>2</v>
      </c>
      <c r="K631" t="s">
        <v>46</v>
      </c>
      <c r="L631" s="2">
        <v>1</v>
      </c>
      <c r="M631" s="2">
        <v>4</v>
      </c>
      <c r="N631" t="s">
        <v>52</v>
      </c>
      <c r="O631" s="2">
        <v>4936</v>
      </c>
      <c r="P631" s="2">
        <v>23965</v>
      </c>
      <c r="Q631" s="2">
        <v>1</v>
      </c>
      <c r="R631" t="s">
        <v>43</v>
      </c>
      <c r="S631" s="2">
        <v>3</v>
      </c>
      <c r="T631" s="2">
        <v>4</v>
      </c>
      <c r="U631">
        <v>80</v>
      </c>
      <c r="V631" s="2">
        <v>6</v>
      </c>
      <c r="W631">
        <v>6</v>
      </c>
      <c r="X631">
        <v>3</v>
      </c>
      <c r="Y631">
        <v>5</v>
      </c>
      <c r="Z631">
        <v>1</v>
      </c>
      <c r="AA631">
        <v>0</v>
      </c>
      <c r="AB631">
        <v>4</v>
      </c>
    </row>
    <row r="632" spans="1:28" x14ac:dyDescent="0.35">
      <c r="A632" s="2">
        <v>22</v>
      </c>
      <c r="B632" s="2" t="str" cm="1">
        <f t="array" ref="B632">_xlfn.IFS(HR_table[[#This Row],[Age]]&lt;=20, "Under 20yrs",HR_table[[#This Row],[Age]]&lt;=30,"(21-30)yrs",HR_table[[#This Row],[Age]]&lt;=40,"(31-40)yrs",HR_table[[#This Row],[Age]]&lt;=50,"(41-50)yrs",HR_table[[#This Row],[Age]]&lt;=60,"(51-60)yrs")</f>
        <v>(21-30)yrs</v>
      </c>
      <c r="C632" t="s">
        <v>43</v>
      </c>
      <c r="D632" t="s">
        <v>36</v>
      </c>
      <c r="E632" t="s">
        <v>45</v>
      </c>
      <c r="F632" t="s">
        <v>38</v>
      </c>
      <c r="G632" t="s">
        <v>53</v>
      </c>
      <c r="H632">
        <v>872</v>
      </c>
      <c r="I632" s="2">
        <v>1</v>
      </c>
      <c r="J632" s="2">
        <v>4</v>
      </c>
      <c r="K632" t="s">
        <v>46</v>
      </c>
      <c r="L632" s="2">
        <v>2</v>
      </c>
      <c r="M632" s="2">
        <v>4</v>
      </c>
      <c r="N632" t="s">
        <v>48</v>
      </c>
      <c r="O632" s="2">
        <v>4775</v>
      </c>
      <c r="P632" s="2">
        <v>19146</v>
      </c>
      <c r="Q632" s="2">
        <v>6</v>
      </c>
      <c r="R632" t="s">
        <v>43</v>
      </c>
      <c r="S632" s="2">
        <v>4</v>
      </c>
      <c r="T632" s="2">
        <v>1</v>
      </c>
      <c r="U632">
        <v>80</v>
      </c>
      <c r="V632" s="2">
        <v>4</v>
      </c>
      <c r="W632">
        <v>2</v>
      </c>
      <c r="X632">
        <v>1</v>
      </c>
      <c r="Y632">
        <v>2</v>
      </c>
      <c r="Z632">
        <v>2</v>
      </c>
      <c r="AA632">
        <v>2</v>
      </c>
      <c r="AB632">
        <v>2</v>
      </c>
    </row>
    <row r="633" spans="1:28" x14ac:dyDescent="0.35">
      <c r="A633" s="2">
        <v>44</v>
      </c>
      <c r="B633" s="2" t="str" cm="1">
        <f t="array" ref="B633">_xlfn.IFS(HR_table[[#This Row],[Age]]&lt;=20, "Under 20yrs",HR_table[[#This Row],[Age]]&lt;=30,"(21-30)yrs",HR_table[[#This Row],[Age]]&lt;=40,"(31-40)yrs",HR_table[[#This Row],[Age]]&lt;=50,"(41-50)yrs",HR_table[[#This Row],[Age]]&lt;=60,"(51-60)yrs")</f>
        <v>(41-50)yrs</v>
      </c>
      <c r="C633" t="s">
        <v>43</v>
      </c>
      <c r="D633" t="s">
        <v>36</v>
      </c>
      <c r="E633" t="s">
        <v>45</v>
      </c>
      <c r="F633" t="s">
        <v>38</v>
      </c>
      <c r="G633" t="s">
        <v>50</v>
      </c>
      <c r="H633">
        <v>874</v>
      </c>
      <c r="I633" s="2">
        <v>8</v>
      </c>
      <c r="J633" s="2">
        <v>1</v>
      </c>
      <c r="K633" t="s">
        <v>46</v>
      </c>
      <c r="L633" s="2">
        <v>1</v>
      </c>
      <c r="M633" s="2">
        <v>4</v>
      </c>
      <c r="N633" t="s">
        <v>48</v>
      </c>
      <c r="O633" s="2">
        <v>2818</v>
      </c>
      <c r="P633" s="2">
        <v>5044</v>
      </c>
      <c r="Q633" s="2">
        <v>2</v>
      </c>
      <c r="R633" t="s">
        <v>35</v>
      </c>
      <c r="S633" s="2">
        <v>4</v>
      </c>
      <c r="T633" s="2">
        <v>3</v>
      </c>
      <c r="U633">
        <v>80</v>
      </c>
      <c r="V633" s="2">
        <v>10</v>
      </c>
      <c r="W633">
        <v>2</v>
      </c>
      <c r="X633">
        <v>2</v>
      </c>
      <c r="Y633">
        <v>3</v>
      </c>
      <c r="Z633">
        <v>2</v>
      </c>
      <c r="AA633">
        <v>0</v>
      </c>
      <c r="AB633">
        <v>2</v>
      </c>
    </row>
    <row r="634" spans="1:28" x14ac:dyDescent="0.35">
      <c r="A634" s="2">
        <v>42</v>
      </c>
      <c r="B634" s="2" t="str" cm="1">
        <f t="array" ref="B634">_xlfn.IFS(HR_table[[#This Row],[Age]]&lt;=20, "Under 20yrs",HR_table[[#This Row],[Age]]&lt;=30,"(21-30)yrs",HR_table[[#This Row],[Age]]&lt;=40,"(31-40)yrs",HR_table[[#This Row],[Age]]&lt;=50,"(41-50)yrs",HR_table[[#This Row],[Age]]&lt;=60,"(51-60)yrs")</f>
        <v>(41-50)yrs</v>
      </c>
      <c r="C634" t="s">
        <v>43</v>
      </c>
      <c r="D634" t="s">
        <v>44</v>
      </c>
      <c r="E634" t="s">
        <v>45</v>
      </c>
      <c r="F634" t="s">
        <v>51</v>
      </c>
      <c r="G634" t="s">
        <v>47</v>
      </c>
      <c r="H634">
        <v>875</v>
      </c>
      <c r="I634" s="2">
        <v>2</v>
      </c>
      <c r="J634" s="2">
        <v>2</v>
      </c>
      <c r="K634" t="s">
        <v>46</v>
      </c>
      <c r="L634" s="2">
        <v>1</v>
      </c>
      <c r="M634" s="2">
        <v>4</v>
      </c>
      <c r="N634" t="s">
        <v>41</v>
      </c>
      <c r="O634" s="2">
        <v>2515</v>
      </c>
      <c r="P634" s="2">
        <v>9068</v>
      </c>
      <c r="Q634" s="2">
        <v>5</v>
      </c>
      <c r="R634" t="s">
        <v>35</v>
      </c>
      <c r="S634" s="2">
        <v>3</v>
      </c>
      <c r="T634" s="2">
        <v>4</v>
      </c>
      <c r="U634">
        <v>80</v>
      </c>
      <c r="V634" s="2">
        <v>8</v>
      </c>
      <c r="W634">
        <v>2</v>
      </c>
      <c r="X634">
        <v>3</v>
      </c>
      <c r="Y634">
        <v>2</v>
      </c>
      <c r="Z634">
        <v>1</v>
      </c>
      <c r="AA634">
        <v>2</v>
      </c>
      <c r="AB634">
        <v>2</v>
      </c>
    </row>
    <row r="635" spans="1:28" x14ac:dyDescent="0.35">
      <c r="A635" s="2">
        <v>36</v>
      </c>
      <c r="B635" s="2" t="str" cm="1">
        <f t="array" ref="B635">_xlfn.IFS(HR_table[[#This Row],[Age]]&lt;=20, "Under 20yrs",HR_table[[#This Row],[Age]]&lt;=30,"(21-30)yrs",HR_table[[#This Row],[Age]]&lt;=40,"(31-40)yrs",HR_table[[#This Row],[Age]]&lt;=50,"(41-50)yrs",HR_table[[#This Row],[Age]]&lt;=60,"(51-60)yrs")</f>
        <v>(31-40)yrs</v>
      </c>
      <c r="C635" t="s">
        <v>43</v>
      </c>
      <c r="D635" t="s">
        <v>36</v>
      </c>
      <c r="E635" t="s">
        <v>61</v>
      </c>
      <c r="F635" t="s">
        <v>38</v>
      </c>
      <c r="G635" t="s">
        <v>61</v>
      </c>
      <c r="H635">
        <v>878</v>
      </c>
      <c r="I635" s="2">
        <v>8</v>
      </c>
      <c r="J635" s="2">
        <v>1</v>
      </c>
      <c r="K635" t="s">
        <v>46</v>
      </c>
      <c r="L635" s="2">
        <v>1</v>
      </c>
      <c r="M635" s="2">
        <v>1</v>
      </c>
      <c r="N635" t="s">
        <v>48</v>
      </c>
      <c r="O635" s="2">
        <v>2342</v>
      </c>
      <c r="P635" s="2">
        <v>8635</v>
      </c>
      <c r="Q635" s="2">
        <v>0</v>
      </c>
      <c r="R635" t="s">
        <v>43</v>
      </c>
      <c r="S635" s="2">
        <v>4</v>
      </c>
      <c r="T635" s="2">
        <v>3</v>
      </c>
      <c r="U635">
        <v>80</v>
      </c>
      <c r="V635" s="2">
        <v>6</v>
      </c>
      <c r="W635">
        <v>3</v>
      </c>
      <c r="X635">
        <v>3</v>
      </c>
      <c r="Y635">
        <v>5</v>
      </c>
      <c r="Z635">
        <v>4</v>
      </c>
      <c r="AA635">
        <v>0</v>
      </c>
      <c r="AB635">
        <v>3</v>
      </c>
    </row>
    <row r="636" spans="1:28" x14ac:dyDescent="0.35">
      <c r="A636" s="2">
        <v>25</v>
      </c>
      <c r="B636" s="2" t="str" cm="1">
        <f t="array" ref="B636">_xlfn.IFS(HR_table[[#This Row],[Age]]&lt;=20, "Under 20yrs",HR_table[[#This Row],[Age]]&lt;=30,"(21-30)yrs",HR_table[[#This Row],[Age]]&lt;=40,"(31-40)yrs",HR_table[[#This Row],[Age]]&lt;=50,"(41-50)yrs",HR_table[[#This Row],[Age]]&lt;=60,"(51-60)yrs")</f>
        <v>(21-30)yrs</v>
      </c>
      <c r="C636" t="s">
        <v>43</v>
      </c>
      <c r="D636" t="s">
        <v>36</v>
      </c>
      <c r="E636" t="s">
        <v>37</v>
      </c>
      <c r="F636" t="s">
        <v>49</v>
      </c>
      <c r="G636" t="s">
        <v>40</v>
      </c>
      <c r="H636">
        <v>879</v>
      </c>
      <c r="I636" s="2">
        <v>3</v>
      </c>
      <c r="J636" s="2">
        <v>3</v>
      </c>
      <c r="K636" t="s">
        <v>46</v>
      </c>
      <c r="L636" s="2">
        <v>2</v>
      </c>
      <c r="M636" s="2">
        <v>1</v>
      </c>
      <c r="N636" t="s">
        <v>48</v>
      </c>
      <c r="O636" s="2">
        <v>4194</v>
      </c>
      <c r="P636" s="2">
        <v>14363</v>
      </c>
      <c r="Q636" s="2">
        <v>1</v>
      </c>
      <c r="R636" t="s">
        <v>35</v>
      </c>
      <c r="S636" s="2">
        <v>3</v>
      </c>
      <c r="T636" s="2">
        <v>4</v>
      </c>
      <c r="U636">
        <v>80</v>
      </c>
      <c r="V636" s="2">
        <v>5</v>
      </c>
      <c r="W636">
        <v>3</v>
      </c>
      <c r="X636">
        <v>3</v>
      </c>
      <c r="Y636">
        <v>5</v>
      </c>
      <c r="Z636">
        <v>3</v>
      </c>
      <c r="AA636">
        <v>0</v>
      </c>
      <c r="AB636">
        <v>3</v>
      </c>
    </row>
    <row r="637" spans="1:28" x14ac:dyDescent="0.35">
      <c r="A637" s="2">
        <v>35</v>
      </c>
      <c r="B637" s="2" t="str" cm="1">
        <f t="array" ref="B637">_xlfn.IFS(HR_table[[#This Row],[Age]]&lt;=20, "Under 20yrs",HR_table[[#This Row],[Age]]&lt;=30,"(21-30)yrs",HR_table[[#This Row],[Age]]&lt;=40,"(31-40)yrs",HR_table[[#This Row],[Age]]&lt;=50,"(41-50)yrs",HR_table[[#This Row],[Age]]&lt;=60,"(51-60)yrs")</f>
        <v>(31-40)yrs</v>
      </c>
      <c r="C637" t="s">
        <v>43</v>
      </c>
      <c r="D637" t="s">
        <v>36</v>
      </c>
      <c r="E637" t="s">
        <v>45</v>
      </c>
      <c r="F637" t="s">
        <v>38</v>
      </c>
      <c r="G637" t="s">
        <v>53</v>
      </c>
      <c r="H637">
        <v>880</v>
      </c>
      <c r="I637" s="2">
        <v>9</v>
      </c>
      <c r="J637" s="2">
        <v>4</v>
      </c>
      <c r="K637" t="s">
        <v>39</v>
      </c>
      <c r="L637" s="2">
        <v>3</v>
      </c>
      <c r="M637" s="2">
        <v>3</v>
      </c>
      <c r="N637" t="s">
        <v>48</v>
      </c>
      <c r="O637" s="2">
        <v>10685</v>
      </c>
      <c r="P637" s="2">
        <v>23457</v>
      </c>
      <c r="Q637" s="2">
        <v>1</v>
      </c>
      <c r="R637" t="s">
        <v>35</v>
      </c>
      <c r="S637" s="2">
        <v>4</v>
      </c>
      <c r="T637" s="2">
        <v>2</v>
      </c>
      <c r="U637">
        <v>80</v>
      </c>
      <c r="V637" s="2">
        <v>17</v>
      </c>
      <c r="W637">
        <v>2</v>
      </c>
      <c r="X637">
        <v>3</v>
      </c>
      <c r="Y637">
        <v>17</v>
      </c>
      <c r="Z637">
        <v>14</v>
      </c>
      <c r="AA637">
        <v>5</v>
      </c>
      <c r="AB637">
        <v>15</v>
      </c>
    </row>
    <row r="638" spans="1:28" x14ac:dyDescent="0.35">
      <c r="A638" s="2">
        <v>35</v>
      </c>
      <c r="B638" s="2" t="str" cm="1">
        <f t="array" ref="B638">_xlfn.IFS(HR_table[[#This Row],[Age]]&lt;=20, "Under 20yrs",HR_table[[#This Row],[Age]]&lt;=30,"(21-30)yrs",HR_table[[#This Row],[Age]]&lt;=40,"(31-40)yrs",HR_table[[#This Row],[Age]]&lt;=50,"(41-50)yrs",HR_table[[#This Row],[Age]]&lt;=60,"(51-60)yrs")</f>
        <v>(31-40)yrs</v>
      </c>
      <c r="C638" t="s">
        <v>35</v>
      </c>
      <c r="D638" t="s">
        <v>44</v>
      </c>
      <c r="E638" t="s">
        <v>45</v>
      </c>
      <c r="F638" t="s">
        <v>38</v>
      </c>
      <c r="G638" t="s">
        <v>47</v>
      </c>
      <c r="H638">
        <v>881</v>
      </c>
      <c r="I638" s="2">
        <v>25</v>
      </c>
      <c r="J638" s="2">
        <v>4</v>
      </c>
      <c r="K638" t="s">
        <v>39</v>
      </c>
      <c r="L638" s="2">
        <v>1</v>
      </c>
      <c r="M638" s="2">
        <v>2</v>
      </c>
      <c r="N638" t="s">
        <v>52</v>
      </c>
      <c r="O638" s="2">
        <v>2022</v>
      </c>
      <c r="P638" s="2">
        <v>16612</v>
      </c>
      <c r="Q638" s="2">
        <v>1</v>
      </c>
      <c r="R638" t="s">
        <v>35</v>
      </c>
      <c r="S638" s="2">
        <v>3</v>
      </c>
      <c r="T638" s="2">
        <v>1</v>
      </c>
      <c r="U638">
        <v>80</v>
      </c>
      <c r="V638" s="2">
        <v>10</v>
      </c>
      <c r="W638">
        <v>3</v>
      </c>
      <c r="X638">
        <v>2</v>
      </c>
      <c r="Y638">
        <v>10</v>
      </c>
      <c r="Z638">
        <v>2</v>
      </c>
      <c r="AA638">
        <v>7</v>
      </c>
      <c r="AB638">
        <v>8</v>
      </c>
    </row>
    <row r="639" spans="1:28" x14ac:dyDescent="0.35">
      <c r="A639" s="2">
        <v>32</v>
      </c>
      <c r="B639" s="2" t="str" cm="1">
        <f t="array" ref="B639">_xlfn.IFS(HR_table[[#This Row],[Age]]&lt;=20, "Under 20yrs",HR_table[[#This Row],[Age]]&lt;=30,"(21-30)yrs",HR_table[[#This Row],[Age]]&lt;=40,"(31-40)yrs",HR_table[[#This Row],[Age]]&lt;=50,"(41-50)yrs",HR_table[[#This Row],[Age]]&lt;=60,"(51-60)yrs")</f>
        <v>(31-40)yrs</v>
      </c>
      <c r="C639" t="s">
        <v>43</v>
      </c>
      <c r="D639" t="s">
        <v>55</v>
      </c>
      <c r="E639" t="s">
        <v>45</v>
      </c>
      <c r="F639" t="s">
        <v>38</v>
      </c>
      <c r="G639" t="s">
        <v>50</v>
      </c>
      <c r="H639">
        <v>882</v>
      </c>
      <c r="I639" s="2">
        <v>1</v>
      </c>
      <c r="J639" s="2">
        <v>4</v>
      </c>
      <c r="K639" t="s">
        <v>46</v>
      </c>
      <c r="L639" s="2">
        <v>1</v>
      </c>
      <c r="M639" s="2">
        <v>4</v>
      </c>
      <c r="N639" t="s">
        <v>52</v>
      </c>
      <c r="O639" s="2">
        <v>2314</v>
      </c>
      <c r="P639" s="2">
        <v>9148</v>
      </c>
      <c r="Q639" s="2">
        <v>0</v>
      </c>
      <c r="R639" t="s">
        <v>43</v>
      </c>
      <c r="S639" s="2">
        <v>3</v>
      </c>
      <c r="T639" s="2">
        <v>2</v>
      </c>
      <c r="U639">
        <v>80</v>
      </c>
      <c r="V639" s="2">
        <v>4</v>
      </c>
      <c r="W639">
        <v>2</v>
      </c>
      <c r="X639">
        <v>3</v>
      </c>
      <c r="Y639">
        <v>3</v>
      </c>
      <c r="Z639">
        <v>0</v>
      </c>
      <c r="AA639">
        <v>0</v>
      </c>
      <c r="AB639">
        <v>2</v>
      </c>
    </row>
    <row r="640" spans="1:28" x14ac:dyDescent="0.35">
      <c r="A640" s="2">
        <v>25</v>
      </c>
      <c r="B640" s="2" t="str" cm="1">
        <f t="array" ref="B640">_xlfn.IFS(HR_table[[#This Row],[Age]]&lt;=20, "Under 20yrs",HR_table[[#This Row],[Age]]&lt;=30,"(21-30)yrs",HR_table[[#This Row],[Age]]&lt;=40,"(31-40)yrs",HR_table[[#This Row],[Age]]&lt;=50,"(41-50)yrs",HR_table[[#This Row],[Age]]&lt;=60,"(51-60)yrs")</f>
        <v>(21-30)yrs</v>
      </c>
      <c r="C640" t="s">
        <v>43</v>
      </c>
      <c r="D640" t="s">
        <v>36</v>
      </c>
      <c r="E640" t="s">
        <v>37</v>
      </c>
      <c r="F640" t="s">
        <v>59</v>
      </c>
      <c r="G640" t="s">
        <v>40</v>
      </c>
      <c r="H640">
        <v>885</v>
      </c>
      <c r="I640" s="2">
        <v>4</v>
      </c>
      <c r="J640" s="2">
        <v>3</v>
      </c>
      <c r="K640" t="s">
        <v>46</v>
      </c>
      <c r="L640" s="2">
        <v>2</v>
      </c>
      <c r="M640" s="2">
        <v>1</v>
      </c>
      <c r="N640" t="s">
        <v>48</v>
      </c>
      <c r="O640" s="2">
        <v>4256</v>
      </c>
      <c r="P640" s="2">
        <v>18154</v>
      </c>
      <c r="Q640" s="2">
        <v>1</v>
      </c>
      <c r="R640" t="s">
        <v>43</v>
      </c>
      <c r="S640" s="2">
        <v>3</v>
      </c>
      <c r="T640" s="2">
        <v>1</v>
      </c>
      <c r="U640">
        <v>80</v>
      </c>
      <c r="V640" s="2">
        <v>5</v>
      </c>
      <c r="W640">
        <v>1</v>
      </c>
      <c r="X640">
        <v>4</v>
      </c>
      <c r="Y640">
        <v>5</v>
      </c>
      <c r="Z640">
        <v>2</v>
      </c>
      <c r="AA640">
        <v>0</v>
      </c>
      <c r="AB640">
        <v>3</v>
      </c>
    </row>
    <row r="641" spans="1:28" x14ac:dyDescent="0.35">
      <c r="A641" s="2">
        <v>49</v>
      </c>
      <c r="B641" s="2" t="str" cm="1">
        <f t="array" ref="B641">_xlfn.IFS(HR_table[[#This Row],[Age]]&lt;=20, "Under 20yrs",HR_table[[#This Row],[Age]]&lt;=30,"(21-30)yrs",HR_table[[#This Row],[Age]]&lt;=40,"(31-40)yrs",HR_table[[#This Row],[Age]]&lt;=50,"(41-50)yrs",HR_table[[#This Row],[Age]]&lt;=60,"(51-60)yrs")</f>
        <v>(41-50)yrs</v>
      </c>
      <c r="C641" t="s">
        <v>43</v>
      </c>
      <c r="D641" t="s">
        <v>36</v>
      </c>
      <c r="E641" t="s">
        <v>45</v>
      </c>
      <c r="F641" t="s">
        <v>60</v>
      </c>
      <c r="G641" t="s">
        <v>47</v>
      </c>
      <c r="H641">
        <v>887</v>
      </c>
      <c r="I641" s="2">
        <v>1</v>
      </c>
      <c r="J641" s="2">
        <v>3</v>
      </c>
      <c r="K641" t="s">
        <v>39</v>
      </c>
      <c r="L641" s="2">
        <v>1</v>
      </c>
      <c r="M641" s="2">
        <v>1</v>
      </c>
      <c r="N641" t="s">
        <v>48</v>
      </c>
      <c r="O641" s="2">
        <v>3580</v>
      </c>
      <c r="P641" s="2">
        <v>10554</v>
      </c>
      <c r="Q641" s="2">
        <v>2</v>
      </c>
      <c r="R641" t="s">
        <v>43</v>
      </c>
      <c r="S641" s="2">
        <v>3</v>
      </c>
      <c r="T641" s="2">
        <v>2</v>
      </c>
      <c r="U641">
        <v>80</v>
      </c>
      <c r="V641" s="2">
        <v>7</v>
      </c>
      <c r="W641">
        <v>2</v>
      </c>
      <c r="X641">
        <v>3</v>
      </c>
      <c r="Y641">
        <v>4</v>
      </c>
      <c r="Z641">
        <v>2</v>
      </c>
      <c r="AA641">
        <v>0</v>
      </c>
      <c r="AB641">
        <v>2</v>
      </c>
    </row>
    <row r="642" spans="1:28" x14ac:dyDescent="0.35">
      <c r="A642" s="2">
        <v>24</v>
      </c>
      <c r="B642" s="2" t="str" cm="1">
        <f t="array" ref="B642">_xlfn.IFS(HR_table[[#This Row],[Age]]&lt;=20, "Under 20yrs",HR_table[[#This Row],[Age]]&lt;=30,"(21-30)yrs",HR_table[[#This Row],[Age]]&lt;=40,"(31-40)yrs",HR_table[[#This Row],[Age]]&lt;=50,"(41-50)yrs",HR_table[[#This Row],[Age]]&lt;=60,"(51-60)yrs")</f>
        <v>(21-30)yrs</v>
      </c>
      <c r="C642" t="s">
        <v>43</v>
      </c>
      <c r="D642" t="s">
        <v>55</v>
      </c>
      <c r="E642" t="s">
        <v>45</v>
      </c>
      <c r="F642" t="s">
        <v>38</v>
      </c>
      <c r="G642" t="s">
        <v>50</v>
      </c>
      <c r="H642">
        <v>888</v>
      </c>
      <c r="I642" s="2">
        <v>4</v>
      </c>
      <c r="J642" s="2">
        <v>1</v>
      </c>
      <c r="K642" t="s">
        <v>46</v>
      </c>
      <c r="L642" s="2">
        <v>1</v>
      </c>
      <c r="M642" s="2">
        <v>4</v>
      </c>
      <c r="N642" t="s">
        <v>48</v>
      </c>
      <c r="O642" s="2">
        <v>3162</v>
      </c>
      <c r="P642" s="2">
        <v>10778</v>
      </c>
      <c r="Q642" s="2">
        <v>0</v>
      </c>
      <c r="R642" t="s">
        <v>43</v>
      </c>
      <c r="S642" s="2">
        <v>3</v>
      </c>
      <c r="T642" s="2">
        <v>4</v>
      </c>
      <c r="U642">
        <v>80</v>
      </c>
      <c r="V642" s="2">
        <v>6</v>
      </c>
      <c r="W642">
        <v>2</v>
      </c>
      <c r="X642">
        <v>2</v>
      </c>
      <c r="Y642">
        <v>5</v>
      </c>
      <c r="Z642">
        <v>2</v>
      </c>
      <c r="AA642">
        <v>3</v>
      </c>
      <c r="AB642">
        <v>4</v>
      </c>
    </row>
    <row r="643" spans="1:28" x14ac:dyDescent="0.35">
      <c r="A643" s="2">
        <v>32</v>
      </c>
      <c r="B643" s="2" t="str" cm="1">
        <f t="array" ref="B643">_xlfn.IFS(HR_table[[#This Row],[Age]]&lt;=20, "Under 20yrs",HR_table[[#This Row],[Age]]&lt;=30,"(21-30)yrs",HR_table[[#This Row],[Age]]&lt;=40,"(31-40)yrs",HR_table[[#This Row],[Age]]&lt;=50,"(41-50)yrs",HR_table[[#This Row],[Age]]&lt;=60,"(51-60)yrs")</f>
        <v>(31-40)yrs</v>
      </c>
      <c r="C643" t="s">
        <v>43</v>
      </c>
      <c r="D643" t="s">
        <v>44</v>
      </c>
      <c r="E643" t="s">
        <v>37</v>
      </c>
      <c r="F643" t="s">
        <v>38</v>
      </c>
      <c r="G643" t="s">
        <v>40</v>
      </c>
      <c r="H643">
        <v>889</v>
      </c>
      <c r="I643" s="2">
        <v>5</v>
      </c>
      <c r="J643" s="2">
        <v>2</v>
      </c>
      <c r="K643" t="s">
        <v>46</v>
      </c>
      <c r="L643" s="2">
        <v>2</v>
      </c>
      <c r="M643" s="2">
        <v>2</v>
      </c>
      <c r="N643" t="s">
        <v>48</v>
      </c>
      <c r="O643" s="2">
        <v>6524</v>
      </c>
      <c r="P643" s="2">
        <v>8891</v>
      </c>
      <c r="Q643" s="2">
        <v>1</v>
      </c>
      <c r="R643" t="s">
        <v>43</v>
      </c>
      <c r="S643" s="2">
        <v>3</v>
      </c>
      <c r="T643" s="2">
        <v>4</v>
      </c>
      <c r="U643">
        <v>80</v>
      </c>
      <c r="V643" s="2">
        <v>10</v>
      </c>
      <c r="W643">
        <v>3</v>
      </c>
      <c r="X643">
        <v>3</v>
      </c>
      <c r="Y643">
        <v>10</v>
      </c>
      <c r="Z643">
        <v>8</v>
      </c>
      <c r="AA643">
        <v>5</v>
      </c>
      <c r="AB643">
        <v>3</v>
      </c>
    </row>
    <row r="644" spans="1:28" x14ac:dyDescent="0.35">
      <c r="A644" s="2">
        <v>38</v>
      </c>
      <c r="B644" s="2" t="str" cm="1">
        <f t="array" ref="B644">_xlfn.IFS(HR_table[[#This Row],[Age]]&lt;=20, "Under 20yrs",HR_table[[#This Row],[Age]]&lt;=30,"(21-30)yrs",HR_table[[#This Row],[Age]]&lt;=40,"(31-40)yrs",HR_table[[#This Row],[Age]]&lt;=50,"(41-50)yrs",HR_table[[#This Row],[Age]]&lt;=60,"(51-60)yrs")</f>
        <v>(31-40)yrs</v>
      </c>
      <c r="C644" t="s">
        <v>43</v>
      </c>
      <c r="D644" t="s">
        <v>36</v>
      </c>
      <c r="E644" t="s">
        <v>37</v>
      </c>
      <c r="F644" t="s">
        <v>59</v>
      </c>
      <c r="G644" t="s">
        <v>57</v>
      </c>
      <c r="H644">
        <v>893</v>
      </c>
      <c r="I644" s="2">
        <v>9</v>
      </c>
      <c r="J644" s="2">
        <v>2</v>
      </c>
      <c r="K644" t="s">
        <v>46</v>
      </c>
      <c r="L644" s="2">
        <v>1</v>
      </c>
      <c r="M644" s="2">
        <v>2</v>
      </c>
      <c r="N644" t="s">
        <v>48</v>
      </c>
      <c r="O644" s="2">
        <v>2899</v>
      </c>
      <c r="P644" s="2">
        <v>12102</v>
      </c>
      <c r="Q644" s="2">
        <v>0</v>
      </c>
      <c r="R644" t="s">
        <v>43</v>
      </c>
      <c r="S644" s="2">
        <v>3</v>
      </c>
      <c r="T644" s="2">
        <v>4</v>
      </c>
      <c r="U644">
        <v>80</v>
      </c>
      <c r="V644" s="2">
        <v>3</v>
      </c>
      <c r="W644">
        <v>3</v>
      </c>
      <c r="X644">
        <v>3</v>
      </c>
      <c r="Y644">
        <v>2</v>
      </c>
      <c r="Z644">
        <v>2</v>
      </c>
      <c r="AA644">
        <v>1</v>
      </c>
      <c r="AB644">
        <v>2</v>
      </c>
    </row>
    <row r="645" spans="1:28" x14ac:dyDescent="0.35">
      <c r="A645" s="2">
        <v>42</v>
      </c>
      <c r="B645" s="2" t="str" cm="1">
        <f t="array" ref="B645">_xlfn.IFS(HR_table[[#This Row],[Age]]&lt;=20, "Under 20yrs",HR_table[[#This Row],[Age]]&lt;=30,"(21-30)yrs",HR_table[[#This Row],[Age]]&lt;=40,"(31-40)yrs",HR_table[[#This Row],[Age]]&lt;=50,"(41-50)yrs",HR_table[[#This Row],[Age]]&lt;=60,"(51-60)yrs")</f>
        <v>(41-50)yrs</v>
      </c>
      <c r="C645" t="s">
        <v>43</v>
      </c>
      <c r="D645" t="s">
        <v>36</v>
      </c>
      <c r="E645" t="s">
        <v>45</v>
      </c>
      <c r="F645" t="s">
        <v>38</v>
      </c>
      <c r="G645" t="s">
        <v>50</v>
      </c>
      <c r="H645">
        <v>894</v>
      </c>
      <c r="I645" s="2">
        <v>3</v>
      </c>
      <c r="J645" s="2">
        <v>3</v>
      </c>
      <c r="K645" t="s">
        <v>39</v>
      </c>
      <c r="L645" s="2">
        <v>2</v>
      </c>
      <c r="M645" s="2">
        <v>4</v>
      </c>
      <c r="N645" t="s">
        <v>48</v>
      </c>
      <c r="O645" s="2">
        <v>5231</v>
      </c>
      <c r="P645" s="2">
        <v>23726</v>
      </c>
      <c r="Q645" s="2">
        <v>2</v>
      </c>
      <c r="R645" t="s">
        <v>35</v>
      </c>
      <c r="S645" s="2">
        <v>3</v>
      </c>
      <c r="T645" s="2">
        <v>2</v>
      </c>
      <c r="U645">
        <v>80</v>
      </c>
      <c r="V645" s="2">
        <v>17</v>
      </c>
      <c r="W645">
        <v>1</v>
      </c>
      <c r="X645">
        <v>2</v>
      </c>
      <c r="Y645">
        <v>5</v>
      </c>
      <c r="Z645">
        <v>3</v>
      </c>
      <c r="AA645">
        <v>1</v>
      </c>
      <c r="AB645">
        <v>3</v>
      </c>
    </row>
    <row r="646" spans="1:28" x14ac:dyDescent="0.35">
      <c r="A646" s="2">
        <v>31</v>
      </c>
      <c r="B646" s="2" t="str" cm="1">
        <f t="array" ref="B646">_xlfn.IFS(HR_table[[#This Row],[Age]]&lt;=20, "Under 20yrs",HR_table[[#This Row],[Age]]&lt;=30,"(21-30)yrs",HR_table[[#This Row],[Age]]&lt;=40,"(31-40)yrs",HR_table[[#This Row],[Age]]&lt;=50,"(41-50)yrs",HR_table[[#This Row],[Age]]&lt;=60,"(51-60)yrs")</f>
        <v>(31-40)yrs</v>
      </c>
      <c r="C646" t="s">
        <v>43</v>
      </c>
      <c r="D646" t="s">
        <v>36</v>
      </c>
      <c r="E646" t="s">
        <v>45</v>
      </c>
      <c r="F646" t="s">
        <v>38</v>
      </c>
      <c r="G646" t="s">
        <v>47</v>
      </c>
      <c r="H646">
        <v>895</v>
      </c>
      <c r="I646" s="2">
        <v>11</v>
      </c>
      <c r="J646" s="2">
        <v>4</v>
      </c>
      <c r="K646" t="s">
        <v>46</v>
      </c>
      <c r="L646" s="2">
        <v>1</v>
      </c>
      <c r="M646" s="2">
        <v>4</v>
      </c>
      <c r="N646" t="s">
        <v>48</v>
      </c>
      <c r="O646" s="2">
        <v>2356</v>
      </c>
      <c r="P646" s="2">
        <v>14871</v>
      </c>
      <c r="Q646" s="2">
        <v>3</v>
      </c>
      <c r="R646" t="s">
        <v>35</v>
      </c>
      <c r="S646" s="2">
        <v>3</v>
      </c>
      <c r="T646" s="2">
        <v>2</v>
      </c>
      <c r="U646">
        <v>80</v>
      </c>
      <c r="V646" s="2">
        <v>8</v>
      </c>
      <c r="W646">
        <v>2</v>
      </c>
      <c r="X646">
        <v>3</v>
      </c>
      <c r="Y646">
        <v>6</v>
      </c>
      <c r="Z646">
        <v>4</v>
      </c>
      <c r="AA646">
        <v>0</v>
      </c>
      <c r="AB646">
        <v>2</v>
      </c>
    </row>
    <row r="647" spans="1:28" x14ac:dyDescent="0.35">
      <c r="A647" s="2">
        <v>29</v>
      </c>
      <c r="B647" s="2" t="str" cm="1">
        <f t="array" ref="B647">_xlfn.IFS(HR_table[[#This Row],[Age]]&lt;=20, "Under 20yrs",HR_table[[#This Row],[Age]]&lt;=30,"(21-30)yrs",HR_table[[#This Row],[Age]]&lt;=40,"(31-40)yrs",HR_table[[#This Row],[Age]]&lt;=50,"(41-50)yrs",HR_table[[#This Row],[Age]]&lt;=60,"(51-60)yrs")</f>
        <v>(21-30)yrs</v>
      </c>
      <c r="C647" t="s">
        <v>35</v>
      </c>
      <c r="D647" t="s">
        <v>36</v>
      </c>
      <c r="E647" t="s">
        <v>37</v>
      </c>
      <c r="F647" t="s">
        <v>51</v>
      </c>
      <c r="G647" t="s">
        <v>57</v>
      </c>
      <c r="H647">
        <v>896</v>
      </c>
      <c r="I647" s="2">
        <v>1</v>
      </c>
      <c r="J647" s="2">
        <v>2</v>
      </c>
      <c r="K647" t="s">
        <v>39</v>
      </c>
      <c r="L647" s="2">
        <v>1</v>
      </c>
      <c r="M647" s="2">
        <v>3</v>
      </c>
      <c r="N647" t="s">
        <v>52</v>
      </c>
      <c r="O647" s="2">
        <v>2800</v>
      </c>
      <c r="P647" s="2">
        <v>23522</v>
      </c>
      <c r="Q647" s="2">
        <v>6</v>
      </c>
      <c r="R647" t="s">
        <v>35</v>
      </c>
      <c r="S647" s="2">
        <v>3</v>
      </c>
      <c r="T647" s="2">
        <v>3</v>
      </c>
      <c r="U647">
        <v>80</v>
      </c>
      <c r="V647" s="2">
        <v>5</v>
      </c>
      <c r="W647">
        <v>3</v>
      </c>
      <c r="X647">
        <v>3</v>
      </c>
      <c r="Y647">
        <v>3</v>
      </c>
      <c r="Z647">
        <v>2</v>
      </c>
      <c r="AA647">
        <v>0</v>
      </c>
      <c r="AB647">
        <v>2</v>
      </c>
    </row>
    <row r="648" spans="1:28" x14ac:dyDescent="0.35">
      <c r="A648" s="2">
        <v>53</v>
      </c>
      <c r="B648" s="2" t="str" cm="1">
        <f t="array" ref="B648">_xlfn.IFS(HR_table[[#This Row],[Age]]&lt;=20, "Under 20yrs",HR_table[[#This Row],[Age]]&lt;=30,"(21-30)yrs",HR_table[[#This Row],[Age]]&lt;=40,"(31-40)yrs",HR_table[[#This Row],[Age]]&lt;=50,"(41-50)yrs",HR_table[[#This Row],[Age]]&lt;=60,"(51-60)yrs")</f>
        <v>(51-60)yrs</v>
      </c>
      <c r="C648" t="s">
        <v>43</v>
      </c>
      <c r="D648" t="s">
        <v>36</v>
      </c>
      <c r="E648" t="s">
        <v>37</v>
      </c>
      <c r="F648" t="s">
        <v>59</v>
      </c>
      <c r="G648" t="s">
        <v>40</v>
      </c>
      <c r="H648">
        <v>897</v>
      </c>
      <c r="I648" s="2">
        <v>8</v>
      </c>
      <c r="J648" s="2">
        <v>1</v>
      </c>
      <c r="K648" t="s">
        <v>46</v>
      </c>
      <c r="L648" s="2">
        <v>4</v>
      </c>
      <c r="M648" s="2">
        <v>4</v>
      </c>
      <c r="N648" t="s">
        <v>48</v>
      </c>
      <c r="O648" s="2">
        <v>11836</v>
      </c>
      <c r="P648" s="2">
        <v>22789</v>
      </c>
      <c r="Q648" s="2">
        <v>5</v>
      </c>
      <c r="R648" t="s">
        <v>43</v>
      </c>
      <c r="S648" s="2">
        <v>3</v>
      </c>
      <c r="T648" s="2">
        <v>3</v>
      </c>
      <c r="U648">
        <v>80</v>
      </c>
      <c r="V648" s="2">
        <v>28</v>
      </c>
      <c r="W648">
        <v>3</v>
      </c>
      <c r="X648">
        <v>3</v>
      </c>
      <c r="Y648">
        <v>2</v>
      </c>
      <c r="Z648">
        <v>0</v>
      </c>
      <c r="AA648">
        <v>2</v>
      </c>
      <c r="AB648">
        <v>2</v>
      </c>
    </row>
    <row r="649" spans="1:28" x14ac:dyDescent="0.35">
      <c r="A649" s="2">
        <v>35</v>
      </c>
      <c r="B649" s="2" t="str" cm="1">
        <f t="array" ref="B649">_xlfn.IFS(HR_table[[#This Row],[Age]]&lt;=20, "Under 20yrs",HR_table[[#This Row],[Age]]&lt;=30,"(21-30)yrs",HR_table[[#This Row],[Age]]&lt;=40,"(31-40)yrs",HR_table[[#This Row],[Age]]&lt;=50,"(41-50)yrs",HR_table[[#This Row],[Age]]&lt;=60,"(51-60)yrs")</f>
        <v>(31-40)yrs</v>
      </c>
      <c r="C649" t="s">
        <v>43</v>
      </c>
      <c r="D649" t="s">
        <v>36</v>
      </c>
      <c r="E649" t="s">
        <v>45</v>
      </c>
      <c r="F649" t="s">
        <v>60</v>
      </c>
      <c r="G649" t="s">
        <v>53</v>
      </c>
      <c r="H649">
        <v>899</v>
      </c>
      <c r="I649" s="2">
        <v>25</v>
      </c>
      <c r="J649" s="2">
        <v>4</v>
      </c>
      <c r="K649" t="s">
        <v>46</v>
      </c>
      <c r="L649" s="2">
        <v>3</v>
      </c>
      <c r="M649" s="2">
        <v>2</v>
      </c>
      <c r="N649" t="s">
        <v>48</v>
      </c>
      <c r="O649" s="2">
        <v>10903</v>
      </c>
      <c r="P649" s="2">
        <v>9129</v>
      </c>
      <c r="Q649" s="2">
        <v>3</v>
      </c>
      <c r="R649" t="s">
        <v>43</v>
      </c>
      <c r="S649" s="2">
        <v>3</v>
      </c>
      <c r="T649" s="2">
        <v>1</v>
      </c>
      <c r="U649">
        <v>80</v>
      </c>
      <c r="V649" s="2">
        <v>16</v>
      </c>
      <c r="W649">
        <v>2</v>
      </c>
      <c r="X649">
        <v>3</v>
      </c>
      <c r="Y649">
        <v>13</v>
      </c>
      <c r="Z649">
        <v>10</v>
      </c>
      <c r="AA649">
        <v>4</v>
      </c>
      <c r="AB649">
        <v>8</v>
      </c>
    </row>
    <row r="650" spans="1:28" x14ac:dyDescent="0.35">
      <c r="A650" s="2">
        <v>37</v>
      </c>
      <c r="B650" s="2" t="str" cm="1">
        <f t="array" ref="B650">_xlfn.IFS(HR_table[[#This Row],[Age]]&lt;=20, "Under 20yrs",HR_table[[#This Row],[Age]]&lt;=30,"(21-30)yrs",HR_table[[#This Row],[Age]]&lt;=40,"(31-40)yrs",HR_table[[#This Row],[Age]]&lt;=50,"(41-50)yrs",HR_table[[#This Row],[Age]]&lt;=60,"(51-60)yrs")</f>
        <v>(31-40)yrs</v>
      </c>
      <c r="C650" t="s">
        <v>43</v>
      </c>
      <c r="D650" t="s">
        <v>44</v>
      </c>
      <c r="E650" t="s">
        <v>37</v>
      </c>
      <c r="F650" t="s">
        <v>51</v>
      </c>
      <c r="G650" t="s">
        <v>57</v>
      </c>
      <c r="H650">
        <v>900</v>
      </c>
      <c r="I650" s="2">
        <v>21</v>
      </c>
      <c r="J650" s="2">
        <v>3</v>
      </c>
      <c r="K650" t="s">
        <v>39</v>
      </c>
      <c r="L650" s="2">
        <v>1</v>
      </c>
      <c r="M650" s="2">
        <v>4</v>
      </c>
      <c r="N650" t="s">
        <v>48</v>
      </c>
      <c r="O650" s="2">
        <v>2973</v>
      </c>
      <c r="P650" s="2">
        <v>21222</v>
      </c>
      <c r="Q650" s="2">
        <v>5</v>
      </c>
      <c r="R650" t="s">
        <v>43</v>
      </c>
      <c r="S650" s="2">
        <v>3</v>
      </c>
      <c r="T650" s="2">
        <v>2</v>
      </c>
      <c r="U650">
        <v>80</v>
      </c>
      <c r="V650" s="2">
        <v>10</v>
      </c>
      <c r="W650">
        <v>3</v>
      </c>
      <c r="X650">
        <v>3</v>
      </c>
      <c r="Y650">
        <v>5</v>
      </c>
      <c r="Z650">
        <v>4</v>
      </c>
      <c r="AA650">
        <v>0</v>
      </c>
      <c r="AB650">
        <v>0</v>
      </c>
    </row>
    <row r="651" spans="1:28" x14ac:dyDescent="0.35">
      <c r="A651" s="2">
        <v>53</v>
      </c>
      <c r="B651" s="2" t="str" cm="1">
        <f t="array" ref="B651">_xlfn.IFS(HR_table[[#This Row],[Age]]&lt;=20, "Under 20yrs",HR_table[[#This Row],[Age]]&lt;=30,"(21-30)yrs",HR_table[[#This Row],[Age]]&lt;=40,"(31-40)yrs",HR_table[[#This Row],[Age]]&lt;=50,"(41-50)yrs",HR_table[[#This Row],[Age]]&lt;=60,"(51-60)yrs")</f>
        <v>(51-60)yrs</v>
      </c>
      <c r="C651" t="s">
        <v>43</v>
      </c>
      <c r="D651" t="s">
        <v>36</v>
      </c>
      <c r="E651" t="s">
        <v>45</v>
      </c>
      <c r="F651" t="s">
        <v>38</v>
      </c>
      <c r="G651" t="s">
        <v>58</v>
      </c>
      <c r="H651">
        <v>901</v>
      </c>
      <c r="I651" s="2">
        <v>23</v>
      </c>
      <c r="J651" s="2">
        <v>4</v>
      </c>
      <c r="K651" t="s">
        <v>39</v>
      </c>
      <c r="L651" s="2">
        <v>4</v>
      </c>
      <c r="M651" s="2">
        <v>4</v>
      </c>
      <c r="N651" t="s">
        <v>41</v>
      </c>
      <c r="O651" s="2">
        <v>14275</v>
      </c>
      <c r="P651" s="2">
        <v>20206</v>
      </c>
      <c r="Q651" s="2">
        <v>6</v>
      </c>
      <c r="R651" t="s">
        <v>43</v>
      </c>
      <c r="S651" s="2">
        <v>3</v>
      </c>
      <c r="T651" s="2">
        <v>3</v>
      </c>
      <c r="U651">
        <v>80</v>
      </c>
      <c r="V651" s="2">
        <v>33</v>
      </c>
      <c r="W651">
        <v>0</v>
      </c>
      <c r="X651">
        <v>3</v>
      </c>
      <c r="Y651">
        <v>12</v>
      </c>
      <c r="Z651">
        <v>9</v>
      </c>
      <c r="AA651">
        <v>3</v>
      </c>
      <c r="AB651">
        <v>8</v>
      </c>
    </row>
    <row r="652" spans="1:28" x14ac:dyDescent="0.35">
      <c r="A652" s="2">
        <v>43</v>
      </c>
      <c r="B652" s="2" t="str" cm="1">
        <f t="array" ref="B652">_xlfn.IFS(HR_table[[#This Row],[Age]]&lt;=20, "Under 20yrs",HR_table[[#This Row],[Age]]&lt;=30,"(21-30)yrs",HR_table[[#This Row],[Age]]&lt;=40,"(31-40)yrs",HR_table[[#This Row],[Age]]&lt;=50,"(41-50)yrs",HR_table[[#This Row],[Age]]&lt;=60,"(51-60)yrs")</f>
        <v>(41-50)yrs</v>
      </c>
      <c r="C652" t="s">
        <v>43</v>
      </c>
      <c r="D652" t="s">
        <v>44</v>
      </c>
      <c r="E652" t="s">
        <v>45</v>
      </c>
      <c r="F652" t="s">
        <v>38</v>
      </c>
      <c r="G652" t="s">
        <v>54</v>
      </c>
      <c r="H652">
        <v>902</v>
      </c>
      <c r="I652" s="2">
        <v>1</v>
      </c>
      <c r="J652" s="2">
        <v>4</v>
      </c>
      <c r="K652" t="s">
        <v>39</v>
      </c>
      <c r="L652" s="2">
        <v>2</v>
      </c>
      <c r="M652" s="2">
        <v>4</v>
      </c>
      <c r="N652" t="s">
        <v>48</v>
      </c>
      <c r="O652" s="2">
        <v>5562</v>
      </c>
      <c r="P652" s="2">
        <v>21782</v>
      </c>
      <c r="Q652" s="2">
        <v>4</v>
      </c>
      <c r="R652" t="s">
        <v>43</v>
      </c>
      <c r="S652" s="2">
        <v>3</v>
      </c>
      <c r="T652" s="2">
        <v>2</v>
      </c>
      <c r="U652">
        <v>80</v>
      </c>
      <c r="V652" s="2">
        <v>12</v>
      </c>
      <c r="W652">
        <v>2</v>
      </c>
      <c r="X652">
        <v>2</v>
      </c>
      <c r="Y652">
        <v>5</v>
      </c>
      <c r="Z652">
        <v>2</v>
      </c>
      <c r="AA652">
        <v>2</v>
      </c>
      <c r="AB652">
        <v>2</v>
      </c>
    </row>
    <row r="653" spans="1:28" x14ac:dyDescent="0.35">
      <c r="A653" s="2">
        <v>47</v>
      </c>
      <c r="B653" s="2" t="str" cm="1">
        <f t="array" ref="B653">_xlfn.IFS(HR_table[[#This Row],[Age]]&lt;=20, "Under 20yrs",HR_table[[#This Row],[Age]]&lt;=30,"(21-30)yrs",HR_table[[#This Row],[Age]]&lt;=40,"(31-40)yrs",HR_table[[#This Row],[Age]]&lt;=50,"(41-50)yrs",HR_table[[#This Row],[Age]]&lt;=60,"(51-60)yrs")</f>
        <v>(41-50)yrs</v>
      </c>
      <c r="C653" t="s">
        <v>43</v>
      </c>
      <c r="D653" t="s">
        <v>36</v>
      </c>
      <c r="E653" t="s">
        <v>37</v>
      </c>
      <c r="F653" t="s">
        <v>59</v>
      </c>
      <c r="G653" t="s">
        <v>40</v>
      </c>
      <c r="H653">
        <v>903</v>
      </c>
      <c r="I653" s="2">
        <v>2</v>
      </c>
      <c r="J653" s="2">
        <v>3</v>
      </c>
      <c r="K653" t="s">
        <v>39</v>
      </c>
      <c r="L653" s="2">
        <v>2</v>
      </c>
      <c r="M653" s="2">
        <v>4</v>
      </c>
      <c r="N653" t="s">
        <v>48</v>
      </c>
      <c r="O653" s="2">
        <v>4537</v>
      </c>
      <c r="P653" s="2">
        <v>17783</v>
      </c>
      <c r="Q653" s="2">
        <v>0</v>
      </c>
      <c r="R653" t="s">
        <v>35</v>
      </c>
      <c r="S653" s="2">
        <v>4</v>
      </c>
      <c r="T653" s="2">
        <v>1</v>
      </c>
      <c r="U653">
        <v>80</v>
      </c>
      <c r="V653" s="2">
        <v>8</v>
      </c>
      <c r="W653">
        <v>2</v>
      </c>
      <c r="X653">
        <v>3</v>
      </c>
      <c r="Y653">
        <v>7</v>
      </c>
      <c r="Z653">
        <v>6</v>
      </c>
      <c r="AA653">
        <v>7</v>
      </c>
      <c r="AB653">
        <v>7</v>
      </c>
    </row>
    <row r="654" spans="1:28" x14ac:dyDescent="0.35">
      <c r="A654" s="2">
        <v>37</v>
      </c>
      <c r="B654" s="2" t="str" cm="1">
        <f t="array" ref="B654">_xlfn.IFS(HR_table[[#This Row],[Age]]&lt;=20, "Under 20yrs",HR_table[[#This Row],[Age]]&lt;=30,"(21-30)yrs",HR_table[[#This Row],[Age]]&lt;=40,"(31-40)yrs",HR_table[[#This Row],[Age]]&lt;=50,"(41-50)yrs",HR_table[[#This Row],[Age]]&lt;=60,"(51-60)yrs")</f>
        <v>(31-40)yrs</v>
      </c>
      <c r="C654" t="s">
        <v>43</v>
      </c>
      <c r="D654" t="s">
        <v>55</v>
      </c>
      <c r="E654" t="s">
        <v>37</v>
      </c>
      <c r="F654" t="s">
        <v>51</v>
      </c>
      <c r="G654" t="s">
        <v>40</v>
      </c>
      <c r="H654">
        <v>904</v>
      </c>
      <c r="I654" s="2">
        <v>19</v>
      </c>
      <c r="J654" s="2">
        <v>1</v>
      </c>
      <c r="K654" t="s">
        <v>46</v>
      </c>
      <c r="L654" s="2">
        <v>3</v>
      </c>
      <c r="M654" s="2">
        <v>2</v>
      </c>
      <c r="N654" t="s">
        <v>41</v>
      </c>
      <c r="O654" s="2">
        <v>7642</v>
      </c>
      <c r="P654" s="2">
        <v>4814</v>
      </c>
      <c r="Q654" s="2">
        <v>1</v>
      </c>
      <c r="R654" t="s">
        <v>35</v>
      </c>
      <c r="S654" s="2">
        <v>3</v>
      </c>
      <c r="T654" s="2">
        <v>4</v>
      </c>
      <c r="U654">
        <v>80</v>
      </c>
      <c r="V654" s="2">
        <v>10</v>
      </c>
      <c r="W654">
        <v>2</v>
      </c>
      <c r="X654">
        <v>3</v>
      </c>
      <c r="Y654">
        <v>10</v>
      </c>
      <c r="Z654">
        <v>0</v>
      </c>
      <c r="AA654">
        <v>0</v>
      </c>
      <c r="AB654">
        <v>9</v>
      </c>
    </row>
    <row r="655" spans="1:28" x14ac:dyDescent="0.35">
      <c r="A655" s="2">
        <v>50</v>
      </c>
      <c r="B655" s="2" t="str" cm="1">
        <f t="array" ref="B655">_xlfn.IFS(HR_table[[#This Row],[Age]]&lt;=20, "Under 20yrs",HR_table[[#This Row],[Age]]&lt;=30,"(21-30)yrs",HR_table[[#This Row],[Age]]&lt;=40,"(31-40)yrs",HR_table[[#This Row],[Age]]&lt;=50,"(41-50)yrs",HR_table[[#This Row],[Age]]&lt;=60,"(51-60)yrs")</f>
        <v>(41-50)yrs</v>
      </c>
      <c r="C655" t="s">
        <v>43</v>
      </c>
      <c r="D655" t="s">
        <v>55</v>
      </c>
      <c r="E655" t="s">
        <v>45</v>
      </c>
      <c r="F655" t="s">
        <v>38</v>
      </c>
      <c r="G655" t="s">
        <v>56</v>
      </c>
      <c r="H655">
        <v>905</v>
      </c>
      <c r="I655" s="2">
        <v>2</v>
      </c>
      <c r="J655" s="2">
        <v>1</v>
      </c>
      <c r="K655" t="s">
        <v>46</v>
      </c>
      <c r="L655" s="2">
        <v>4</v>
      </c>
      <c r="M655" s="2">
        <v>1</v>
      </c>
      <c r="N655" t="s">
        <v>52</v>
      </c>
      <c r="O655" s="2">
        <v>17924</v>
      </c>
      <c r="P655" s="2">
        <v>4544</v>
      </c>
      <c r="Q655" s="2">
        <v>1</v>
      </c>
      <c r="R655" t="s">
        <v>43</v>
      </c>
      <c r="S655" s="2">
        <v>3</v>
      </c>
      <c r="T655" s="2">
        <v>4</v>
      </c>
      <c r="U655">
        <v>80</v>
      </c>
      <c r="V655" s="2">
        <v>31</v>
      </c>
      <c r="W655">
        <v>3</v>
      </c>
      <c r="X655">
        <v>3</v>
      </c>
      <c r="Y655">
        <v>31</v>
      </c>
      <c r="Z655">
        <v>6</v>
      </c>
      <c r="AA655">
        <v>14</v>
      </c>
      <c r="AB655">
        <v>7</v>
      </c>
    </row>
    <row r="656" spans="1:28" x14ac:dyDescent="0.35">
      <c r="A656" s="2">
        <v>39</v>
      </c>
      <c r="B656" s="2" t="str" cm="1">
        <f t="array" ref="B656">_xlfn.IFS(HR_table[[#This Row],[Age]]&lt;=20, "Under 20yrs",HR_table[[#This Row],[Age]]&lt;=30,"(21-30)yrs",HR_table[[#This Row],[Age]]&lt;=40,"(31-40)yrs",HR_table[[#This Row],[Age]]&lt;=50,"(41-50)yrs",HR_table[[#This Row],[Age]]&lt;=60,"(51-60)yrs")</f>
        <v>(31-40)yrs</v>
      </c>
      <c r="C656" t="s">
        <v>43</v>
      </c>
      <c r="D656" t="s">
        <v>36</v>
      </c>
      <c r="E656" t="s">
        <v>61</v>
      </c>
      <c r="F656" t="s">
        <v>38</v>
      </c>
      <c r="G656" t="s">
        <v>61</v>
      </c>
      <c r="H656">
        <v>909</v>
      </c>
      <c r="I656" s="2">
        <v>2</v>
      </c>
      <c r="J656" s="2">
        <v>4</v>
      </c>
      <c r="K656" t="s">
        <v>39</v>
      </c>
      <c r="L656" s="2">
        <v>2</v>
      </c>
      <c r="M656" s="2">
        <v>4</v>
      </c>
      <c r="N656" t="s">
        <v>48</v>
      </c>
      <c r="O656" s="2">
        <v>5204</v>
      </c>
      <c r="P656" s="2">
        <v>7790</v>
      </c>
      <c r="Q656" s="2">
        <v>8</v>
      </c>
      <c r="R656" t="s">
        <v>43</v>
      </c>
      <c r="S656" s="2">
        <v>3</v>
      </c>
      <c r="T656" s="2">
        <v>3</v>
      </c>
      <c r="U656">
        <v>80</v>
      </c>
      <c r="V656" s="2">
        <v>13</v>
      </c>
      <c r="W656">
        <v>2</v>
      </c>
      <c r="X656">
        <v>3</v>
      </c>
      <c r="Y656">
        <v>5</v>
      </c>
      <c r="Z656">
        <v>4</v>
      </c>
      <c r="AA656">
        <v>0</v>
      </c>
      <c r="AB656">
        <v>4</v>
      </c>
    </row>
    <row r="657" spans="1:28" x14ac:dyDescent="0.35">
      <c r="A657" s="2">
        <v>33</v>
      </c>
      <c r="B657" s="2" t="str" cm="1">
        <f t="array" ref="B657">_xlfn.IFS(HR_table[[#This Row],[Age]]&lt;=20, "Under 20yrs",HR_table[[#This Row],[Age]]&lt;=30,"(21-30)yrs",HR_table[[#This Row],[Age]]&lt;=40,"(31-40)yrs",HR_table[[#This Row],[Age]]&lt;=50,"(41-50)yrs",HR_table[[#This Row],[Age]]&lt;=60,"(51-60)yrs")</f>
        <v>(31-40)yrs</v>
      </c>
      <c r="C657" t="s">
        <v>43</v>
      </c>
      <c r="D657" t="s">
        <v>36</v>
      </c>
      <c r="E657" t="s">
        <v>61</v>
      </c>
      <c r="F657" t="s">
        <v>61</v>
      </c>
      <c r="G657" t="s">
        <v>61</v>
      </c>
      <c r="H657">
        <v>910</v>
      </c>
      <c r="I657" s="2">
        <v>3</v>
      </c>
      <c r="J657" s="2">
        <v>4</v>
      </c>
      <c r="K657" t="s">
        <v>46</v>
      </c>
      <c r="L657" s="2">
        <v>1</v>
      </c>
      <c r="M657" s="2">
        <v>2</v>
      </c>
      <c r="N657" t="s">
        <v>52</v>
      </c>
      <c r="O657" s="2">
        <v>2277</v>
      </c>
      <c r="P657" s="2">
        <v>22650</v>
      </c>
      <c r="Q657" s="2">
        <v>3</v>
      </c>
      <c r="R657" t="s">
        <v>35</v>
      </c>
      <c r="S657" s="2">
        <v>3</v>
      </c>
      <c r="T657" s="2">
        <v>3</v>
      </c>
      <c r="U657">
        <v>80</v>
      </c>
      <c r="V657" s="2">
        <v>7</v>
      </c>
      <c r="W657">
        <v>4</v>
      </c>
      <c r="X657">
        <v>4</v>
      </c>
      <c r="Y657">
        <v>4</v>
      </c>
      <c r="Z657">
        <v>3</v>
      </c>
      <c r="AA657">
        <v>0</v>
      </c>
      <c r="AB657">
        <v>3</v>
      </c>
    </row>
    <row r="658" spans="1:28" x14ac:dyDescent="0.35">
      <c r="A658" s="2">
        <v>32</v>
      </c>
      <c r="B658" s="2" t="str" cm="1">
        <f t="array" ref="B658">_xlfn.IFS(HR_table[[#This Row],[Age]]&lt;=20, "Under 20yrs",HR_table[[#This Row],[Age]]&lt;=30,"(21-30)yrs",HR_table[[#This Row],[Age]]&lt;=40,"(31-40)yrs",HR_table[[#This Row],[Age]]&lt;=50,"(41-50)yrs",HR_table[[#This Row],[Age]]&lt;=60,"(51-60)yrs")</f>
        <v>(31-40)yrs</v>
      </c>
      <c r="C658" t="s">
        <v>35</v>
      </c>
      <c r="D658" t="s">
        <v>36</v>
      </c>
      <c r="E658" t="s">
        <v>45</v>
      </c>
      <c r="F658" t="s">
        <v>38</v>
      </c>
      <c r="G658" t="s">
        <v>50</v>
      </c>
      <c r="H658">
        <v>911</v>
      </c>
      <c r="I658" s="2">
        <v>25</v>
      </c>
      <c r="J658" s="2">
        <v>1</v>
      </c>
      <c r="K658" t="s">
        <v>46</v>
      </c>
      <c r="L658" s="2">
        <v>1</v>
      </c>
      <c r="M658" s="2">
        <v>4</v>
      </c>
      <c r="N658" t="s">
        <v>41</v>
      </c>
      <c r="O658" s="2">
        <v>2795</v>
      </c>
      <c r="P658" s="2">
        <v>18016</v>
      </c>
      <c r="Q658" s="2">
        <v>1</v>
      </c>
      <c r="R658" t="s">
        <v>35</v>
      </c>
      <c r="S658" s="2">
        <v>4</v>
      </c>
      <c r="T658" s="2">
        <v>3</v>
      </c>
      <c r="U658">
        <v>80</v>
      </c>
      <c r="V658" s="2">
        <v>1</v>
      </c>
      <c r="W658">
        <v>2</v>
      </c>
      <c r="X658">
        <v>1</v>
      </c>
      <c r="Y658">
        <v>1</v>
      </c>
      <c r="Z658">
        <v>0</v>
      </c>
      <c r="AA658">
        <v>0</v>
      </c>
      <c r="AB658">
        <v>1</v>
      </c>
    </row>
    <row r="659" spans="1:28" x14ac:dyDescent="0.35">
      <c r="A659" s="2">
        <v>29</v>
      </c>
      <c r="B659" s="2" t="str" cm="1">
        <f t="array" ref="B659">_xlfn.IFS(HR_table[[#This Row],[Age]]&lt;=20, "Under 20yrs",HR_table[[#This Row],[Age]]&lt;=30,"(21-30)yrs",HR_table[[#This Row],[Age]]&lt;=40,"(31-40)yrs",HR_table[[#This Row],[Age]]&lt;=50,"(41-50)yrs",HR_table[[#This Row],[Age]]&lt;=60,"(51-60)yrs")</f>
        <v>(21-30)yrs</v>
      </c>
      <c r="C659" t="s">
        <v>43</v>
      </c>
      <c r="D659" t="s">
        <v>36</v>
      </c>
      <c r="E659" t="s">
        <v>45</v>
      </c>
      <c r="F659" t="s">
        <v>51</v>
      </c>
      <c r="G659" t="s">
        <v>50</v>
      </c>
      <c r="H659">
        <v>912</v>
      </c>
      <c r="I659" s="2">
        <v>7</v>
      </c>
      <c r="J659" s="2">
        <v>1</v>
      </c>
      <c r="K659" t="s">
        <v>39</v>
      </c>
      <c r="L659" s="2">
        <v>1</v>
      </c>
      <c r="M659" s="2">
        <v>4</v>
      </c>
      <c r="N659" t="s">
        <v>52</v>
      </c>
      <c r="O659" s="2">
        <v>2532</v>
      </c>
      <c r="P659" s="2">
        <v>6054</v>
      </c>
      <c r="Q659" s="2">
        <v>6</v>
      </c>
      <c r="R659" t="s">
        <v>43</v>
      </c>
      <c r="S659" s="2">
        <v>3</v>
      </c>
      <c r="T659" s="2">
        <v>3</v>
      </c>
      <c r="U659">
        <v>80</v>
      </c>
      <c r="V659" s="2">
        <v>8</v>
      </c>
      <c r="W659">
        <v>5</v>
      </c>
      <c r="X659">
        <v>3</v>
      </c>
      <c r="Y659">
        <v>4</v>
      </c>
      <c r="Z659">
        <v>3</v>
      </c>
      <c r="AA659">
        <v>0</v>
      </c>
      <c r="AB659">
        <v>3</v>
      </c>
    </row>
    <row r="660" spans="1:28" x14ac:dyDescent="0.35">
      <c r="A660" s="2">
        <v>44</v>
      </c>
      <c r="B660" s="2" t="str" cm="1">
        <f t="array" ref="B660">_xlfn.IFS(HR_table[[#This Row],[Age]]&lt;=20, "Under 20yrs",HR_table[[#This Row],[Age]]&lt;=30,"(21-30)yrs",HR_table[[#This Row],[Age]]&lt;=40,"(31-40)yrs",HR_table[[#This Row],[Age]]&lt;=50,"(41-50)yrs",HR_table[[#This Row],[Age]]&lt;=60,"(51-60)yrs")</f>
        <v>(41-50)yrs</v>
      </c>
      <c r="C660" t="s">
        <v>43</v>
      </c>
      <c r="D660" t="s">
        <v>36</v>
      </c>
      <c r="E660" t="s">
        <v>45</v>
      </c>
      <c r="F660" t="s">
        <v>38</v>
      </c>
      <c r="G660" t="s">
        <v>47</v>
      </c>
      <c r="H660">
        <v>913</v>
      </c>
      <c r="I660" s="2">
        <v>9</v>
      </c>
      <c r="J660" s="2">
        <v>2</v>
      </c>
      <c r="K660" t="s">
        <v>46</v>
      </c>
      <c r="L660" s="2">
        <v>1</v>
      </c>
      <c r="M660" s="2">
        <v>1</v>
      </c>
      <c r="N660" t="s">
        <v>48</v>
      </c>
      <c r="O660" s="2">
        <v>2559</v>
      </c>
      <c r="P660" s="2">
        <v>7508</v>
      </c>
      <c r="Q660" s="2">
        <v>1</v>
      </c>
      <c r="R660" t="s">
        <v>35</v>
      </c>
      <c r="S660" s="2">
        <v>3</v>
      </c>
      <c r="T660" s="2">
        <v>4</v>
      </c>
      <c r="U660">
        <v>80</v>
      </c>
      <c r="V660" s="2">
        <v>8</v>
      </c>
      <c r="W660">
        <v>0</v>
      </c>
      <c r="X660">
        <v>3</v>
      </c>
      <c r="Y660">
        <v>8</v>
      </c>
      <c r="Z660">
        <v>7</v>
      </c>
      <c r="AA660">
        <v>7</v>
      </c>
      <c r="AB660">
        <v>1</v>
      </c>
    </row>
    <row r="661" spans="1:28" x14ac:dyDescent="0.35">
      <c r="A661" s="2">
        <v>28</v>
      </c>
      <c r="B661" s="2" t="str" cm="1">
        <f t="array" ref="B661">_xlfn.IFS(HR_table[[#This Row],[Age]]&lt;=20, "Under 20yrs",HR_table[[#This Row],[Age]]&lt;=30,"(21-30)yrs",HR_table[[#This Row],[Age]]&lt;=40,"(31-40)yrs",HR_table[[#This Row],[Age]]&lt;=50,"(41-50)yrs",HR_table[[#This Row],[Age]]&lt;=60,"(51-60)yrs")</f>
        <v>(21-30)yrs</v>
      </c>
      <c r="C661" t="s">
        <v>43</v>
      </c>
      <c r="D661" t="s">
        <v>36</v>
      </c>
      <c r="E661" t="s">
        <v>37</v>
      </c>
      <c r="F661" t="s">
        <v>51</v>
      </c>
      <c r="G661" t="s">
        <v>40</v>
      </c>
      <c r="H661">
        <v>916</v>
      </c>
      <c r="I661" s="2">
        <v>5</v>
      </c>
      <c r="J661" s="2">
        <v>1</v>
      </c>
      <c r="K661" t="s">
        <v>46</v>
      </c>
      <c r="L661" s="2">
        <v>2</v>
      </c>
      <c r="M661" s="2">
        <v>4</v>
      </c>
      <c r="N661" t="s">
        <v>41</v>
      </c>
      <c r="O661" s="2">
        <v>4908</v>
      </c>
      <c r="P661" s="2">
        <v>24252</v>
      </c>
      <c r="Q661" s="2">
        <v>1</v>
      </c>
      <c r="R661" t="s">
        <v>43</v>
      </c>
      <c r="S661" s="2">
        <v>3</v>
      </c>
      <c r="T661" s="2">
        <v>2</v>
      </c>
      <c r="U661">
        <v>80</v>
      </c>
      <c r="V661" s="2">
        <v>4</v>
      </c>
      <c r="W661">
        <v>3</v>
      </c>
      <c r="X661">
        <v>3</v>
      </c>
      <c r="Y661">
        <v>4</v>
      </c>
      <c r="Z661">
        <v>2</v>
      </c>
      <c r="AA661">
        <v>0</v>
      </c>
      <c r="AB661">
        <v>2</v>
      </c>
    </row>
    <row r="662" spans="1:28" x14ac:dyDescent="0.35">
      <c r="A662" s="2">
        <v>58</v>
      </c>
      <c r="B662" s="2" t="str" cm="1">
        <f t="array" ref="B662">_xlfn.IFS(HR_table[[#This Row],[Age]]&lt;=20, "Under 20yrs",HR_table[[#This Row],[Age]]&lt;=30,"(21-30)yrs",HR_table[[#This Row],[Age]]&lt;=40,"(31-40)yrs",HR_table[[#This Row],[Age]]&lt;=50,"(41-50)yrs",HR_table[[#This Row],[Age]]&lt;=60,"(51-60)yrs")</f>
        <v>(51-60)yrs</v>
      </c>
      <c r="C662" t="s">
        <v>35</v>
      </c>
      <c r="D662" t="s">
        <v>44</v>
      </c>
      <c r="E662" t="s">
        <v>45</v>
      </c>
      <c r="F662" t="s">
        <v>38</v>
      </c>
      <c r="G662" t="s">
        <v>50</v>
      </c>
      <c r="H662">
        <v>918</v>
      </c>
      <c r="I662" s="2">
        <v>2</v>
      </c>
      <c r="J662" s="2">
        <v>4</v>
      </c>
      <c r="K662" t="s">
        <v>46</v>
      </c>
      <c r="L662" s="2">
        <v>1</v>
      </c>
      <c r="M662" s="2">
        <v>4</v>
      </c>
      <c r="N662" t="s">
        <v>52</v>
      </c>
      <c r="O662" s="2">
        <v>2380</v>
      </c>
      <c r="P662" s="2">
        <v>13384</v>
      </c>
      <c r="Q662" s="2">
        <v>9</v>
      </c>
      <c r="R662" t="s">
        <v>35</v>
      </c>
      <c r="S662" s="2">
        <v>3</v>
      </c>
      <c r="T662" s="2">
        <v>4</v>
      </c>
      <c r="U662">
        <v>80</v>
      </c>
      <c r="V662" s="2">
        <v>3</v>
      </c>
      <c r="W662">
        <v>3</v>
      </c>
      <c r="X662">
        <v>2</v>
      </c>
      <c r="Y662">
        <v>1</v>
      </c>
      <c r="Z662">
        <v>0</v>
      </c>
      <c r="AA662">
        <v>0</v>
      </c>
      <c r="AB662">
        <v>0</v>
      </c>
    </row>
    <row r="663" spans="1:28" x14ac:dyDescent="0.35">
      <c r="A663" s="2">
        <v>43</v>
      </c>
      <c r="B663" s="2" t="str" cm="1">
        <f t="array" ref="B663">_xlfn.IFS(HR_table[[#This Row],[Age]]&lt;=20, "Under 20yrs",HR_table[[#This Row],[Age]]&lt;=30,"(21-30)yrs",HR_table[[#This Row],[Age]]&lt;=40,"(31-40)yrs",HR_table[[#This Row],[Age]]&lt;=50,"(41-50)yrs",HR_table[[#This Row],[Age]]&lt;=60,"(51-60)yrs")</f>
        <v>(41-50)yrs</v>
      </c>
      <c r="C663" t="s">
        <v>43</v>
      </c>
      <c r="D663" t="s">
        <v>36</v>
      </c>
      <c r="E663" t="s">
        <v>45</v>
      </c>
      <c r="F663" t="s">
        <v>38</v>
      </c>
      <c r="G663" t="s">
        <v>53</v>
      </c>
      <c r="H663">
        <v>920</v>
      </c>
      <c r="I663" s="2">
        <v>8</v>
      </c>
      <c r="J663" s="2">
        <v>1</v>
      </c>
      <c r="K663" t="s">
        <v>39</v>
      </c>
      <c r="L663" s="2">
        <v>2</v>
      </c>
      <c r="M663" s="2">
        <v>2</v>
      </c>
      <c r="N663" t="s">
        <v>52</v>
      </c>
      <c r="O663" s="2">
        <v>4765</v>
      </c>
      <c r="P663" s="2">
        <v>23814</v>
      </c>
      <c r="Q663" s="2">
        <v>4</v>
      </c>
      <c r="R663" t="s">
        <v>43</v>
      </c>
      <c r="S663" s="2">
        <v>4</v>
      </c>
      <c r="T663" s="2">
        <v>3</v>
      </c>
      <c r="U663">
        <v>80</v>
      </c>
      <c r="V663" s="2">
        <v>4</v>
      </c>
      <c r="W663">
        <v>2</v>
      </c>
      <c r="X663">
        <v>4</v>
      </c>
      <c r="Y663">
        <v>1</v>
      </c>
      <c r="Z663">
        <v>0</v>
      </c>
      <c r="AA663">
        <v>0</v>
      </c>
      <c r="AB663">
        <v>0</v>
      </c>
    </row>
    <row r="664" spans="1:28" x14ac:dyDescent="0.35">
      <c r="A664" s="2">
        <v>20</v>
      </c>
      <c r="B664" s="2" t="str" cm="1">
        <f t="array" ref="B664">_xlfn.IFS(HR_table[[#This Row],[Age]]&lt;=20, "Under 20yrs",HR_table[[#This Row],[Age]]&lt;=30,"(21-30)yrs",HR_table[[#This Row],[Age]]&lt;=40,"(31-40)yrs",HR_table[[#This Row],[Age]]&lt;=50,"(41-50)yrs",HR_table[[#This Row],[Age]]&lt;=60,"(51-60)yrs")</f>
        <v>Under 20yrs</v>
      </c>
      <c r="C664" t="s">
        <v>35</v>
      </c>
      <c r="D664" t="s">
        <v>36</v>
      </c>
      <c r="E664" t="s">
        <v>37</v>
      </c>
      <c r="F664" t="s">
        <v>51</v>
      </c>
      <c r="G664" t="s">
        <v>57</v>
      </c>
      <c r="H664">
        <v>922</v>
      </c>
      <c r="I664" s="2">
        <v>2</v>
      </c>
      <c r="J664" s="2">
        <v>3</v>
      </c>
      <c r="K664" t="s">
        <v>39</v>
      </c>
      <c r="L664" s="2">
        <v>1</v>
      </c>
      <c r="M664" s="2">
        <v>3</v>
      </c>
      <c r="N664" t="s">
        <v>41</v>
      </c>
      <c r="O664" s="2">
        <v>2044</v>
      </c>
      <c r="P664" s="2">
        <v>22052</v>
      </c>
      <c r="Q664" s="2">
        <v>1</v>
      </c>
      <c r="R664" t="s">
        <v>43</v>
      </c>
      <c r="S664" s="2">
        <v>3</v>
      </c>
      <c r="T664" s="2">
        <v>4</v>
      </c>
      <c r="U664">
        <v>80</v>
      </c>
      <c r="V664" s="2">
        <v>2</v>
      </c>
      <c r="W664">
        <v>3</v>
      </c>
      <c r="X664">
        <v>2</v>
      </c>
      <c r="Y664">
        <v>2</v>
      </c>
      <c r="Z664">
        <v>2</v>
      </c>
      <c r="AA664">
        <v>0</v>
      </c>
      <c r="AB664">
        <v>2</v>
      </c>
    </row>
    <row r="665" spans="1:28" x14ac:dyDescent="0.35">
      <c r="A665" s="2">
        <v>21</v>
      </c>
      <c r="B665" s="2" t="str" cm="1">
        <f t="array" ref="B665">_xlfn.IFS(HR_table[[#This Row],[Age]]&lt;=20, "Under 20yrs",HR_table[[#This Row],[Age]]&lt;=30,"(21-30)yrs",HR_table[[#This Row],[Age]]&lt;=40,"(31-40)yrs",HR_table[[#This Row],[Age]]&lt;=50,"(41-50)yrs",HR_table[[#This Row],[Age]]&lt;=60,"(51-60)yrs")</f>
        <v>(21-30)yrs</v>
      </c>
      <c r="C665" t="s">
        <v>35</v>
      </c>
      <c r="D665" t="s">
        <v>36</v>
      </c>
      <c r="E665" t="s">
        <v>45</v>
      </c>
      <c r="F665" t="s">
        <v>49</v>
      </c>
      <c r="G665" t="s">
        <v>47</v>
      </c>
      <c r="H665">
        <v>923</v>
      </c>
      <c r="I665" s="2">
        <v>18</v>
      </c>
      <c r="J665" s="2">
        <v>4</v>
      </c>
      <c r="K665" t="s">
        <v>39</v>
      </c>
      <c r="L665" s="2">
        <v>1</v>
      </c>
      <c r="M665" s="2">
        <v>4</v>
      </c>
      <c r="N665" t="s">
        <v>41</v>
      </c>
      <c r="O665" s="2">
        <v>2693</v>
      </c>
      <c r="P665" s="2">
        <v>8870</v>
      </c>
      <c r="Q665" s="2">
        <v>1</v>
      </c>
      <c r="R665" t="s">
        <v>43</v>
      </c>
      <c r="S665" s="2">
        <v>3</v>
      </c>
      <c r="T665" s="2">
        <v>1</v>
      </c>
      <c r="U665">
        <v>80</v>
      </c>
      <c r="V665" s="2">
        <v>1</v>
      </c>
      <c r="W665">
        <v>3</v>
      </c>
      <c r="X665">
        <v>2</v>
      </c>
      <c r="Y665">
        <v>1</v>
      </c>
      <c r="Z665">
        <v>0</v>
      </c>
      <c r="AA665">
        <v>0</v>
      </c>
      <c r="AB665">
        <v>0</v>
      </c>
    </row>
    <row r="666" spans="1:28" x14ac:dyDescent="0.35">
      <c r="A666" s="2">
        <v>36</v>
      </c>
      <c r="B666" s="2" t="str" cm="1">
        <f t="array" ref="B666">_xlfn.IFS(HR_table[[#This Row],[Age]]&lt;=20, "Under 20yrs",HR_table[[#This Row],[Age]]&lt;=30,"(21-30)yrs",HR_table[[#This Row],[Age]]&lt;=40,"(31-40)yrs",HR_table[[#This Row],[Age]]&lt;=50,"(41-50)yrs",HR_table[[#This Row],[Age]]&lt;=60,"(51-60)yrs")</f>
        <v>(31-40)yrs</v>
      </c>
      <c r="C666" t="s">
        <v>43</v>
      </c>
      <c r="D666" t="s">
        <v>36</v>
      </c>
      <c r="E666" t="s">
        <v>45</v>
      </c>
      <c r="F666" t="s">
        <v>38</v>
      </c>
      <c r="G666" t="s">
        <v>54</v>
      </c>
      <c r="H666">
        <v>924</v>
      </c>
      <c r="I666" s="2">
        <v>14</v>
      </c>
      <c r="J666" s="2">
        <v>3</v>
      </c>
      <c r="K666" t="s">
        <v>46</v>
      </c>
      <c r="L666" s="2">
        <v>2</v>
      </c>
      <c r="M666" s="2">
        <v>4</v>
      </c>
      <c r="N666" t="s">
        <v>48</v>
      </c>
      <c r="O666" s="2">
        <v>6586</v>
      </c>
      <c r="P666" s="2">
        <v>4821</v>
      </c>
      <c r="Q666" s="2">
        <v>0</v>
      </c>
      <c r="R666" t="s">
        <v>35</v>
      </c>
      <c r="S666" s="2">
        <v>3</v>
      </c>
      <c r="T666" s="2">
        <v>1</v>
      </c>
      <c r="U666">
        <v>80</v>
      </c>
      <c r="V666" s="2">
        <v>17</v>
      </c>
      <c r="W666">
        <v>2</v>
      </c>
      <c r="X666">
        <v>2</v>
      </c>
      <c r="Y666">
        <v>16</v>
      </c>
      <c r="Z666">
        <v>8</v>
      </c>
      <c r="AA666">
        <v>4</v>
      </c>
      <c r="AB666">
        <v>11</v>
      </c>
    </row>
    <row r="667" spans="1:28" x14ac:dyDescent="0.35">
      <c r="A667" s="2">
        <v>47</v>
      </c>
      <c r="B667" s="2" t="str" cm="1">
        <f t="array" ref="B667">_xlfn.IFS(HR_table[[#This Row],[Age]]&lt;=20, "Under 20yrs",HR_table[[#This Row],[Age]]&lt;=30,"(21-30)yrs",HR_table[[#This Row],[Age]]&lt;=40,"(31-40)yrs",HR_table[[#This Row],[Age]]&lt;=50,"(41-50)yrs",HR_table[[#This Row],[Age]]&lt;=60,"(51-60)yrs")</f>
        <v>(41-50)yrs</v>
      </c>
      <c r="C667" t="s">
        <v>43</v>
      </c>
      <c r="D667" t="s">
        <v>36</v>
      </c>
      <c r="E667" t="s">
        <v>37</v>
      </c>
      <c r="F667" t="s">
        <v>38</v>
      </c>
      <c r="G667" t="s">
        <v>57</v>
      </c>
      <c r="H667">
        <v>925</v>
      </c>
      <c r="I667" s="2">
        <v>2</v>
      </c>
      <c r="J667" s="2">
        <v>4</v>
      </c>
      <c r="K667" t="s">
        <v>39</v>
      </c>
      <c r="L667" s="2">
        <v>1</v>
      </c>
      <c r="M667" s="2">
        <v>4</v>
      </c>
      <c r="N667" t="s">
        <v>41</v>
      </c>
      <c r="O667" s="2">
        <v>3294</v>
      </c>
      <c r="P667" s="2">
        <v>13137</v>
      </c>
      <c r="Q667" s="2">
        <v>1</v>
      </c>
      <c r="R667" t="s">
        <v>35</v>
      </c>
      <c r="S667" s="2">
        <v>3</v>
      </c>
      <c r="T667" s="2">
        <v>1</v>
      </c>
      <c r="U667">
        <v>80</v>
      </c>
      <c r="V667" s="2">
        <v>3</v>
      </c>
      <c r="W667">
        <v>3</v>
      </c>
      <c r="X667">
        <v>2</v>
      </c>
      <c r="Y667">
        <v>3</v>
      </c>
      <c r="Z667">
        <v>2</v>
      </c>
      <c r="AA667">
        <v>1</v>
      </c>
      <c r="AB667">
        <v>2</v>
      </c>
    </row>
    <row r="668" spans="1:28" x14ac:dyDescent="0.35">
      <c r="A668" s="2">
        <v>22</v>
      </c>
      <c r="B668" s="2" t="str" cm="1">
        <f t="array" ref="B668">_xlfn.IFS(HR_table[[#This Row],[Age]]&lt;=20, "Under 20yrs",HR_table[[#This Row],[Age]]&lt;=30,"(21-30)yrs",HR_table[[#This Row],[Age]]&lt;=40,"(31-40)yrs",HR_table[[#This Row],[Age]]&lt;=50,"(41-50)yrs",HR_table[[#This Row],[Age]]&lt;=60,"(51-60)yrs")</f>
        <v>(21-30)yrs</v>
      </c>
      <c r="C668" t="s">
        <v>35</v>
      </c>
      <c r="D668" t="s">
        <v>36</v>
      </c>
      <c r="E668" t="s">
        <v>45</v>
      </c>
      <c r="F668" t="s">
        <v>38</v>
      </c>
      <c r="G668" t="s">
        <v>53</v>
      </c>
      <c r="H668">
        <v>926</v>
      </c>
      <c r="I668" s="2">
        <v>3</v>
      </c>
      <c r="J668" s="2">
        <v>2</v>
      </c>
      <c r="K668" t="s">
        <v>39</v>
      </c>
      <c r="L668" s="2">
        <v>2</v>
      </c>
      <c r="M668" s="2">
        <v>3</v>
      </c>
      <c r="N668" t="s">
        <v>48</v>
      </c>
      <c r="O668" s="2">
        <v>4171</v>
      </c>
      <c r="P668" s="2">
        <v>10022</v>
      </c>
      <c r="Q668" s="2">
        <v>0</v>
      </c>
      <c r="R668" t="s">
        <v>35</v>
      </c>
      <c r="S668" s="2">
        <v>3</v>
      </c>
      <c r="T668" s="2">
        <v>1</v>
      </c>
      <c r="U668">
        <v>80</v>
      </c>
      <c r="V668" s="2">
        <v>4</v>
      </c>
      <c r="W668">
        <v>3</v>
      </c>
      <c r="X668">
        <v>4</v>
      </c>
      <c r="Y668">
        <v>3</v>
      </c>
      <c r="Z668">
        <v>2</v>
      </c>
      <c r="AA668">
        <v>0</v>
      </c>
      <c r="AB668">
        <v>2</v>
      </c>
    </row>
    <row r="669" spans="1:28" x14ac:dyDescent="0.35">
      <c r="A669" s="2">
        <v>41</v>
      </c>
      <c r="B669" s="2" t="str" cm="1">
        <f t="array" ref="B669">_xlfn.IFS(HR_table[[#This Row],[Age]]&lt;=20, "Under 20yrs",HR_table[[#This Row],[Age]]&lt;=30,"(21-30)yrs",HR_table[[#This Row],[Age]]&lt;=40,"(31-40)yrs",HR_table[[#This Row],[Age]]&lt;=50,"(41-50)yrs",HR_table[[#This Row],[Age]]&lt;=60,"(51-60)yrs")</f>
        <v>(41-50)yrs</v>
      </c>
      <c r="C669" t="s">
        <v>35</v>
      </c>
      <c r="D669" t="s">
        <v>36</v>
      </c>
      <c r="E669" t="s">
        <v>45</v>
      </c>
      <c r="F669" t="s">
        <v>38</v>
      </c>
      <c r="G669" t="s">
        <v>50</v>
      </c>
      <c r="H669">
        <v>927</v>
      </c>
      <c r="I669" s="2">
        <v>2</v>
      </c>
      <c r="J669" s="2">
        <v>2</v>
      </c>
      <c r="K669" t="s">
        <v>39</v>
      </c>
      <c r="L669" s="2">
        <v>1</v>
      </c>
      <c r="M669" s="2">
        <v>4</v>
      </c>
      <c r="N669" t="s">
        <v>52</v>
      </c>
      <c r="O669" s="2">
        <v>2778</v>
      </c>
      <c r="P669" s="2">
        <v>17725</v>
      </c>
      <c r="Q669" s="2">
        <v>4</v>
      </c>
      <c r="R669" t="s">
        <v>35</v>
      </c>
      <c r="S669" s="2">
        <v>3</v>
      </c>
      <c r="T669" s="2">
        <v>3</v>
      </c>
      <c r="U669">
        <v>80</v>
      </c>
      <c r="V669" s="2">
        <v>10</v>
      </c>
      <c r="W669">
        <v>1</v>
      </c>
      <c r="X669">
        <v>2</v>
      </c>
      <c r="Y669">
        <v>7</v>
      </c>
      <c r="Z669">
        <v>7</v>
      </c>
      <c r="AA669">
        <v>1</v>
      </c>
      <c r="AB669">
        <v>0</v>
      </c>
    </row>
    <row r="670" spans="1:28" x14ac:dyDescent="0.35">
      <c r="A670" s="2">
        <v>28</v>
      </c>
      <c r="B670" s="2" t="str" cm="1">
        <f t="array" ref="B670">_xlfn.IFS(HR_table[[#This Row],[Age]]&lt;=20, "Under 20yrs",HR_table[[#This Row],[Age]]&lt;=30,"(21-30)yrs",HR_table[[#This Row],[Age]]&lt;=40,"(31-40)yrs",HR_table[[#This Row],[Age]]&lt;=50,"(41-50)yrs",HR_table[[#This Row],[Age]]&lt;=60,"(51-60)yrs")</f>
        <v>(21-30)yrs</v>
      </c>
      <c r="C670" t="s">
        <v>43</v>
      </c>
      <c r="D670" t="s">
        <v>36</v>
      </c>
      <c r="E670" t="s">
        <v>45</v>
      </c>
      <c r="F670" t="s">
        <v>51</v>
      </c>
      <c r="G670" t="s">
        <v>47</v>
      </c>
      <c r="H670">
        <v>930</v>
      </c>
      <c r="I670" s="2">
        <v>9</v>
      </c>
      <c r="J670" s="2">
        <v>3</v>
      </c>
      <c r="K670" t="s">
        <v>39</v>
      </c>
      <c r="L670" s="2">
        <v>1</v>
      </c>
      <c r="M670" s="2">
        <v>3</v>
      </c>
      <c r="N670" t="s">
        <v>52</v>
      </c>
      <c r="O670" s="2">
        <v>2377</v>
      </c>
      <c r="P670" s="2">
        <v>9834</v>
      </c>
      <c r="Q670" s="2">
        <v>5</v>
      </c>
      <c r="R670" t="s">
        <v>43</v>
      </c>
      <c r="S670" s="2">
        <v>3</v>
      </c>
      <c r="T670" s="2">
        <v>2</v>
      </c>
      <c r="U670">
        <v>80</v>
      </c>
      <c r="V670" s="2">
        <v>6</v>
      </c>
      <c r="W670">
        <v>2</v>
      </c>
      <c r="X670">
        <v>3</v>
      </c>
      <c r="Y670">
        <v>2</v>
      </c>
      <c r="Z670">
        <v>2</v>
      </c>
      <c r="AA670">
        <v>2</v>
      </c>
      <c r="AB670">
        <v>2</v>
      </c>
    </row>
    <row r="671" spans="1:28" x14ac:dyDescent="0.35">
      <c r="A671" s="2">
        <v>39</v>
      </c>
      <c r="B671" s="2" t="str" cm="1">
        <f t="array" ref="B671">_xlfn.IFS(HR_table[[#This Row],[Age]]&lt;=20, "Under 20yrs",HR_table[[#This Row],[Age]]&lt;=30,"(21-30)yrs",HR_table[[#This Row],[Age]]&lt;=40,"(31-40)yrs",HR_table[[#This Row],[Age]]&lt;=50,"(41-50)yrs",HR_table[[#This Row],[Age]]&lt;=60,"(51-60)yrs")</f>
        <v>(31-40)yrs</v>
      </c>
      <c r="C671" t="s">
        <v>35</v>
      </c>
      <c r="D671" t="s">
        <v>36</v>
      </c>
      <c r="E671" t="s">
        <v>45</v>
      </c>
      <c r="F671" t="s">
        <v>51</v>
      </c>
      <c r="G671" t="s">
        <v>50</v>
      </c>
      <c r="H671">
        <v>932</v>
      </c>
      <c r="I671" s="2">
        <v>6</v>
      </c>
      <c r="J671" s="2">
        <v>4</v>
      </c>
      <c r="K671" t="s">
        <v>46</v>
      </c>
      <c r="L671" s="2">
        <v>1</v>
      </c>
      <c r="M671" s="2">
        <v>1</v>
      </c>
      <c r="N671" t="s">
        <v>48</v>
      </c>
      <c r="O671" s="2">
        <v>2404</v>
      </c>
      <c r="P671" s="2">
        <v>4303</v>
      </c>
      <c r="Q671" s="2">
        <v>7</v>
      </c>
      <c r="R671" t="s">
        <v>35</v>
      </c>
      <c r="S671" s="2">
        <v>4</v>
      </c>
      <c r="T671" s="2">
        <v>4</v>
      </c>
      <c r="U671">
        <v>80</v>
      </c>
      <c r="V671" s="2">
        <v>8</v>
      </c>
      <c r="W671">
        <v>2</v>
      </c>
      <c r="X671">
        <v>1</v>
      </c>
      <c r="Y671">
        <v>2</v>
      </c>
      <c r="Z671">
        <v>2</v>
      </c>
      <c r="AA671">
        <v>2</v>
      </c>
      <c r="AB671">
        <v>2</v>
      </c>
    </row>
    <row r="672" spans="1:28" x14ac:dyDescent="0.35">
      <c r="A672" s="2">
        <v>27</v>
      </c>
      <c r="B672" s="2" t="str" cm="1">
        <f t="array" ref="B672">_xlfn.IFS(HR_table[[#This Row],[Age]]&lt;=20, "Under 20yrs",HR_table[[#This Row],[Age]]&lt;=30,"(21-30)yrs",HR_table[[#This Row],[Age]]&lt;=40,"(31-40)yrs",HR_table[[#This Row],[Age]]&lt;=50,"(41-50)yrs",HR_table[[#This Row],[Age]]&lt;=60,"(51-60)yrs")</f>
        <v>(21-30)yrs</v>
      </c>
      <c r="C672" t="s">
        <v>43</v>
      </c>
      <c r="D672" t="s">
        <v>36</v>
      </c>
      <c r="E672" t="s">
        <v>45</v>
      </c>
      <c r="F672" t="s">
        <v>38</v>
      </c>
      <c r="G672" t="s">
        <v>47</v>
      </c>
      <c r="H672">
        <v>933</v>
      </c>
      <c r="I672" s="2">
        <v>4</v>
      </c>
      <c r="J672" s="2">
        <v>2</v>
      </c>
      <c r="K672" t="s">
        <v>39</v>
      </c>
      <c r="L672" s="2">
        <v>1</v>
      </c>
      <c r="M672" s="2">
        <v>3</v>
      </c>
      <c r="N672" t="s">
        <v>41</v>
      </c>
      <c r="O672" s="2">
        <v>2318</v>
      </c>
      <c r="P672" s="2">
        <v>17808</v>
      </c>
      <c r="Q672" s="2">
        <v>1</v>
      </c>
      <c r="R672" t="s">
        <v>43</v>
      </c>
      <c r="S672" s="2">
        <v>3</v>
      </c>
      <c r="T672" s="2">
        <v>3</v>
      </c>
      <c r="U672">
        <v>80</v>
      </c>
      <c r="V672" s="2">
        <v>1</v>
      </c>
      <c r="W672">
        <v>2</v>
      </c>
      <c r="X672">
        <v>3</v>
      </c>
      <c r="Y672">
        <v>1</v>
      </c>
      <c r="Z672">
        <v>1</v>
      </c>
      <c r="AA672">
        <v>0</v>
      </c>
      <c r="AB672">
        <v>0</v>
      </c>
    </row>
    <row r="673" spans="1:28" x14ac:dyDescent="0.35">
      <c r="A673" s="2">
        <v>34</v>
      </c>
      <c r="B673" s="2" t="str" cm="1">
        <f t="array" ref="B673">_xlfn.IFS(HR_table[[#This Row],[Age]]&lt;=20, "Under 20yrs",HR_table[[#This Row],[Age]]&lt;=30,"(21-30)yrs",HR_table[[#This Row],[Age]]&lt;=40,"(31-40)yrs",HR_table[[#This Row],[Age]]&lt;=50,"(41-50)yrs",HR_table[[#This Row],[Age]]&lt;=60,"(51-60)yrs")</f>
        <v>(31-40)yrs</v>
      </c>
      <c r="C673" t="s">
        <v>43</v>
      </c>
      <c r="D673" t="s">
        <v>36</v>
      </c>
      <c r="E673" t="s">
        <v>45</v>
      </c>
      <c r="F673" t="s">
        <v>38</v>
      </c>
      <c r="G673" t="s">
        <v>50</v>
      </c>
      <c r="H673">
        <v>934</v>
      </c>
      <c r="I673" s="2">
        <v>10</v>
      </c>
      <c r="J673" s="2">
        <v>2</v>
      </c>
      <c r="K673" t="s">
        <v>46</v>
      </c>
      <c r="L673" s="2">
        <v>1</v>
      </c>
      <c r="M673" s="2">
        <v>2</v>
      </c>
      <c r="N673" t="s">
        <v>52</v>
      </c>
      <c r="O673" s="2">
        <v>2008</v>
      </c>
      <c r="P673" s="2">
        <v>6896</v>
      </c>
      <c r="Q673" s="2">
        <v>1</v>
      </c>
      <c r="R673" t="s">
        <v>43</v>
      </c>
      <c r="S673" s="2">
        <v>3</v>
      </c>
      <c r="T673" s="2">
        <v>2</v>
      </c>
      <c r="U673">
        <v>80</v>
      </c>
      <c r="V673" s="2">
        <v>1</v>
      </c>
      <c r="W673">
        <v>3</v>
      </c>
      <c r="X673">
        <v>3</v>
      </c>
      <c r="Y673">
        <v>1</v>
      </c>
      <c r="Z673">
        <v>0</v>
      </c>
      <c r="AA673">
        <v>1</v>
      </c>
      <c r="AB673">
        <v>0</v>
      </c>
    </row>
    <row r="674" spans="1:28" x14ac:dyDescent="0.35">
      <c r="A674" s="2">
        <v>42</v>
      </c>
      <c r="B674" s="2" t="str" cm="1">
        <f t="array" ref="B674">_xlfn.IFS(HR_table[[#This Row],[Age]]&lt;=20, "Under 20yrs",HR_table[[#This Row],[Age]]&lt;=30,"(21-30)yrs",HR_table[[#This Row],[Age]]&lt;=40,"(31-40)yrs",HR_table[[#This Row],[Age]]&lt;=50,"(41-50)yrs",HR_table[[#This Row],[Age]]&lt;=60,"(51-60)yrs")</f>
        <v>(41-50)yrs</v>
      </c>
      <c r="C674" t="s">
        <v>43</v>
      </c>
      <c r="D674" t="s">
        <v>36</v>
      </c>
      <c r="E674" t="s">
        <v>37</v>
      </c>
      <c r="F674" t="s">
        <v>51</v>
      </c>
      <c r="G674" t="s">
        <v>40</v>
      </c>
      <c r="H674">
        <v>936</v>
      </c>
      <c r="I674" s="2">
        <v>14</v>
      </c>
      <c r="J674" s="2">
        <v>3</v>
      </c>
      <c r="K674" t="s">
        <v>39</v>
      </c>
      <c r="L674" s="2">
        <v>2</v>
      </c>
      <c r="M674" s="2">
        <v>3</v>
      </c>
      <c r="N674" t="s">
        <v>41</v>
      </c>
      <c r="O674" s="2">
        <v>6244</v>
      </c>
      <c r="P674" s="2">
        <v>7824</v>
      </c>
      <c r="Q674" s="2">
        <v>7</v>
      </c>
      <c r="R674" t="s">
        <v>43</v>
      </c>
      <c r="S674" s="2">
        <v>3</v>
      </c>
      <c r="T674" s="2">
        <v>1</v>
      </c>
      <c r="U674">
        <v>80</v>
      </c>
      <c r="V674" s="2">
        <v>10</v>
      </c>
      <c r="W674">
        <v>6</v>
      </c>
      <c r="X674">
        <v>3</v>
      </c>
      <c r="Y674">
        <v>5</v>
      </c>
      <c r="Z674">
        <v>4</v>
      </c>
      <c r="AA674">
        <v>0</v>
      </c>
      <c r="AB674">
        <v>3</v>
      </c>
    </row>
    <row r="675" spans="1:28" x14ac:dyDescent="0.35">
      <c r="A675" s="2">
        <v>33</v>
      </c>
      <c r="B675" s="2" t="str" cm="1">
        <f t="array" ref="B675">_xlfn.IFS(HR_table[[#This Row],[Age]]&lt;=20, "Under 20yrs",HR_table[[#This Row],[Age]]&lt;=30,"(21-30)yrs",HR_table[[#This Row],[Age]]&lt;=40,"(31-40)yrs",HR_table[[#This Row],[Age]]&lt;=50,"(41-50)yrs",HR_table[[#This Row],[Age]]&lt;=60,"(51-60)yrs")</f>
        <v>(31-40)yrs</v>
      </c>
      <c r="C675" t="s">
        <v>43</v>
      </c>
      <c r="D675" t="s">
        <v>36</v>
      </c>
      <c r="E675" t="s">
        <v>45</v>
      </c>
      <c r="F675" t="s">
        <v>49</v>
      </c>
      <c r="G675" t="s">
        <v>47</v>
      </c>
      <c r="H675">
        <v>939</v>
      </c>
      <c r="I675" s="2">
        <v>1</v>
      </c>
      <c r="J675" s="2">
        <v>3</v>
      </c>
      <c r="K675" t="s">
        <v>46</v>
      </c>
      <c r="L675" s="2">
        <v>1</v>
      </c>
      <c r="M675" s="2">
        <v>1</v>
      </c>
      <c r="N675" t="s">
        <v>41</v>
      </c>
      <c r="O675" s="2">
        <v>2799</v>
      </c>
      <c r="P675" s="2">
        <v>3339</v>
      </c>
      <c r="Q675" s="2">
        <v>3</v>
      </c>
      <c r="R675" t="s">
        <v>35</v>
      </c>
      <c r="S675" s="2">
        <v>3</v>
      </c>
      <c r="T675" s="2">
        <v>2</v>
      </c>
      <c r="U675">
        <v>80</v>
      </c>
      <c r="V675" s="2">
        <v>6</v>
      </c>
      <c r="W675">
        <v>1</v>
      </c>
      <c r="X675">
        <v>3</v>
      </c>
      <c r="Y675">
        <v>3</v>
      </c>
      <c r="Z675">
        <v>2</v>
      </c>
      <c r="AA675">
        <v>0</v>
      </c>
      <c r="AB675">
        <v>2</v>
      </c>
    </row>
    <row r="676" spans="1:28" x14ac:dyDescent="0.35">
      <c r="A676" s="2">
        <v>58</v>
      </c>
      <c r="B676" s="2" t="str" cm="1">
        <f t="array" ref="B676">_xlfn.IFS(HR_table[[#This Row],[Age]]&lt;=20, "Under 20yrs",HR_table[[#This Row],[Age]]&lt;=30,"(21-30)yrs",HR_table[[#This Row],[Age]]&lt;=40,"(31-40)yrs",HR_table[[#This Row],[Age]]&lt;=50,"(41-50)yrs",HR_table[[#This Row],[Age]]&lt;=60,"(51-60)yrs")</f>
        <v>(51-60)yrs</v>
      </c>
      <c r="C676" t="s">
        <v>43</v>
      </c>
      <c r="D676" t="s">
        <v>36</v>
      </c>
      <c r="E676" t="s">
        <v>45</v>
      </c>
      <c r="F676" t="s">
        <v>60</v>
      </c>
      <c r="G676" t="s">
        <v>54</v>
      </c>
      <c r="H676">
        <v>940</v>
      </c>
      <c r="I676" s="2">
        <v>5</v>
      </c>
      <c r="J676" s="2">
        <v>3</v>
      </c>
      <c r="K676" t="s">
        <v>39</v>
      </c>
      <c r="L676" s="2">
        <v>3</v>
      </c>
      <c r="M676" s="2">
        <v>2</v>
      </c>
      <c r="N676" t="s">
        <v>52</v>
      </c>
      <c r="O676" s="2">
        <v>10552</v>
      </c>
      <c r="P676" s="2">
        <v>9255</v>
      </c>
      <c r="Q676" s="2">
        <v>2</v>
      </c>
      <c r="R676" t="s">
        <v>35</v>
      </c>
      <c r="S676" s="2">
        <v>3</v>
      </c>
      <c r="T676" s="2">
        <v>4</v>
      </c>
      <c r="U676">
        <v>80</v>
      </c>
      <c r="V676" s="2">
        <v>24</v>
      </c>
      <c r="W676">
        <v>3</v>
      </c>
      <c r="X676">
        <v>3</v>
      </c>
      <c r="Y676">
        <v>6</v>
      </c>
      <c r="Z676">
        <v>0</v>
      </c>
      <c r="AA676">
        <v>0</v>
      </c>
      <c r="AB676">
        <v>4</v>
      </c>
    </row>
    <row r="677" spans="1:28" x14ac:dyDescent="0.35">
      <c r="A677" s="2">
        <v>31</v>
      </c>
      <c r="B677" s="2" t="str" cm="1">
        <f t="array" ref="B677">_xlfn.IFS(HR_table[[#This Row],[Age]]&lt;=20, "Under 20yrs",HR_table[[#This Row],[Age]]&lt;=30,"(21-30)yrs",HR_table[[#This Row],[Age]]&lt;=40,"(31-40)yrs",HR_table[[#This Row],[Age]]&lt;=50,"(41-50)yrs",HR_table[[#This Row],[Age]]&lt;=60,"(51-60)yrs")</f>
        <v>(31-40)yrs</v>
      </c>
      <c r="C677" t="s">
        <v>43</v>
      </c>
      <c r="D677" t="s">
        <v>36</v>
      </c>
      <c r="E677" t="s">
        <v>37</v>
      </c>
      <c r="F677" t="s">
        <v>38</v>
      </c>
      <c r="G677" t="s">
        <v>57</v>
      </c>
      <c r="H677">
        <v>941</v>
      </c>
      <c r="I677" s="2">
        <v>7</v>
      </c>
      <c r="J677" s="2">
        <v>2</v>
      </c>
      <c r="K677" t="s">
        <v>46</v>
      </c>
      <c r="L677" s="2">
        <v>1</v>
      </c>
      <c r="M677" s="2">
        <v>3</v>
      </c>
      <c r="N677" t="s">
        <v>48</v>
      </c>
      <c r="O677" s="2">
        <v>2329</v>
      </c>
      <c r="P677" s="2">
        <v>11737</v>
      </c>
      <c r="Q677" s="2">
        <v>3</v>
      </c>
      <c r="R677" t="s">
        <v>43</v>
      </c>
      <c r="S677" s="2">
        <v>3</v>
      </c>
      <c r="T677" s="2">
        <v>2</v>
      </c>
      <c r="U677">
        <v>80</v>
      </c>
      <c r="V677" s="2">
        <v>13</v>
      </c>
      <c r="W677">
        <v>2</v>
      </c>
      <c r="X677">
        <v>4</v>
      </c>
      <c r="Y677">
        <v>7</v>
      </c>
      <c r="Z677">
        <v>7</v>
      </c>
      <c r="AA677">
        <v>5</v>
      </c>
      <c r="AB677">
        <v>2</v>
      </c>
    </row>
    <row r="678" spans="1:28" x14ac:dyDescent="0.35">
      <c r="A678" s="2">
        <v>35</v>
      </c>
      <c r="B678" s="2" t="str" cm="1">
        <f t="array" ref="B678">_xlfn.IFS(HR_table[[#This Row],[Age]]&lt;=20, "Under 20yrs",HR_table[[#This Row],[Age]]&lt;=30,"(21-30)yrs",HR_table[[#This Row],[Age]]&lt;=40,"(31-40)yrs",HR_table[[#This Row],[Age]]&lt;=50,"(41-50)yrs",HR_table[[#This Row],[Age]]&lt;=60,"(51-60)yrs")</f>
        <v>(31-40)yrs</v>
      </c>
      <c r="C678" t="s">
        <v>43</v>
      </c>
      <c r="D678" t="s">
        <v>36</v>
      </c>
      <c r="E678" t="s">
        <v>45</v>
      </c>
      <c r="F678" t="s">
        <v>38</v>
      </c>
      <c r="G678" t="s">
        <v>54</v>
      </c>
      <c r="H678">
        <v>942</v>
      </c>
      <c r="I678" s="2">
        <v>21</v>
      </c>
      <c r="J678" s="2">
        <v>4</v>
      </c>
      <c r="K678" t="s">
        <v>39</v>
      </c>
      <c r="L678" s="2">
        <v>2</v>
      </c>
      <c r="M678" s="2">
        <v>4</v>
      </c>
      <c r="N678" t="s">
        <v>48</v>
      </c>
      <c r="O678" s="2">
        <v>4014</v>
      </c>
      <c r="P678" s="2">
        <v>19170</v>
      </c>
      <c r="Q678" s="2">
        <v>1</v>
      </c>
      <c r="R678" t="s">
        <v>35</v>
      </c>
      <c r="S678" s="2">
        <v>4</v>
      </c>
      <c r="T678" s="2">
        <v>4</v>
      </c>
      <c r="U678">
        <v>80</v>
      </c>
      <c r="V678" s="2">
        <v>10</v>
      </c>
      <c r="W678">
        <v>2</v>
      </c>
      <c r="X678">
        <v>1</v>
      </c>
      <c r="Y678">
        <v>10</v>
      </c>
      <c r="Z678">
        <v>6</v>
      </c>
      <c r="AA678">
        <v>0</v>
      </c>
      <c r="AB678">
        <v>7</v>
      </c>
    </row>
    <row r="679" spans="1:28" x14ac:dyDescent="0.35">
      <c r="A679" s="2">
        <v>49</v>
      </c>
      <c r="B679" s="2" t="str" cm="1">
        <f t="array" ref="B679">_xlfn.IFS(HR_table[[#This Row],[Age]]&lt;=20, "Under 20yrs",HR_table[[#This Row],[Age]]&lt;=30,"(21-30)yrs",HR_table[[#This Row],[Age]]&lt;=40,"(31-40)yrs",HR_table[[#This Row],[Age]]&lt;=50,"(41-50)yrs",HR_table[[#This Row],[Age]]&lt;=60,"(51-60)yrs")</f>
        <v>(41-50)yrs</v>
      </c>
      <c r="C679" t="s">
        <v>43</v>
      </c>
      <c r="D679" t="s">
        <v>36</v>
      </c>
      <c r="E679" t="s">
        <v>45</v>
      </c>
      <c r="F679" t="s">
        <v>49</v>
      </c>
      <c r="G679" t="s">
        <v>50</v>
      </c>
      <c r="H679">
        <v>944</v>
      </c>
      <c r="I679" s="2">
        <v>8</v>
      </c>
      <c r="J679" s="2">
        <v>1</v>
      </c>
      <c r="K679" t="s">
        <v>39</v>
      </c>
      <c r="L679" s="2">
        <v>3</v>
      </c>
      <c r="M679" s="2">
        <v>2</v>
      </c>
      <c r="N679" t="s">
        <v>48</v>
      </c>
      <c r="O679" s="2">
        <v>7403</v>
      </c>
      <c r="P679" s="2">
        <v>22477</v>
      </c>
      <c r="Q679" s="2">
        <v>4</v>
      </c>
      <c r="R679" t="s">
        <v>43</v>
      </c>
      <c r="S679" s="2">
        <v>3</v>
      </c>
      <c r="T679" s="2">
        <v>3</v>
      </c>
      <c r="U679">
        <v>80</v>
      </c>
      <c r="V679" s="2">
        <v>29</v>
      </c>
      <c r="W679">
        <v>3</v>
      </c>
      <c r="X679">
        <v>2</v>
      </c>
      <c r="Y679">
        <v>26</v>
      </c>
      <c r="Z679">
        <v>9</v>
      </c>
      <c r="AA679">
        <v>1</v>
      </c>
      <c r="AB679">
        <v>7</v>
      </c>
    </row>
    <row r="680" spans="1:28" x14ac:dyDescent="0.35">
      <c r="A680" s="2">
        <v>48</v>
      </c>
      <c r="B680" s="2" t="str" cm="1">
        <f t="array" ref="B680">_xlfn.IFS(HR_table[[#This Row],[Age]]&lt;=20, "Under 20yrs",HR_table[[#This Row],[Age]]&lt;=30,"(21-30)yrs",HR_table[[#This Row],[Age]]&lt;=40,"(31-40)yrs",HR_table[[#This Row],[Age]]&lt;=50,"(41-50)yrs",HR_table[[#This Row],[Age]]&lt;=60,"(51-60)yrs")</f>
        <v>(41-50)yrs</v>
      </c>
      <c r="C680" t="s">
        <v>43</v>
      </c>
      <c r="D680" t="s">
        <v>36</v>
      </c>
      <c r="E680" t="s">
        <v>45</v>
      </c>
      <c r="F680" t="s">
        <v>51</v>
      </c>
      <c r="G680" t="s">
        <v>47</v>
      </c>
      <c r="H680">
        <v>945</v>
      </c>
      <c r="I680" s="2">
        <v>20</v>
      </c>
      <c r="J680" s="2">
        <v>4</v>
      </c>
      <c r="K680" t="s">
        <v>46</v>
      </c>
      <c r="L680" s="2">
        <v>1</v>
      </c>
      <c r="M680" s="2">
        <v>3</v>
      </c>
      <c r="N680" t="s">
        <v>48</v>
      </c>
      <c r="O680" s="2">
        <v>2259</v>
      </c>
      <c r="P680" s="2">
        <v>5543</v>
      </c>
      <c r="Q680" s="2">
        <v>4</v>
      </c>
      <c r="R680" t="s">
        <v>43</v>
      </c>
      <c r="S680" s="2">
        <v>3</v>
      </c>
      <c r="T680" s="2">
        <v>1</v>
      </c>
      <c r="U680">
        <v>80</v>
      </c>
      <c r="V680" s="2">
        <v>13</v>
      </c>
      <c r="W680">
        <v>2</v>
      </c>
      <c r="X680">
        <v>2</v>
      </c>
      <c r="Y680">
        <v>0</v>
      </c>
      <c r="Z680">
        <v>0</v>
      </c>
      <c r="AA680">
        <v>0</v>
      </c>
      <c r="AB680">
        <v>0</v>
      </c>
    </row>
    <row r="681" spans="1:28" x14ac:dyDescent="0.35">
      <c r="A681" s="2">
        <v>31</v>
      </c>
      <c r="B681" s="2" t="str" cm="1">
        <f t="array" ref="B681">_xlfn.IFS(HR_table[[#This Row],[Age]]&lt;=20, "Under 20yrs",HR_table[[#This Row],[Age]]&lt;=30,"(21-30)yrs",HR_table[[#This Row],[Age]]&lt;=40,"(31-40)yrs",HR_table[[#This Row],[Age]]&lt;=50,"(41-50)yrs",HR_table[[#This Row],[Age]]&lt;=60,"(51-60)yrs")</f>
        <v>(31-40)yrs</v>
      </c>
      <c r="C681" t="s">
        <v>43</v>
      </c>
      <c r="D681" t="s">
        <v>55</v>
      </c>
      <c r="E681" t="s">
        <v>37</v>
      </c>
      <c r="F681" t="s">
        <v>59</v>
      </c>
      <c r="G681" t="s">
        <v>40</v>
      </c>
      <c r="H681">
        <v>947</v>
      </c>
      <c r="I681" s="2">
        <v>20</v>
      </c>
      <c r="J681" s="2">
        <v>4</v>
      </c>
      <c r="K681" t="s">
        <v>39</v>
      </c>
      <c r="L681" s="2">
        <v>2</v>
      </c>
      <c r="M681" s="2">
        <v>3</v>
      </c>
      <c r="N681" t="s">
        <v>48</v>
      </c>
      <c r="O681" s="2">
        <v>6932</v>
      </c>
      <c r="P681" s="2">
        <v>24406</v>
      </c>
      <c r="Q681" s="2">
        <v>1</v>
      </c>
      <c r="R681" t="s">
        <v>43</v>
      </c>
      <c r="S681" s="2">
        <v>3</v>
      </c>
      <c r="T681" s="2">
        <v>4</v>
      </c>
      <c r="U681">
        <v>80</v>
      </c>
      <c r="V681" s="2">
        <v>9</v>
      </c>
      <c r="W681">
        <v>2</v>
      </c>
      <c r="X681">
        <v>2</v>
      </c>
      <c r="Y681">
        <v>9</v>
      </c>
      <c r="Z681">
        <v>8</v>
      </c>
      <c r="AA681">
        <v>0</v>
      </c>
      <c r="AB681">
        <v>0</v>
      </c>
    </row>
    <row r="682" spans="1:28" x14ac:dyDescent="0.35">
      <c r="A682" s="2">
        <v>36</v>
      </c>
      <c r="B682" s="2" t="str" cm="1">
        <f t="array" ref="B682">_xlfn.IFS(HR_table[[#This Row],[Age]]&lt;=20, "Under 20yrs",HR_table[[#This Row],[Age]]&lt;=30,"(21-30)yrs",HR_table[[#This Row],[Age]]&lt;=40,"(31-40)yrs",HR_table[[#This Row],[Age]]&lt;=50,"(41-50)yrs",HR_table[[#This Row],[Age]]&lt;=60,"(51-60)yrs")</f>
        <v>(31-40)yrs</v>
      </c>
      <c r="C682" t="s">
        <v>43</v>
      </c>
      <c r="D682" t="s">
        <v>36</v>
      </c>
      <c r="E682" t="s">
        <v>45</v>
      </c>
      <c r="F682" t="s">
        <v>49</v>
      </c>
      <c r="G682" t="s">
        <v>47</v>
      </c>
      <c r="H682">
        <v>949</v>
      </c>
      <c r="I682" s="2">
        <v>7</v>
      </c>
      <c r="J682" s="2">
        <v>2</v>
      </c>
      <c r="K682" t="s">
        <v>46</v>
      </c>
      <c r="L682" s="2">
        <v>1</v>
      </c>
      <c r="M682" s="2">
        <v>4</v>
      </c>
      <c r="N682" t="s">
        <v>41</v>
      </c>
      <c r="O682" s="2">
        <v>4678</v>
      </c>
      <c r="P682" s="2">
        <v>23293</v>
      </c>
      <c r="Q682" s="2">
        <v>2</v>
      </c>
      <c r="R682" t="s">
        <v>43</v>
      </c>
      <c r="S682" s="2">
        <v>3</v>
      </c>
      <c r="T682" s="2">
        <v>3</v>
      </c>
      <c r="U682">
        <v>80</v>
      </c>
      <c r="V682" s="2">
        <v>8</v>
      </c>
      <c r="W682">
        <v>6</v>
      </c>
      <c r="X682">
        <v>3</v>
      </c>
      <c r="Y682">
        <v>6</v>
      </c>
      <c r="Z682">
        <v>2</v>
      </c>
      <c r="AA682">
        <v>0</v>
      </c>
      <c r="AB682">
        <v>1</v>
      </c>
    </row>
    <row r="683" spans="1:28" x14ac:dyDescent="0.35">
      <c r="A683" s="2">
        <v>38</v>
      </c>
      <c r="B683" s="2" t="str" cm="1">
        <f t="array" ref="B683">_xlfn.IFS(HR_table[[#This Row],[Age]]&lt;=20, "Under 20yrs",HR_table[[#This Row],[Age]]&lt;=30,"(21-30)yrs",HR_table[[#This Row],[Age]]&lt;=40,"(31-40)yrs",HR_table[[#This Row],[Age]]&lt;=50,"(41-50)yrs",HR_table[[#This Row],[Age]]&lt;=60,"(51-60)yrs")</f>
        <v>(31-40)yrs</v>
      </c>
      <c r="C683" t="s">
        <v>43</v>
      </c>
      <c r="D683" t="s">
        <v>36</v>
      </c>
      <c r="E683" t="s">
        <v>45</v>
      </c>
      <c r="F683" t="s">
        <v>60</v>
      </c>
      <c r="G683" t="s">
        <v>58</v>
      </c>
      <c r="H683">
        <v>950</v>
      </c>
      <c r="I683" s="2">
        <v>1</v>
      </c>
      <c r="J683" s="2">
        <v>4</v>
      </c>
      <c r="K683" t="s">
        <v>39</v>
      </c>
      <c r="L683" s="2">
        <v>3</v>
      </c>
      <c r="M683" s="2">
        <v>1</v>
      </c>
      <c r="N683" t="s">
        <v>48</v>
      </c>
      <c r="O683" s="2">
        <v>13582</v>
      </c>
      <c r="P683" s="2">
        <v>16292</v>
      </c>
      <c r="Q683" s="2">
        <v>1</v>
      </c>
      <c r="R683" t="s">
        <v>43</v>
      </c>
      <c r="S683" s="2">
        <v>3</v>
      </c>
      <c r="T683" s="2">
        <v>2</v>
      </c>
      <c r="U683">
        <v>80</v>
      </c>
      <c r="V683" s="2">
        <v>15</v>
      </c>
      <c r="W683">
        <v>3</v>
      </c>
      <c r="X683">
        <v>3</v>
      </c>
      <c r="Y683">
        <v>15</v>
      </c>
      <c r="Z683">
        <v>12</v>
      </c>
      <c r="AA683">
        <v>5</v>
      </c>
      <c r="AB683">
        <v>11</v>
      </c>
    </row>
    <row r="684" spans="1:28" x14ac:dyDescent="0.35">
      <c r="A684" s="2">
        <v>32</v>
      </c>
      <c r="B684" s="2" t="str" cm="1">
        <f t="array" ref="B684">_xlfn.IFS(HR_table[[#This Row],[Age]]&lt;=20, "Under 20yrs",HR_table[[#This Row],[Age]]&lt;=30,"(21-30)yrs",HR_table[[#This Row],[Age]]&lt;=40,"(31-40)yrs",HR_table[[#This Row],[Age]]&lt;=50,"(41-50)yrs",HR_table[[#This Row],[Age]]&lt;=60,"(51-60)yrs")</f>
        <v>(31-40)yrs</v>
      </c>
      <c r="C684" t="s">
        <v>43</v>
      </c>
      <c r="D684" t="s">
        <v>55</v>
      </c>
      <c r="E684" t="s">
        <v>45</v>
      </c>
      <c r="F684" t="s">
        <v>38</v>
      </c>
      <c r="G684" t="s">
        <v>50</v>
      </c>
      <c r="H684">
        <v>951</v>
      </c>
      <c r="I684" s="2">
        <v>1</v>
      </c>
      <c r="J684" s="2">
        <v>3</v>
      </c>
      <c r="K684" t="s">
        <v>39</v>
      </c>
      <c r="L684" s="2">
        <v>1</v>
      </c>
      <c r="M684" s="2">
        <v>2</v>
      </c>
      <c r="N684" t="s">
        <v>48</v>
      </c>
      <c r="O684" s="2">
        <v>2332</v>
      </c>
      <c r="P684" s="2">
        <v>3974</v>
      </c>
      <c r="Q684" s="2">
        <v>6</v>
      </c>
      <c r="R684" t="s">
        <v>43</v>
      </c>
      <c r="S684" s="2">
        <v>4</v>
      </c>
      <c r="T684" s="2">
        <v>3</v>
      </c>
      <c r="U684">
        <v>80</v>
      </c>
      <c r="V684" s="2">
        <v>5</v>
      </c>
      <c r="W684">
        <v>3</v>
      </c>
      <c r="X684">
        <v>3</v>
      </c>
      <c r="Y684">
        <v>3</v>
      </c>
      <c r="Z684">
        <v>0</v>
      </c>
      <c r="AA684">
        <v>0</v>
      </c>
      <c r="AB684">
        <v>2</v>
      </c>
    </row>
    <row r="685" spans="1:28" x14ac:dyDescent="0.35">
      <c r="A685" s="2">
        <v>25</v>
      </c>
      <c r="B685" s="2" t="str" cm="1">
        <f t="array" ref="B685">_xlfn.IFS(HR_table[[#This Row],[Age]]&lt;=20, "Under 20yrs",HR_table[[#This Row],[Age]]&lt;=30,"(21-30)yrs",HR_table[[#This Row],[Age]]&lt;=40,"(31-40)yrs",HR_table[[#This Row],[Age]]&lt;=50,"(41-50)yrs",HR_table[[#This Row],[Age]]&lt;=60,"(51-60)yrs")</f>
        <v>(21-30)yrs</v>
      </c>
      <c r="C685" t="s">
        <v>35</v>
      </c>
      <c r="D685" t="s">
        <v>36</v>
      </c>
      <c r="E685" t="s">
        <v>37</v>
      </c>
      <c r="F685" t="s">
        <v>59</v>
      </c>
      <c r="G685" t="s">
        <v>57</v>
      </c>
      <c r="H685">
        <v>952</v>
      </c>
      <c r="I685" s="2">
        <v>19</v>
      </c>
      <c r="J685" s="2">
        <v>3</v>
      </c>
      <c r="K685" t="s">
        <v>46</v>
      </c>
      <c r="L685" s="2">
        <v>1</v>
      </c>
      <c r="M685" s="2">
        <v>2</v>
      </c>
      <c r="N685" t="s">
        <v>48</v>
      </c>
      <c r="O685" s="2">
        <v>2413</v>
      </c>
      <c r="P685" s="2">
        <v>18798</v>
      </c>
      <c r="Q685" s="2">
        <v>1</v>
      </c>
      <c r="R685" t="s">
        <v>35</v>
      </c>
      <c r="S685" s="2">
        <v>3</v>
      </c>
      <c r="T685" s="2">
        <v>3</v>
      </c>
      <c r="U685">
        <v>80</v>
      </c>
      <c r="V685" s="2">
        <v>1</v>
      </c>
      <c r="W685">
        <v>2</v>
      </c>
      <c r="X685">
        <v>3</v>
      </c>
      <c r="Y685">
        <v>1</v>
      </c>
      <c r="Z685">
        <v>0</v>
      </c>
      <c r="AA685">
        <v>0</v>
      </c>
      <c r="AB685">
        <v>0</v>
      </c>
    </row>
    <row r="686" spans="1:28" x14ac:dyDescent="0.35">
      <c r="A686" s="2">
        <v>40</v>
      </c>
      <c r="B686" s="2" t="str" cm="1">
        <f t="array" ref="B686">_xlfn.IFS(HR_table[[#This Row],[Age]]&lt;=20, "Under 20yrs",HR_table[[#This Row],[Age]]&lt;=30,"(21-30)yrs",HR_table[[#This Row],[Age]]&lt;=40,"(31-40)yrs",HR_table[[#This Row],[Age]]&lt;=50,"(41-50)yrs",HR_table[[#This Row],[Age]]&lt;=60,"(51-60)yrs")</f>
        <v>(31-40)yrs</v>
      </c>
      <c r="C686" t="s">
        <v>43</v>
      </c>
      <c r="D686" t="s">
        <v>36</v>
      </c>
      <c r="E686" t="s">
        <v>37</v>
      </c>
      <c r="F686" t="s">
        <v>59</v>
      </c>
      <c r="G686" t="s">
        <v>40</v>
      </c>
      <c r="H686">
        <v>954</v>
      </c>
      <c r="I686" s="2">
        <v>10</v>
      </c>
      <c r="J686" s="2">
        <v>1</v>
      </c>
      <c r="K686" t="s">
        <v>46</v>
      </c>
      <c r="L686" s="2">
        <v>3</v>
      </c>
      <c r="M686" s="2">
        <v>2</v>
      </c>
      <c r="N686" t="s">
        <v>52</v>
      </c>
      <c r="O686" s="2">
        <v>9705</v>
      </c>
      <c r="P686" s="2">
        <v>20652</v>
      </c>
      <c r="Q686" s="2">
        <v>2</v>
      </c>
      <c r="R686" t="s">
        <v>43</v>
      </c>
      <c r="S686" s="2">
        <v>3</v>
      </c>
      <c r="T686" s="2">
        <v>2</v>
      </c>
      <c r="U686">
        <v>80</v>
      </c>
      <c r="V686" s="2">
        <v>11</v>
      </c>
      <c r="W686">
        <v>2</v>
      </c>
      <c r="X686">
        <v>2</v>
      </c>
      <c r="Y686">
        <v>1</v>
      </c>
      <c r="Z686">
        <v>0</v>
      </c>
      <c r="AA686">
        <v>0</v>
      </c>
      <c r="AB686">
        <v>0</v>
      </c>
    </row>
    <row r="687" spans="1:28" x14ac:dyDescent="0.35">
      <c r="A687" s="2">
        <v>26</v>
      </c>
      <c r="B687" s="2" t="str" cm="1">
        <f t="array" ref="B687">_xlfn.IFS(HR_table[[#This Row],[Age]]&lt;=20, "Under 20yrs",HR_table[[#This Row],[Age]]&lt;=30,"(21-30)yrs",HR_table[[#This Row],[Age]]&lt;=40,"(31-40)yrs",HR_table[[#This Row],[Age]]&lt;=50,"(41-50)yrs",HR_table[[#This Row],[Age]]&lt;=60,"(51-60)yrs")</f>
        <v>(21-30)yrs</v>
      </c>
      <c r="C687" t="s">
        <v>43</v>
      </c>
      <c r="D687" t="s">
        <v>44</v>
      </c>
      <c r="E687" t="s">
        <v>37</v>
      </c>
      <c r="F687" t="s">
        <v>51</v>
      </c>
      <c r="G687" t="s">
        <v>40</v>
      </c>
      <c r="H687">
        <v>956</v>
      </c>
      <c r="I687" s="2">
        <v>1</v>
      </c>
      <c r="J687" s="2">
        <v>3</v>
      </c>
      <c r="K687" t="s">
        <v>46</v>
      </c>
      <c r="L687" s="2">
        <v>2</v>
      </c>
      <c r="M687" s="2">
        <v>1</v>
      </c>
      <c r="N687" t="s">
        <v>41</v>
      </c>
      <c r="O687" s="2">
        <v>4294</v>
      </c>
      <c r="P687" s="2">
        <v>11148</v>
      </c>
      <c r="Q687" s="2">
        <v>1</v>
      </c>
      <c r="R687" t="s">
        <v>43</v>
      </c>
      <c r="S687" s="2">
        <v>3</v>
      </c>
      <c r="T687" s="2">
        <v>2</v>
      </c>
      <c r="U687">
        <v>80</v>
      </c>
      <c r="V687" s="2">
        <v>7</v>
      </c>
      <c r="W687">
        <v>2</v>
      </c>
      <c r="X687">
        <v>3</v>
      </c>
      <c r="Y687">
        <v>7</v>
      </c>
      <c r="Z687">
        <v>7</v>
      </c>
      <c r="AA687">
        <v>0</v>
      </c>
      <c r="AB687">
        <v>7</v>
      </c>
    </row>
    <row r="688" spans="1:28" x14ac:dyDescent="0.35">
      <c r="A688" s="2">
        <v>41</v>
      </c>
      <c r="B688" s="2" t="str" cm="1">
        <f t="array" ref="B688">_xlfn.IFS(HR_table[[#This Row],[Age]]&lt;=20, "Under 20yrs",HR_table[[#This Row],[Age]]&lt;=30,"(21-30)yrs",HR_table[[#This Row],[Age]]&lt;=40,"(31-40)yrs",HR_table[[#This Row],[Age]]&lt;=50,"(41-50)yrs",HR_table[[#This Row],[Age]]&lt;=60,"(51-60)yrs")</f>
        <v>(41-50)yrs</v>
      </c>
      <c r="C688" t="s">
        <v>43</v>
      </c>
      <c r="D688" t="s">
        <v>36</v>
      </c>
      <c r="E688" t="s">
        <v>45</v>
      </c>
      <c r="F688" t="s">
        <v>51</v>
      </c>
      <c r="G688" t="s">
        <v>50</v>
      </c>
      <c r="H688">
        <v>957</v>
      </c>
      <c r="I688" s="2">
        <v>6</v>
      </c>
      <c r="J688" s="2">
        <v>4</v>
      </c>
      <c r="K688" t="s">
        <v>46</v>
      </c>
      <c r="L688" s="2">
        <v>1</v>
      </c>
      <c r="M688" s="2">
        <v>1</v>
      </c>
      <c r="N688" t="s">
        <v>41</v>
      </c>
      <c r="O688" s="2">
        <v>4721</v>
      </c>
      <c r="P688" s="2">
        <v>3119</v>
      </c>
      <c r="Q688" s="2">
        <v>2</v>
      </c>
      <c r="R688" t="s">
        <v>35</v>
      </c>
      <c r="S688" s="2">
        <v>3</v>
      </c>
      <c r="T688" s="2">
        <v>3</v>
      </c>
      <c r="U688">
        <v>80</v>
      </c>
      <c r="V688" s="2">
        <v>20</v>
      </c>
      <c r="W688">
        <v>3</v>
      </c>
      <c r="X688">
        <v>3</v>
      </c>
      <c r="Y688">
        <v>18</v>
      </c>
      <c r="Z688">
        <v>13</v>
      </c>
      <c r="AA688">
        <v>2</v>
      </c>
      <c r="AB688">
        <v>17</v>
      </c>
    </row>
    <row r="689" spans="1:28" x14ac:dyDescent="0.35">
      <c r="A689" s="2">
        <v>36</v>
      </c>
      <c r="B689" s="2" t="str" cm="1">
        <f t="array" ref="B689">_xlfn.IFS(HR_table[[#This Row],[Age]]&lt;=20, "Under 20yrs",HR_table[[#This Row],[Age]]&lt;=30,"(21-30)yrs",HR_table[[#This Row],[Age]]&lt;=40,"(31-40)yrs",HR_table[[#This Row],[Age]]&lt;=50,"(41-50)yrs",HR_table[[#This Row],[Age]]&lt;=60,"(51-60)yrs")</f>
        <v>(31-40)yrs</v>
      </c>
      <c r="C689" t="s">
        <v>43</v>
      </c>
      <c r="D689" t="s">
        <v>36</v>
      </c>
      <c r="E689" t="s">
        <v>45</v>
      </c>
      <c r="F689" t="s">
        <v>51</v>
      </c>
      <c r="G689" t="s">
        <v>50</v>
      </c>
      <c r="H689">
        <v>958</v>
      </c>
      <c r="I689" s="2">
        <v>2</v>
      </c>
      <c r="J689" s="2">
        <v>3</v>
      </c>
      <c r="K689" t="s">
        <v>46</v>
      </c>
      <c r="L689" s="2">
        <v>1</v>
      </c>
      <c r="M689" s="2">
        <v>3</v>
      </c>
      <c r="N689" t="s">
        <v>41</v>
      </c>
      <c r="O689" s="2">
        <v>2519</v>
      </c>
      <c r="P689" s="2">
        <v>12287</v>
      </c>
      <c r="Q689" s="2">
        <v>4</v>
      </c>
      <c r="R689" t="s">
        <v>43</v>
      </c>
      <c r="S689" s="2">
        <v>4</v>
      </c>
      <c r="T689" s="2">
        <v>3</v>
      </c>
      <c r="U689">
        <v>80</v>
      </c>
      <c r="V689" s="2">
        <v>16</v>
      </c>
      <c r="W689">
        <v>6</v>
      </c>
      <c r="X689">
        <v>3</v>
      </c>
      <c r="Y689">
        <v>11</v>
      </c>
      <c r="Z689">
        <v>8</v>
      </c>
      <c r="AA689">
        <v>3</v>
      </c>
      <c r="AB689">
        <v>9</v>
      </c>
    </row>
    <row r="690" spans="1:28" x14ac:dyDescent="0.35">
      <c r="A690" s="2">
        <v>19</v>
      </c>
      <c r="B690" s="2" t="str" cm="1">
        <f t="array" ref="B690">_xlfn.IFS(HR_table[[#This Row],[Age]]&lt;=20, "Under 20yrs",HR_table[[#This Row],[Age]]&lt;=30,"(21-30)yrs",HR_table[[#This Row],[Age]]&lt;=40,"(31-40)yrs",HR_table[[#This Row],[Age]]&lt;=50,"(41-50)yrs",HR_table[[#This Row],[Age]]&lt;=60,"(51-60)yrs")</f>
        <v>Under 20yrs</v>
      </c>
      <c r="C690" t="s">
        <v>35</v>
      </c>
      <c r="D690" t="s">
        <v>36</v>
      </c>
      <c r="E690" t="s">
        <v>37</v>
      </c>
      <c r="F690" t="s">
        <v>49</v>
      </c>
      <c r="G690" t="s">
        <v>57</v>
      </c>
      <c r="H690">
        <v>959</v>
      </c>
      <c r="I690" s="2">
        <v>21</v>
      </c>
      <c r="J690" s="2">
        <v>4</v>
      </c>
      <c r="K690" t="s">
        <v>46</v>
      </c>
      <c r="L690" s="2">
        <v>1</v>
      </c>
      <c r="M690" s="2">
        <v>2</v>
      </c>
      <c r="N690" t="s">
        <v>41</v>
      </c>
      <c r="O690" s="2">
        <v>2121</v>
      </c>
      <c r="P690" s="2">
        <v>9947</v>
      </c>
      <c r="Q690" s="2">
        <v>1</v>
      </c>
      <c r="R690" t="s">
        <v>35</v>
      </c>
      <c r="S690" s="2">
        <v>3</v>
      </c>
      <c r="T690" s="2">
        <v>2</v>
      </c>
      <c r="U690">
        <v>80</v>
      </c>
      <c r="V690" s="2">
        <v>1</v>
      </c>
      <c r="W690">
        <v>3</v>
      </c>
      <c r="X690">
        <v>4</v>
      </c>
      <c r="Y690">
        <v>1</v>
      </c>
      <c r="Z690">
        <v>0</v>
      </c>
      <c r="AA690">
        <v>0</v>
      </c>
      <c r="AB690">
        <v>0</v>
      </c>
    </row>
    <row r="691" spans="1:28" x14ac:dyDescent="0.35">
      <c r="A691" s="2">
        <v>20</v>
      </c>
      <c r="B691" s="2" t="str" cm="1">
        <f t="array" ref="B691">_xlfn.IFS(HR_table[[#This Row],[Age]]&lt;=20, "Under 20yrs",HR_table[[#This Row],[Age]]&lt;=30,"(21-30)yrs",HR_table[[#This Row],[Age]]&lt;=40,"(31-40)yrs",HR_table[[#This Row],[Age]]&lt;=50,"(41-50)yrs",HR_table[[#This Row],[Age]]&lt;=60,"(51-60)yrs")</f>
        <v>Under 20yrs</v>
      </c>
      <c r="C691" t="s">
        <v>35</v>
      </c>
      <c r="D691" t="s">
        <v>36</v>
      </c>
      <c r="E691" t="s">
        <v>45</v>
      </c>
      <c r="F691" t="s">
        <v>60</v>
      </c>
      <c r="G691" t="s">
        <v>50</v>
      </c>
      <c r="H691">
        <v>960</v>
      </c>
      <c r="I691" s="2">
        <v>4</v>
      </c>
      <c r="J691" s="2">
        <v>1</v>
      </c>
      <c r="K691" t="s">
        <v>46</v>
      </c>
      <c r="L691" s="2">
        <v>1</v>
      </c>
      <c r="M691" s="2">
        <v>1</v>
      </c>
      <c r="N691" t="s">
        <v>41</v>
      </c>
      <c r="O691" s="2">
        <v>2973</v>
      </c>
      <c r="P691" s="2">
        <v>13008</v>
      </c>
      <c r="Q691" s="2">
        <v>1</v>
      </c>
      <c r="R691" t="s">
        <v>43</v>
      </c>
      <c r="S691" s="2">
        <v>3</v>
      </c>
      <c r="T691" s="2">
        <v>2</v>
      </c>
      <c r="U691">
        <v>80</v>
      </c>
      <c r="V691" s="2">
        <v>1</v>
      </c>
      <c r="W691">
        <v>2</v>
      </c>
      <c r="X691">
        <v>3</v>
      </c>
      <c r="Y691">
        <v>1</v>
      </c>
      <c r="Z691">
        <v>0</v>
      </c>
      <c r="AA691">
        <v>0</v>
      </c>
      <c r="AB691">
        <v>0</v>
      </c>
    </row>
    <row r="692" spans="1:28" x14ac:dyDescent="0.35">
      <c r="A692" s="2">
        <v>31</v>
      </c>
      <c r="B692" s="2" t="str" cm="1">
        <f t="array" ref="B692">_xlfn.IFS(HR_table[[#This Row],[Age]]&lt;=20, "Under 20yrs",HR_table[[#This Row],[Age]]&lt;=30,"(21-30)yrs",HR_table[[#This Row],[Age]]&lt;=40,"(31-40)yrs",HR_table[[#This Row],[Age]]&lt;=50,"(41-50)yrs",HR_table[[#This Row],[Age]]&lt;=60,"(51-60)yrs")</f>
        <v>(31-40)yrs</v>
      </c>
      <c r="C692" t="s">
        <v>43</v>
      </c>
      <c r="D692" t="s">
        <v>36</v>
      </c>
      <c r="E692" t="s">
        <v>45</v>
      </c>
      <c r="F692" t="s">
        <v>51</v>
      </c>
      <c r="G692" t="s">
        <v>54</v>
      </c>
      <c r="H692">
        <v>961</v>
      </c>
      <c r="I692" s="2">
        <v>12</v>
      </c>
      <c r="J692" s="2">
        <v>4</v>
      </c>
      <c r="K692" t="s">
        <v>39</v>
      </c>
      <c r="L692" s="2">
        <v>2</v>
      </c>
      <c r="M692" s="2">
        <v>4</v>
      </c>
      <c r="N692" t="s">
        <v>48</v>
      </c>
      <c r="O692" s="2">
        <v>5855</v>
      </c>
      <c r="P692" s="2">
        <v>17369</v>
      </c>
      <c r="Q692" s="2">
        <v>0</v>
      </c>
      <c r="R692" t="s">
        <v>35</v>
      </c>
      <c r="S692" s="2">
        <v>3</v>
      </c>
      <c r="T692" s="2">
        <v>3</v>
      </c>
      <c r="U692">
        <v>80</v>
      </c>
      <c r="V692" s="2">
        <v>10</v>
      </c>
      <c r="W692">
        <v>2</v>
      </c>
      <c r="X692">
        <v>1</v>
      </c>
      <c r="Y692">
        <v>9</v>
      </c>
      <c r="Z692">
        <v>7</v>
      </c>
      <c r="AA692">
        <v>8</v>
      </c>
      <c r="AB692">
        <v>5</v>
      </c>
    </row>
    <row r="693" spans="1:28" x14ac:dyDescent="0.35">
      <c r="A693" s="2">
        <v>40</v>
      </c>
      <c r="B693" s="2" t="str" cm="1">
        <f t="array" ref="B693">_xlfn.IFS(HR_table[[#This Row],[Age]]&lt;=20, "Under 20yrs",HR_table[[#This Row],[Age]]&lt;=30,"(21-30)yrs",HR_table[[#This Row],[Age]]&lt;=40,"(31-40)yrs",HR_table[[#This Row],[Age]]&lt;=50,"(41-50)yrs",HR_table[[#This Row],[Age]]&lt;=60,"(51-60)yrs")</f>
        <v>(31-40)yrs</v>
      </c>
      <c r="C693" t="s">
        <v>43</v>
      </c>
      <c r="D693" t="s">
        <v>44</v>
      </c>
      <c r="E693" t="s">
        <v>45</v>
      </c>
      <c r="F693" t="s">
        <v>51</v>
      </c>
      <c r="G693" t="s">
        <v>47</v>
      </c>
      <c r="H693">
        <v>964</v>
      </c>
      <c r="I693" s="2">
        <v>9</v>
      </c>
      <c r="J693" s="2">
        <v>4</v>
      </c>
      <c r="K693" t="s">
        <v>46</v>
      </c>
      <c r="L693" s="2">
        <v>1</v>
      </c>
      <c r="M693" s="2">
        <v>2</v>
      </c>
      <c r="N693" t="s">
        <v>52</v>
      </c>
      <c r="O693" s="2">
        <v>3617</v>
      </c>
      <c r="P693" s="2">
        <v>25063</v>
      </c>
      <c r="Q693" s="2">
        <v>8</v>
      </c>
      <c r="R693" t="s">
        <v>35</v>
      </c>
      <c r="S693" s="2">
        <v>3</v>
      </c>
      <c r="T693" s="2">
        <v>4</v>
      </c>
      <c r="U693">
        <v>80</v>
      </c>
      <c r="V693" s="2">
        <v>3</v>
      </c>
      <c r="W693">
        <v>2</v>
      </c>
      <c r="X693">
        <v>3</v>
      </c>
      <c r="Y693">
        <v>1</v>
      </c>
      <c r="Z693">
        <v>1</v>
      </c>
      <c r="AA693">
        <v>0</v>
      </c>
      <c r="AB693">
        <v>0</v>
      </c>
    </row>
    <row r="694" spans="1:28" x14ac:dyDescent="0.35">
      <c r="A694" s="2">
        <v>32</v>
      </c>
      <c r="B694" s="2" t="str" cm="1">
        <f t="array" ref="B694">_xlfn.IFS(HR_table[[#This Row],[Age]]&lt;=20, "Under 20yrs",HR_table[[#This Row],[Age]]&lt;=30,"(21-30)yrs",HR_table[[#This Row],[Age]]&lt;=40,"(31-40)yrs",HR_table[[#This Row],[Age]]&lt;=50,"(41-50)yrs",HR_table[[#This Row],[Age]]&lt;=60,"(51-60)yrs")</f>
        <v>(31-40)yrs</v>
      </c>
      <c r="C694" t="s">
        <v>43</v>
      </c>
      <c r="D694" t="s">
        <v>36</v>
      </c>
      <c r="E694" t="s">
        <v>45</v>
      </c>
      <c r="F694" t="s">
        <v>51</v>
      </c>
      <c r="G694" t="s">
        <v>53</v>
      </c>
      <c r="H694">
        <v>966</v>
      </c>
      <c r="I694" s="2">
        <v>3</v>
      </c>
      <c r="J694" s="2">
        <v>3</v>
      </c>
      <c r="K694" t="s">
        <v>39</v>
      </c>
      <c r="L694" s="2">
        <v>2</v>
      </c>
      <c r="M694" s="2">
        <v>1</v>
      </c>
      <c r="N694" t="s">
        <v>48</v>
      </c>
      <c r="O694" s="2">
        <v>6725</v>
      </c>
      <c r="P694" s="2">
        <v>13554</v>
      </c>
      <c r="Q694" s="2">
        <v>1</v>
      </c>
      <c r="R694" t="s">
        <v>43</v>
      </c>
      <c r="S694" s="2">
        <v>3</v>
      </c>
      <c r="T694" s="2">
        <v>3</v>
      </c>
      <c r="U694">
        <v>80</v>
      </c>
      <c r="V694" s="2">
        <v>8</v>
      </c>
      <c r="W694">
        <v>2</v>
      </c>
      <c r="X694">
        <v>4</v>
      </c>
      <c r="Y694">
        <v>8</v>
      </c>
      <c r="Z694">
        <v>7</v>
      </c>
      <c r="AA694">
        <v>6</v>
      </c>
      <c r="AB694">
        <v>3</v>
      </c>
    </row>
    <row r="695" spans="1:28" x14ac:dyDescent="0.35">
      <c r="A695" s="2">
        <v>36</v>
      </c>
      <c r="B695" s="2" t="str" cm="1">
        <f t="array" ref="B695">_xlfn.IFS(HR_table[[#This Row],[Age]]&lt;=20, "Under 20yrs",HR_table[[#This Row],[Age]]&lt;=30,"(21-30)yrs",HR_table[[#This Row],[Age]]&lt;=40,"(31-40)yrs",HR_table[[#This Row],[Age]]&lt;=50,"(41-50)yrs",HR_table[[#This Row],[Age]]&lt;=60,"(51-60)yrs")</f>
        <v>(31-40)yrs</v>
      </c>
      <c r="C695" t="s">
        <v>35</v>
      </c>
      <c r="D695" t="s">
        <v>36</v>
      </c>
      <c r="E695" t="s">
        <v>37</v>
      </c>
      <c r="F695" t="s">
        <v>38</v>
      </c>
      <c r="G695" t="s">
        <v>40</v>
      </c>
      <c r="H695">
        <v>967</v>
      </c>
      <c r="I695" s="2">
        <v>3</v>
      </c>
      <c r="J695" s="2">
        <v>3</v>
      </c>
      <c r="K695" t="s">
        <v>46</v>
      </c>
      <c r="L695" s="2">
        <v>3</v>
      </c>
      <c r="M695" s="2">
        <v>4</v>
      </c>
      <c r="N695" t="s">
        <v>48</v>
      </c>
      <c r="O695" s="2">
        <v>10325</v>
      </c>
      <c r="P695" s="2">
        <v>5518</v>
      </c>
      <c r="Q695" s="2">
        <v>1</v>
      </c>
      <c r="R695" t="s">
        <v>35</v>
      </c>
      <c r="S695" s="2">
        <v>3</v>
      </c>
      <c r="T695" s="2">
        <v>1</v>
      </c>
      <c r="U695">
        <v>80</v>
      </c>
      <c r="V695" s="2">
        <v>16</v>
      </c>
      <c r="W695">
        <v>6</v>
      </c>
      <c r="X695">
        <v>3</v>
      </c>
      <c r="Y695">
        <v>16</v>
      </c>
      <c r="Z695">
        <v>7</v>
      </c>
      <c r="AA695">
        <v>3</v>
      </c>
      <c r="AB695">
        <v>7</v>
      </c>
    </row>
    <row r="696" spans="1:28" x14ac:dyDescent="0.35">
      <c r="A696" s="2">
        <v>33</v>
      </c>
      <c r="B696" s="2" t="str" cm="1">
        <f t="array" ref="B696">_xlfn.IFS(HR_table[[#This Row],[Age]]&lt;=20, "Under 20yrs",HR_table[[#This Row],[Age]]&lt;=30,"(21-30)yrs",HR_table[[#This Row],[Age]]&lt;=40,"(31-40)yrs",HR_table[[#This Row],[Age]]&lt;=50,"(41-50)yrs",HR_table[[#This Row],[Age]]&lt;=60,"(51-60)yrs")</f>
        <v>(31-40)yrs</v>
      </c>
      <c r="C696" t="s">
        <v>43</v>
      </c>
      <c r="D696" t="s">
        <v>36</v>
      </c>
      <c r="E696" t="s">
        <v>45</v>
      </c>
      <c r="F696" t="s">
        <v>38</v>
      </c>
      <c r="G696" t="s">
        <v>54</v>
      </c>
      <c r="H696">
        <v>969</v>
      </c>
      <c r="I696" s="2">
        <v>1</v>
      </c>
      <c r="J696" s="2">
        <v>2</v>
      </c>
      <c r="K696" t="s">
        <v>39</v>
      </c>
      <c r="L696" s="2">
        <v>2</v>
      </c>
      <c r="M696" s="2">
        <v>4</v>
      </c>
      <c r="N696" t="s">
        <v>41</v>
      </c>
      <c r="O696" s="2">
        <v>6949</v>
      </c>
      <c r="P696" s="2">
        <v>12291</v>
      </c>
      <c r="Q696" s="2">
        <v>0</v>
      </c>
      <c r="R696" t="s">
        <v>43</v>
      </c>
      <c r="S696" s="2">
        <v>3</v>
      </c>
      <c r="T696" s="2">
        <v>1</v>
      </c>
      <c r="U696">
        <v>80</v>
      </c>
      <c r="V696" s="2">
        <v>6</v>
      </c>
      <c r="W696">
        <v>3</v>
      </c>
      <c r="X696">
        <v>3</v>
      </c>
      <c r="Y696">
        <v>5</v>
      </c>
      <c r="Z696">
        <v>0</v>
      </c>
      <c r="AA696">
        <v>1</v>
      </c>
      <c r="AB696">
        <v>4</v>
      </c>
    </row>
    <row r="697" spans="1:28" x14ac:dyDescent="0.35">
      <c r="A697" s="2">
        <v>37</v>
      </c>
      <c r="B697" s="2" t="str" cm="1">
        <f t="array" ref="B697">_xlfn.IFS(HR_table[[#This Row],[Age]]&lt;=20, "Under 20yrs",HR_table[[#This Row],[Age]]&lt;=30,"(21-30)yrs",HR_table[[#This Row],[Age]]&lt;=40,"(31-40)yrs",HR_table[[#This Row],[Age]]&lt;=50,"(41-50)yrs",HR_table[[#This Row],[Age]]&lt;=60,"(51-60)yrs")</f>
        <v>(31-40)yrs</v>
      </c>
      <c r="C697" t="s">
        <v>35</v>
      </c>
      <c r="D697" t="s">
        <v>36</v>
      </c>
      <c r="E697" t="s">
        <v>37</v>
      </c>
      <c r="F697" t="s">
        <v>38</v>
      </c>
      <c r="G697" t="s">
        <v>40</v>
      </c>
      <c r="H697">
        <v>970</v>
      </c>
      <c r="I697" s="2">
        <v>1</v>
      </c>
      <c r="J697" s="2">
        <v>1</v>
      </c>
      <c r="K697" t="s">
        <v>46</v>
      </c>
      <c r="L697" s="2">
        <v>3</v>
      </c>
      <c r="M697" s="2">
        <v>3</v>
      </c>
      <c r="N697" t="s">
        <v>48</v>
      </c>
      <c r="O697" s="2">
        <v>10609</v>
      </c>
      <c r="P697" s="2">
        <v>14922</v>
      </c>
      <c r="Q697" s="2">
        <v>5</v>
      </c>
      <c r="R697" t="s">
        <v>43</v>
      </c>
      <c r="S697" s="2">
        <v>3</v>
      </c>
      <c r="T697" s="2">
        <v>3</v>
      </c>
      <c r="U697">
        <v>80</v>
      </c>
      <c r="V697" s="2">
        <v>17</v>
      </c>
      <c r="W697">
        <v>2</v>
      </c>
      <c r="X697">
        <v>1</v>
      </c>
      <c r="Y697">
        <v>14</v>
      </c>
      <c r="Z697">
        <v>1</v>
      </c>
      <c r="AA697">
        <v>11</v>
      </c>
      <c r="AB697">
        <v>7</v>
      </c>
    </row>
    <row r="698" spans="1:28" x14ac:dyDescent="0.35">
      <c r="A698" s="2">
        <v>45</v>
      </c>
      <c r="B698" s="2" t="str" cm="1">
        <f t="array" ref="B698">_xlfn.IFS(HR_table[[#This Row],[Age]]&lt;=20, "Under 20yrs",HR_table[[#This Row],[Age]]&lt;=30,"(21-30)yrs",HR_table[[#This Row],[Age]]&lt;=40,"(31-40)yrs",HR_table[[#This Row],[Age]]&lt;=50,"(41-50)yrs",HR_table[[#This Row],[Age]]&lt;=60,"(51-60)yrs")</f>
        <v>(41-50)yrs</v>
      </c>
      <c r="C698" t="s">
        <v>43</v>
      </c>
      <c r="D698" t="s">
        <v>55</v>
      </c>
      <c r="E698" t="s">
        <v>45</v>
      </c>
      <c r="F698" t="s">
        <v>38</v>
      </c>
      <c r="G698" t="s">
        <v>50</v>
      </c>
      <c r="H698">
        <v>972</v>
      </c>
      <c r="I698" s="2">
        <v>4</v>
      </c>
      <c r="J698" s="2">
        <v>3</v>
      </c>
      <c r="K698" t="s">
        <v>46</v>
      </c>
      <c r="L698" s="2">
        <v>2</v>
      </c>
      <c r="M698" s="2">
        <v>2</v>
      </c>
      <c r="N698" t="s">
        <v>48</v>
      </c>
      <c r="O698" s="2">
        <v>4447</v>
      </c>
      <c r="P698" s="2">
        <v>23163</v>
      </c>
      <c r="Q698" s="2">
        <v>1</v>
      </c>
      <c r="R698" t="s">
        <v>43</v>
      </c>
      <c r="S698" s="2">
        <v>3</v>
      </c>
      <c r="T698" s="2">
        <v>2</v>
      </c>
      <c r="U698">
        <v>80</v>
      </c>
      <c r="V698" s="2">
        <v>9</v>
      </c>
      <c r="W698">
        <v>5</v>
      </c>
      <c r="X698">
        <v>2</v>
      </c>
      <c r="Y698">
        <v>9</v>
      </c>
      <c r="Z698">
        <v>7</v>
      </c>
      <c r="AA698">
        <v>0</v>
      </c>
      <c r="AB698">
        <v>8</v>
      </c>
    </row>
    <row r="699" spans="1:28" x14ac:dyDescent="0.35">
      <c r="A699" s="2">
        <v>29</v>
      </c>
      <c r="B699" s="2" t="str" cm="1">
        <f t="array" ref="B699">_xlfn.IFS(HR_table[[#This Row],[Age]]&lt;=20, "Under 20yrs",HR_table[[#This Row],[Age]]&lt;=30,"(21-30)yrs",HR_table[[#This Row],[Age]]&lt;=40,"(31-40)yrs",HR_table[[#This Row],[Age]]&lt;=50,"(41-50)yrs",HR_table[[#This Row],[Age]]&lt;=60,"(51-60)yrs")</f>
        <v>(21-30)yrs</v>
      </c>
      <c r="C699" t="s">
        <v>43</v>
      </c>
      <c r="D699" t="s">
        <v>44</v>
      </c>
      <c r="E699" t="s">
        <v>37</v>
      </c>
      <c r="F699" t="s">
        <v>60</v>
      </c>
      <c r="G699" t="s">
        <v>57</v>
      </c>
      <c r="H699">
        <v>974</v>
      </c>
      <c r="I699" s="2">
        <v>20</v>
      </c>
      <c r="J699" s="2">
        <v>3</v>
      </c>
      <c r="K699" t="s">
        <v>39</v>
      </c>
      <c r="L699" s="2">
        <v>1</v>
      </c>
      <c r="M699" s="2">
        <v>4</v>
      </c>
      <c r="N699" t="s">
        <v>48</v>
      </c>
      <c r="O699" s="2">
        <v>2157</v>
      </c>
      <c r="P699" s="2">
        <v>18203</v>
      </c>
      <c r="Q699" s="2">
        <v>1</v>
      </c>
      <c r="R699" t="s">
        <v>43</v>
      </c>
      <c r="S699" s="2">
        <v>3</v>
      </c>
      <c r="T699" s="2">
        <v>2</v>
      </c>
      <c r="U699">
        <v>80</v>
      </c>
      <c r="V699" s="2">
        <v>3</v>
      </c>
      <c r="W699">
        <v>5</v>
      </c>
      <c r="X699">
        <v>3</v>
      </c>
      <c r="Y699">
        <v>3</v>
      </c>
      <c r="Z699">
        <v>1</v>
      </c>
      <c r="AA699">
        <v>0</v>
      </c>
      <c r="AB699">
        <v>2</v>
      </c>
    </row>
    <row r="700" spans="1:28" x14ac:dyDescent="0.35">
      <c r="A700" s="2">
        <v>35</v>
      </c>
      <c r="B700" s="2" t="str" cm="1">
        <f t="array" ref="B700">_xlfn.IFS(HR_table[[#This Row],[Age]]&lt;=20, "Under 20yrs",HR_table[[#This Row],[Age]]&lt;=30,"(21-30)yrs",HR_table[[#This Row],[Age]]&lt;=40,"(31-40)yrs",HR_table[[#This Row],[Age]]&lt;=50,"(41-50)yrs",HR_table[[#This Row],[Age]]&lt;=60,"(51-60)yrs")</f>
        <v>(31-40)yrs</v>
      </c>
      <c r="C700" t="s">
        <v>43</v>
      </c>
      <c r="D700" t="s">
        <v>36</v>
      </c>
      <c r="E700" t="s">
        <v>37</v>
      </c>
      <c r="F700" t="s">
        <v>51</v>
      </c>
      <c r="G700" t="s">
        <v>40</v>
      </c>
      <c r="H700">
        <v>975</v>
      </c>
      <c r="I700" s="2">
        <v>18</v>
      </c>
      <c r="J700" s="2">
        <v>3</v>
      </c>
      <c r="K700" t="s">
        <v>39</v>
      </c>
      <c r="L700" s="2">
        <v>2</v>
      </c>
      <c r="M700" s="2">
        <v>3</v>
      </c>
      <c r="N700" t="s">
        <v>48</v>
      </c>
      <c r="O700" s="2">
        <v>4601</v>
      </c>
      <c r="P700" s="2">
        <v>6179</v>
      </c>
      <c r="Q700" s="2">
        <v>1</v>
      </c>
      <c r="R700" t="s">
        <v>43</v>
      </c>
      <c r="S700" s="2">
        <v>3</v>
      </c>
      <c r="T700" s="2">
        <v>2</v>
      </c>
      <c r="U700">
        <v>80</v>
      </c>
      <c r="V700" s="2">
        <v>5</v>
      </c>
      <c r="W700">
        <v>3</v>
      </c>
      <c r="X700">
        <v>3</v>
      </c>
      <c r="Y700">
        <v>5</v>
      </c>
      <c r="Z700">
        <v>2</v>
      </c>
      <c r="AA700">
        <v>1</v>
      </c>
      <c r="AB700">
        <v>0</v>
      </c>
    </row>
    <row r="701" spans="1:28" x14ac:dyDescent="0.35">
      <c r="A701" s="2">
        <v>52</v>
      </c>
      <c r="B701" s="2" t="str" cm="1">
        <f t="array" ref="B701">_xlfn.IFS(HR_table[[#This Row],[Age]]&lt;=20, "Under 20yrs",HR_table[[#This Row],[Age]]&lt;=30,"(21-30)yrs",HR_table[[#This Row],[Age]]&lt;=40,"(31-40)yrs",HR_table[[#This Row],[Age]]&lt;=50,"(41-50)yrs",HR_table[[#This Row],[Age]]&lt;=60,"(51-60)yrs")</f>
        <v>(51-60)yrs</v>
      </c>
      <c r="C701" t="s">
        <v>43</v>
      </c>
      <c r="D701" t="s">
        <v>36</v>
      </c>
      <c r="E701" t="s">
        <v>45</v>
      </c>
      <c r="F701" t="s">
        <v>38</v>
      </c>
      <c r="G701" t="s">
        <v>56</v>
      </c>
      <c r="H701">
        <v>976</v>
      </c>
      <c r="I701" s="2">
        <v>1</v>
      </c>
      <c r="J701" s="2">
        <v>4</v>
      </c>
      <c r="K701" t="s">
        <v>46</v>
      </c>
      <c r="L701" s="2">
        <v>4</v>
      </c>
      <c r="M701" s="2">
        <v>4</v>
      </c>
      <c r="N701" t="s">
        <v>48</v>
      </c>
      <c r="O701" s="2">
        <v>17099</v>
      </c>
      <c r="P701" s="2">
        <v>13829</v>
      </c>
      <c r="Q701" s="2">
        <v>2</v>
      </c>
      <c r="R701" t="s">
        <v>43</v>
      </c>
      <c r="S701" s="2">
        <v>3</v>
      </c>
      <c r="T701" s="2">
        <v>2</v>
      </c>
      <c r="U701">
        <v>80</v>
      </c>
      <c r="V701" s="2">
        <v>26</v>
      </c>
      <c r="W701">
        <v>2</v>
      </c>
      <c r="X701">
        <v>2</v>
      </c>
      <c r="Y701">
        <v>9</v>
      </c>
      <c r="Z701">
        <v>8</v>
      </c>
      <c r="AA701">
        <v>7</v>
      </c>
      <c r="AB701">
        <v>8</v>
      </c>
    </row>
    <row r="702" spans="1:28" x14ac:dyDescent="0.35">
      <c r="A702" s="2">
        <v>58</v>
      </c>
      <c r="B702" s="2" t="str" cm="1">
        <f t="array" ref="B702">_xlfn.IFS(HR_table[[#This Row],[Age]]&lt;=20, "Under 20yrs",HR_table[[#This Row],[Age]]&lt;=30,"(21-30)yrs",HR_table[[#This Row],[Age]]&lt;=40,"(31-40)yrs",HR_table[[#This Row],[Age]]&lt;=50,"(41-50)yrs",HR_table[[#This Row],[Age]]&lt;=60,"(51-60)yrs")</f>
        <v>(51-60)yrs</v>
      </c>
      <c r="C702" t="s">
        <v>35</v>
      </c>
      <c r="D702" t="s">
        <v>36</v>
      </c>
      <c r="E702" t="s">
        <v>45</v>
      </c>
      <c r="F702" t="s">
        <v>60</v>
      </c>
      <c r="G702" t="s">
        <v>47</v>
      </c>
      <c r="H702">
        <v>977</v>
      </c>
      <c r="I702" s="2">
        <v>2</v>
      </c>
      <c r="J702" s="2">
        <v>4</v>
      </c>
      <c r="K702" t="s">
        <v>46</v>
      </c>
      <c r="L702" s="2">
        <v>1</v>
      </c>
      <c r="M702" s="2">
        <v>3</v>
      </c>
      <c r="N702" t="s">
        <v>41</v>
      </c>
      <c r="O702" s="2">
        <v>2479</v>
      </c>
      <c r="P702" s="2">
        <v>26227</v>
      </c>
      <c r="Q702" s="2">
        <v>4</v>
      </c>
      <c r="R702" t="s">
        <v>43</v>
      </c>
      <c r="S702" s="2">
        <v>4</v>
      </c>
      <c r="T702" s="2">
        <v>1</v>
      </c>
      <c r="U702">
        <v>80</v>
      </c>
      <c r="V702" s="2">
        <v>7</v>
      </c>
      <c r="W702">
        <v>4</v>
      </c>
      <c r="X702">
        <v>3</v>
      </c>
      <c r="Y702">
        <v>1</v>
      </c>
      <c r="Z702">
        <v>0</v>
      </c>
      <c r="AA702">
        <v>0</v>
      </c>
      <c r="AB702">
        <v>0</v>
      </c>
    </row>
    <row r="703" spans="1:28" x14ac:dyDescent="0.35">
      <c r="A703" s="2">
        <v>53</v>
      </c>
      <c r="B703" s="2" t="str" cm="1">
        <f t="array" ref="B703">_xlfn.IFS(HR_table[[#This Row],[Age]]&lt;=20, "Under 20yrs",HR_table[[#This Row],[Age]]&lt;=30,"(21-30)yrs",HR_table[[#This Row],[Age]]&lt;=40,"(31-40)yrs",HR_table[[#This Row],[Age]]&lt;=50,"(41-50)yrs",HR_table[[#This Row],[Age]]&lt;=60,"(51-60)yrs")</f>
        <v>(51-60)yrs</v>
      </c>
      <c r="C703" t="s">
        <v>43</v>
      </c>
      <c r="D703" t="s">
        <v>36</v>
      </c>
      <c r="E703" t="s">
        <v>37</v>
      </c>
      <c r="F703" t="s">
        <v>51</v>
      </c>
      <c r="G703" t="s">
        <v>56</v>
      </c>
      <c r="H703">
        <v>981</v>
      </c>
      <c r="I703" s="2">
        <v>2</v>
      </c>
      <c r="J703" s="2">
        <v>3</v>
      </c>
      <c r="K703" t="s">
        <v>46</v>
      </c>
      <c r="L703" s="2">
        <v>4</v>
      </c>
      <c r="M703" s="2">
        <v>3</v>
      </c>
      <c r="N703" t="s">
        <v>52</v>
      </c>
      <c r="O703" s="2">
        <v>14852</v>
      </c>
      <c r="P703" s="2">
        <v>13938</v>
      </c>
      <c r="Q703" s="2">
        <v>6</v>
      </c>
      <c r="R703" t="s">
        <v>43</v>
      </c>
      <c r="S703" s="2">
        <v>3</v>
      </c>
      <c r="T703" s="2">
        <v>3</v>
      </c>
      <c r="U703">
        <v>80</v>
      </c>
      <c r="V703" s="2">
        <v>22</v>
      </c>
      <c r="W703">
        <v>3</v>
      </c>
      <c r="X703">
        <v>4</v>
      </c>
      <c r="Y703">
        <v>17</v>
      </c>
      <c r="Z703">
        <v>13</v>
      </c>
      <c r="AA703">
        <v>15</v>
      </c>
      <c r="AB703">
        <v>2</v>
      </c>
    </row>
    <row r="704" spans="1:28" x14ac:dyDescent="0.35">
      <c r="A704" s="2">
        <v>30</v>
      </c>
      <c r="B704" s="2" t="str" cm="1">
        <f t="array" ref="B704">_xlfn.IFS(HR_table[[#This Row],[Age]]&lt;=20, "Under 20yrs",HR_table[[#This Row],[Age]]&lt;=30,"(21-30)yrs",HR_table[[#This Row],[Age]]&lt;=40,"(31-40)yrs",HR_table[[#This Row],[Age]]&lt;=50,"(41-50)yrs",HR_table[[#This Row],[Age]]&lt;=60,"(51-60)yrs")</f>
        <v>(21-30)yrs</v>
      </c>
      <c r="C704" t="s">
        <v>43</v>
      </c>
      <c r="D704" t="s">
        <v>36</v>
      </c>
      <c r="E704" t="s">
        <v>37</v>
      </c>
      <c r="F704" t="s">
        <v>49</v>
      </c>
      <c r="G704" t="s">
        <v>40</v>
      </c>
      <c r="H704">
        <v>982</v>
      </c>
      <c r="I704" s="2">
        <v>8</v>
      </c>
      <c r="J704" s="2">
        <v>3</v>
      </c>
      <c r="K704" t="s">
        <v>46</v>
      </c>
      <c r="L704" s="2">
        <v>3</v>
      </c>
      <c r="M704" s="2">
        <v>3</v>
      </c>
      <c r="N704" t="s">
        <v>52</v>
      </c>
      <c r="O704" s="2">
        <v>7264</v>
      </c>
      <c r="P704" s="2">
        <v>9977</v>
      </c>
      <c r="Q704" s="2">
        <v>5</v>
      </c>
      <c r="R704" t="s">
        <v>43</v>
      </c>
      <c r="S704" s="2">
        <v>3</v>
      </c>
      <c r="T704" s="2">
        <v>1</v>
      </c>
      <c r="U704">
        <v>80</v>
      </c>
      <c r="V704" s="2">
        <v>10</v>
      </c>
      <c r="W704">
        <v>2</v>
      </c>
      <c r="X704">
        <v>4</v>
      </c>
      <c r="Y704">
        <v>8</v>
      </c>
      <c r="Z704">
        <v>4</v>
      </c>
      <c r="AA704">
        <v>7</v>
      </c>
      <c r="AB704">
        <v>7</v>
      </c>
    </row>
    <row r="705" spans="1:28" x14ac:dyDescent="0.35">
      <c r="A705" s="2">
        <v>38</v>
      </c>
      <c r="B705" s="2" t="str" cm="1">
        <f t="array" ref="B705">_xlfn.IFS(HR_table[[#This Row],[Age]]&lt;=20, "Under 20yrs",HR_table[[#This Row],[Age]]&lt;=30,"(21-30)yrs",HR_table[[#This Row],[Age]]&lt;=40,"(31-40)yrs",HR_table[[#This Row],[Age]]&lt;=50,"(41-50)yrs",HR_table[[#This Row],[Age]]&lt;=60,"(51-60)yrs")</f>
        <v>(31-40)yrs</v>
      </c>
      <c r="C705" t="s">
        <v>43</v>
      </c>
      <c r="D705" t="s">
        <v>55</v>
      </c>
      <c r="E705" t="s">
        <v>37</v>
      </c>
      <c r="F705" t="s">
        <v>60</v>
      </c>
      <c r="G705" t="s">
        <v>40</v>
      </c>
      <c r="H705">
        <v>983</v>
      </c>
      <c r="I705" s="2">
        <v>10</v>
      </c>
      <c r="J705" s="2">
        <v>3</v>
      </c>
      <c r="K705" t="s">
        <v>39</v>
      </c>
      <c r="L705" s="2">
        <v>2</v>
      </c>
      <c r="M705" s="2">
        <v>4</v>
      </c>
      <c r="N705" t="s">
        <v>41</v>
      </c>
      <c r="O705" s="2">
        <v>5666</v>
      </c>
      <c r="P705" s="2">
        <v>19899</v>
      </c>
      <c r="Q705" s="2">
        <v>1</v>
      </c>
      <c r="R705" t="s">
        <v>35</v>
      </c>
      <c r="S705" s="2">
        <v>3</v>
      </c>
      <c r="T705" s="2">
        <v>2</v>
      </c>
      <c r="U705">
        <v>80</v>
      </c>
      <c r="V705" s="2">
        <v>6</v>
      </c>
      <c r="W705">
        <v>1</v>
      </c>
      <c r="X705">
        <v>3</v>
      </c>
      <c r="Y705">
        <v>5</v>
      </c>
      <c r="Z705">
        <v>3</v>
      </c>
      <c r="AA705">
        <v>1</v>
      </c>
      <c r="AB705">
        <v>3</v>
      </c>
    </row>
    <row r="706" spans="1:28" x14ac:dyDescent="0.35">
      <c r="A706" s="2">
        <v>35</v>
      </c>
      <c r="B706" s="2" t="str" cm="1">
        <f t="array" ref="B706">_xlfn.IFS(HR_table[[#This Row],[Age]]&lt;=20, "Under 20yrs",HR_table[[#This Row],[Age]]&lt;=30,"(21-30)yrs",HR_table[[#This Row],[Age]]&lt;=40,"(31-40)yrs",HR_table[[#This Row],[Age]]&lt;=50,"(41-50)yrs",HR_table[[#This Row],[Age]]&lt;=60,"(51-60)yrs")</f>
        <v>(31-40)yrs</v>
      </c>
      <c r="C706" t="s">
        <v>43</v>
      </c>
      <c r="D706" t="s">
        <v>36</v>
      </c>
      <c r="E706" t="s">
        <v>37</v>
      </c>
      <c r="F706" t="s">
        <v>38</v>
      </c>
      <c r="G706" t="s">
        <v>40</v>
      </c>
      <c r="H706">
        <v>984</v>
      </c>
      <c r="I706" s="2">
        <v>3</v>
      </c>
      <c r="J706" s="2">
        <v>4</v>
      </c>
      <c r="K706" t="s">
        <v>46</v>
      </c>
      <c r="L706" s="2">
        <v>3</v>
      </c>
      <c r="M706" s="2">
        <v>4</v>
      </c>
      <c r="N706" t="s">
        <v>52</v>
      </c>
      <c r="O706" s="2">
        <v>7823</v>
      </c>
      <c r="P706" s="2">
        <v>6812</v>
      </c>
      <c r="Q706" s="2">
        <v>6</v>
      </c>
      <c r="R706" t="s">
        <v>43</v>
      </c>
      <c r="S706" s="2">
        <v>3</v>
      </c>
      <c r="T706" s="2">
        <v>2</v>
      </c>
      <c r="U706">
        <v>80</v>
      </c>
      <c r="V706" s="2">
        <v>12</v>
      </c>
      <c r="W706">
        <v>2</v>
      </c>
      <c r="X706">
        <v>3</v>
      </c>
      <c r="Y706">
        <v>10</v>
      </c>
      <c r="Z706">
        <v>9</v>
      </c>
      <c r="AA706">
        <v>0</v>
      </c>
      <c r="AB706">
        <v>8</v>
      </c>
    </row>
    <row r="707" spans="1:28" x14ac:dyDescent="0.35">
      <c r="A707" s="2">
        <v>39</v>
      </c>
      <c r="B707" s="2" t="str" cm="1">
        <f t="array" ref="B707">_xlfn.IFS(HR_table[[#This Row],[Age]]&lt;=20, "Under 20yrs",HR_table[[#This Row],[Age]]&lt;=30,"(21-30)yrs",HR_table[[#This Row],[Age]]&lt;=40,"(31-40)yrs",HR_table[[#This Row],[Age]]&lt;=50,"(41-50)yrs",HR_table[[#This Row],[Age]]&lt;=60,"(51-60)yrs")</f>
        <v>(31-40)yrs</v>
      </c>
      <c r="C707" t="s">
        <v>43</v>
      </c>
      <c r="D707" t="s">
        <v>36</v>
      </c>
      <c r="E707" t="s">
        <v>37</v>
      </c>
      <c r="F707" t="s">
        <v>38</v>
      </c>
      <c r="G707" t="s">
        <v>40</v>
      </c>
      <c r="H707">
        <v>985</v>
      </c>
      <c r="I707" s="2">
        <v>2</v>
      </c>
      <c r="J707" s="2">
        <v>1</v>
      </c>
      <c r="K707" t="s">
        <v>46</v>
      </c>
      <c r="L707" s="2">
        <v>3</v>
      </c>
      <c r="M707" s="2">
        <v>3</v>
      </c>
      <c r="N707" t="s">
        <v>41</v>
      </c>
      <c r="O707" s="2">
        <v>7880</v>
      </c>
      <c r="P707" s="2">
        <v>2560</v>
      </c>
      <c r="Q707" s="2">
        <v>0</v>
      </c>
      <c r="R707" t="s">
        <v>43</v>
      </c>
      <c r="S707" s="2">
        <v>3</v>
      </c>
      <c r="T707" s="2">
        <v>4</v>
      </c>
      <c r="U707">
        <v>80</v>
      </c>
      <c r="V707" s="2">
        <v>9</v>
      </c>
      <c r="W707">
        <v>3</v>
      </c>
      <c r="X707">
        <v>3</v>
      </c>
      <c r="Y707">
        <v>8</v>
      </c>
      <c r="Z707">
        <v>7</v>
      </c>
      <c r="AA707">
        <v>0</v>
      </c>
      <c r="AB707">
        <v>7</v>
      </c>
    </row>
    <row r="708" spans="1:28" x14ac:dyDescent="0.35">
      <c r="A708" s="2">
        <v>40</v>
      </c>
      <c r="B708" s="2" t="str" cm="1">
        <f t="array" ref="B708">_xlfn.IFS(HR_table[[#This Row],[Age]]&lt;=20, "Under 20yrs",HR_table[[#This Row],[Age]]&lt;=30,"(21-30)yrs",HR_table[[#This Row],[Age]]&lt;=40,"(31-40)yrs",HR_table[[#This Row],[Age]]&lt;=50,"(41-50)yrs",HR_table[[#This Row],[Age]]&lt;=60,"(51-60)yrs")</f>
        <v>(31-40)yrs</v>
      </c>
      <c r="C708" t="s">
        <v>35</v>
      </c>
      <c r="D708" t="s">
        <v>55</v>
      </c>
      <c r="E708" t="s">
        <v>37</v>
      </c>
      <c r="F708" t="s">
        <v>38</v>
      </c>
      <c r="G708" t="s">
        <v>40</v>
      </c>
      <c r="H708">
        <v>986</v>
      </c>
      <c r="I708" s="2">
        <v>24</v>
      </c>
      <c r="J708" s="2">
        <v>2</v>
      </c>
      <c r="K708" t="s">
        <v>39</v>
      </c>
      <c r="L708" s="2">
        <v>4</v>
      </c>
      <c r="M708" s="2">
        <v>2</v>
      </c>
      <c r="N708" t="s">
        <v>41</v>
      </c>
      <c r="O708" s="2">
        <v>13194</v>
      </c>
      <c r="P708" s="2">
        <v>17071</v>
      </c>
      <c r="Q708" s="2">
        <v>4</v>
      </c>
      <c r="R708" t="s">
        <v>35</v>
      </c>
      <c r="S708" s="2">
        <v>3</v>
      </c>
      <c r="T708" s="2">
        <v>4</v>
      </c>
      <c r="U708">
        <v>80</v>
      </c>
      <c r="V708" s="2">
        <v>22</v>
      </c>
      <c r="W708">
        <v>2</v>
      </c>
      <c r="X708">
        <v>2</v>
      </c>
      <c r="Y708">
        <v>1</v>
      </c>
      <c r="Z708">
        <v>0</v>
      </c>
      <c r="AA708">
        <v>0</v>
      </c>
      <c r="AB708">
        <v>0</v>
      </c>
    </row>
    <row r="709" spans="1:28" x14ac:dyDescent="0.35">
      <c r="A709" s="2">
        <v>47</v>
      </c>
      <c r="B709" s="2" t="str" cm="1">
        <f t="array" ref="B709">_xlfn.IFS(HR_table[[#This Row],[Age]]&lt;=20, "Under 20yrs",HR_table[[#This Row],[Age]]&lt;=30,"(21-30)yrs",HR_table[[#This Row],[Age]]&lt;=40,"(31-40)yrs",HR_table[[#This Row],[Age]]&lt;=50,"(41-50)yrs",HR_table[[#This Row],[Age]]&lt;=60,"(51-60)yrs")</f>
        <v>(41-50)yrs</v>
      </c>
      <c r="C709" t="s">
        <v>43</v>
      </c>
      <c r="D709" t="s">
        <v>44</v>
      </c>
      <c r="E709" t="s">
        <v>45</v>
      </c>
      <c r="F709" t="s">
        <v>51</v>
      </c>
      <c r="G709" t="s">
        <v>53</v>
      </c>
      <c r="H709">
        <v>987</v>
      </c>
      <c r="I709" s="2">
        <v>16</v>
      </c>
      <c r="J709" s="2">
        <v>3</v>
      </c>
      <c r="K709" t="s">
        <v>46</v>
      </c>
      <c r="L709" s="2">
        <v>2</v>
      </c>
      <c r="M709" s="2">
        <v>3</v>
      </c>
      <c r="N709" t="s">
        <v>52</v>
      </c>
      <c r="O709" s="2">
        <v>5067</v>
      </c>
      <c r="P709" s="2">
        <v>6759</v>
      </c>
      <c r="Q709" s="2">
        <v>1</v>
      </c>
      <c r="R709" t="s">
        <v>35</v>
      </c>
      <c r="S709" s="2">
        <v>3</v>
      </c>
      <c r="T709" s="2">
        <v>3</v>
      </c>
      <c r="U709">
        <v>80</v>
      </c>
      <c r="V709" s="2">
        <v>20</v>
      </c>
      <c r="W709">
        <v>3</v>
      </c>
      <c r="X709">
        <v>4</v>
      </c>
      <c r="Y709">
        <v>19</v>
      </c>
      <c r="Z709">
        <v>10</v>
      </c>
      <c r="AA709">
        <v>2</v>
      </c>
      <c r="AB709">
        <v>7</v>
      </c>
    </row>
    <row r="710" spans="1:28" x14ac:dyDescent="0.35">
      <c r="A710" s="2">
        <v>36</v>
      </c>
      <c r="B710" s="2" t="str" cm="1">
        <f t="array" ref="B710">_xlfn.IFS(HR_table[[#This Row],[Age]]&lt;=20, "Under 20yrs",HR_table[[#This Row],[Age]]&lt;=30,"(21-30)yrs",HR_table[[#This Row],[Age]]&lt;=40,"(31-40)yrs",HR_table[[#This Row],[Age]]&lt;=50,"(41-50)yrs",HR_table[[#This Row],[Age]]&lt;=60,"(51-60)yrs")</f>
        <v>(31-40)yrs</v>
      </c>
      <c r="C710" t="s">
        <v>43</v>
      </c>
      <c r="D710" t="s">
        <v>55</v>
      </c>
      <c r="E710" t="s">
        <v>37</v>
      </c>
      <c r="F710" t="s">
        <v>60</v>
      </c>
      <c r="G710" t="s">
        <v>40</v>
      </c>
      <c r="H710">
        <v>990</v>
      </c>
      <c r="I710" s="2">
        <v>8</v>
      </c>
      <c r="J710" s="2">
        <v>1</v>
      </c>
      <c r="K710" t="s">
        <v>46</v>
      </c>
      <c r="L710" s="2">
        <v>2</v>
      </c>
      <c r="M710" s="2">
        <v>4</v>
      </c>
      <c r="N710" t="s">
        <v>52</v>
      </c>
      <c r="O710" s="2">
        <v>5079</v>
      </c>
      <c r="P710" s="2">
        <v>25952</v>
      </c>
      <c r="Q710" s="2">
        <v>4</v>
      </c>
      <c r="R710" t="s">
        <v>43</v>
      </c>
      <c r="S710" s="2">
        <v>3</v>
      </c>
      <c r="T710" s="2">
        <v>4</v>
      </c>
      <c r="U710">
        <v>80</v>
      </c>
      <c r="V710" s="2">
        <v>12</v>
      </c>
      <c r="W710">
        <v>3</v>
      </c>
      <c r="X710">
        <v>3</v>
      </c>
      <c r="Y710">
        <v>7</v>
      </c>
      <c r="Z710">
        <v>7</v>
      </c>
      <c r="AA710">
        <v>0</v>
      </c>
      <c r="AB710">
        <v>7</v>
      </c>
    </row>
    <row r="711" spans="1:28" x14ac:dyDescent="0.35">
      <c r="A711" s="2">
        <v>31</v>
      </c>
      <c r="B711" s="2" t="str" cm="1">
        <f t="array" ref="B711">_xlfn.IFS(HR_table[[#This Row],[Age]]&lt;=20, "Under 20yrs",HR_table[[#This Row],[Age]]&lt;=30,"(21-30)yrs",HR_table[[#This Row],[Age]]&lt;=40,"(31-40)yrs",HR_table[[#This Row],[Age]]&lt;=50,"(41-50)yrs",HR_table[[#This Row],[Age]]&lt;=60,"(51-60)yrs")</f>
        <v>(31-40)yrs</v>
      </c>
      <c r="C711" t="s">
        <v>35</v>
      </c>
      <c r="D711" t="s">
        <v>55</v>
      </c>
      <c r="E711" t="s">
        <v>45</v>
      </c>
      <c r="F711" t="s">
        <v>51</v>
      </c>
      <c r="G711" t="s">
        <v>47</v>
      </c>
      <c r="H711">
        <v>991</v>
      </c>
      <c r="I711" s="2">
        <v>9</v>
      </c>
      <c r="J711" s="2">
        <v>3</v>
      </c>
      <c r="K711" t="s">
        <v>46</v>
      </c>
      <c r="L711" s="2">
        <v>1</v>
      </c>
      <c r="M711" s="2">
        <v>1</v>
      </c>
      <c r="N711" t="s">
        <v>41</v>
      </c>
      <c r="O711" s="2">
        <v>2321</v>
      </c>
      <c r="P711" s="2">
        <v>10322</v>
      </c>
      <c r="Q711" s="2">
        <v>0</v>
      </c>
      <c r="R711" t="s">
        <v>35</v>
      </c>
      <c r="S711" s="2">
        <v>4</v>
      </c>
      <c r="T711" s="2">
        <v>1</v>
      </c>
      <c r="U711">
        <v>80</v>
      </c>
      <c r="V711" s="2">
        <v>4</v>
      </c>
      <c r="W711">
        <v>0</v>
      </c>
      <c r="X711">
        <v>3</v>
      </c>
      <c r="Y711">
        <v>3</v>
      </c>
      <c r="Z711">
        <v>2</v>
      </c>
      <c r="AA711">
        <v>1</v>
      </c>
      <c r="AB711">
        <v>2</v>
      </c>
    </row>
    <row r="712" spans="1:28" x14ac:dyDescent="0.35">
      <c r="A712" s="2">
        <v>33</v>
      </c>
      <c r="B712" s="2" t="str" cm="1">
        <f t="array" ref="B712">_xlfn.IFS(HR_table[[#This Row],[Age]]&lt;=20, "Under 20yrs",HR_table[[#This Row],[Age]]&lt;=30,"(21-30)yrs",HR_table[[#This Row],[Age]]&lt;=40,"(31-40)yrs",HR_table[[#This Row],[Age]]&lt;=50,"(41-50)yrs",HR_table[[#This Row],[Age]]&lt;=60,"(51-60)yrs")</f>
        <v>(31-40)yrs</v>
      </c>
      <c r="C712" t="s">
        <v>43</v>
      </c>
      <c r="D712" t="s">
        <v>55</v>
      </c>
      <c r="E712" t="s">
        <v>37</v>
      </c>
      <c r="F712" t="s">
        <v>38</v>
      </c>
      <c r="G712" t="s">
        <v>56</v>
      </c>
      <c r="H712">
        <v>992</v>
      </c>
      <c r="I712" s="2">
        <v>17</v>
      </c>
      <c r="J712" s="2">
        <v>4</v>
      </c>
      <c r="K712" t="s">
        <v>46</v>
      </c>
      <c r="L712" s="2">
        <v>4</v>
      </c>
      <c r="M712" s="2">
        <v>3</v>
      </c>
      <c r="N712" t="s">
        <v>41</v>
      </c>
      <c r="O712" s="2">
        <v>17444</v>
      </c>
      <c r="P712" s="2">
        <v>20489</v>
      </c>
      <c r="Q712" s="2">
        <v>1</v>
      </c>
      <c r="R712" t="s">
        <v>43</v>
      </c>
      <c r="S712" s="2">
        <v>3</v>
      </c>
      <c r="T712" s="2">
        <v>4</v>
      </c>
      <c r="U712">
        <v>80</v>
      </c>
      <c r="V712" s="2">
        <v>10</v>
      </c>
      <c r="W712">
        <v>2</v>
      </c>
      <c r="X712">
        <v>3</v>
      </c>
      <c r="Y712">
        <v>10</v>
      </c>
      <c r="Z712">
        <v>8</v>
      </c>
      <c r="AA712">
        <v>6</v>
      </c>
      <c r="AB712">
        <v>0</v>
      </c>
    </row>
    <row r="713" spans="1:28" x14ac:dyDescent="0.35">
      <c r="A713" s="2">
        <v>29</v>
      </c>
      <c r="B713" s="2" t="str" cm="1">
        <f t="array" ref="B713">_xlfn.IFS(HR_table[[#This Row],[Age]]&lt;=20, "Under 20yrs",HR_table[[#This Row],[Age]]&lt;=30,"(21-30)yrs",HR_table[[#This Row],[Age]]&lt;=40,"(31-40)yrs",HR_table[[#This Row],[Age]]&lt;=50,"(41-50)yrs",HR_table[[#This Row],[Age]]&lt;=60,"(51-60)yrs")</f>
        <v>(21-30)yrs</v>
      </c>
      <c r="C713" t="s">
        <v>35</v>
      </c>
      <c r="D713" t="s">
        <v>36</v>
      </c>
      <c r="E713" t="s">
        <v>45</v>
      </c>
      <c r="F713" t="s">
        <v>38</v>
      </c>
      <c r="G713" t="s">
        <v>47</v>
      </c>
      <c r="H713">
        <v>994</v>
      </c>
      <c r="I713" s="2">
        <v>10</v>
      </c>
      <c r="J713" s="2">
        <v>4</v>
      </c>
      <c r="K713" t="s">
        <v>39</v>
      </c>
      <c r="L713" s="2">
        <v>1</v>
      </c>
      <c r="M713" s="2">
        <v>1</v>
      </c>
      <c r="N713" t="s">
        <v>41</v>
      </c>
      <c r="O713" s="2">
        <v>2404</v>
      </c>
      <c r="P713" s="2">
        <v>11479</v>
      </c>
      <c r="Q713" s="2">
        <v>6</v>
      </c>
      <c r="R713" t="s">
        <v>35</v>
      </c>
      <c r="S713" s="2">
        <v>4</v>
      </c>
      <c r="T713" s="2">
        <v>3</v>
      </c>
      <c r="U713">
        <v>80</v>
      </c>
      <c r="V713" s="2">
        <v>3</v>
      </c>
      <c r="W713">
        <v>5</v>
      </c>
      <c r="X713">
        <v>3</v>
      </c>
      <c r="Y713">
        <v>0</v>
      </c>
      <c r="Z713">
        <v>0</v>
      </c>
      <c r="AA713">
        <v>0</v>
      </c>
      <c r="AB713">
        <v>0</v>
      </c>
    </row>
    <row r="714" spans="1:28" x14ac:dyDescent="0.35">
      <c r="A714" s="2">
        <v>33</v>
      </c>
      <c r="B714" s="2" t="str" cm="1">
        <f t="array" ref="B714">_xlfn.IFS(HR_table[[#This Row],[Age]]&lt;=20, "Under 20yrs",HR_table[[#This Row],[Age]]&lt;=30,"(21-30)yrs",HR_table[[#This Row],[Age]]&lt;=40,"(31-40)yrs",HR_table[[#This Row],[Age]]&lt;=50,"(41-50)yrs",HR_table[[#This Row],[Age]]&lt;=60,"(51-60)yrs")</f>
        <v>(31-40)yrs</v>
      </c>
      <c r="C714" t="s">
        <v>43</v>
      </c>
      <c r="D714" t="s">
        <v>36</v>
      </c>
      <c r="E714" t="s">
        <v>45</v>
      </c>
      <c r="F714" t="s">
        <v>38</v>
      </c>
      <c r="G714" t="s">
        <v>47</v>
      </c>
      <c r="H714">
        <v>995</v>
      </c>
      <c r="I714" s="2">
        <v>13</v>
      </c>
      <c r="J714" s="2">
        <v>2</v>
      </c>
      <c r="K714" t="s">
        <v>39</v>
      </c>
      <c r="L714" s="2">
        <v>1</v>
      </c>
      <c r="M714" s="2">
        <v>4</v>
      </c>
      <c r="N714" t="s">
        <v>41</v>
      </c>
      <c r="O714" s="2">
        <v>3452</v>
      </c>
      <c r="P714" s="2">
        <v>17241</v>
      </c>
      <c r="Q714" s="2">
        <v>3</v>
      </c>
      <c r="R714" t="s">
        <v>43</v>
      </c>
      <c r="S714" s="2">
        <v>3</v>
      </c>
      <c r="T714" s="2">
        <v>1</v>
      </c>
      <c r="U714">
        <v>80</v>
      </c>
      <c r="V714" s="2">
        <v>5</v>
      </c>
      <c r="W714">
        <v>4</v>
      </c>
      <c r="X714">
        <v>3</v>
      </c>
      <c r="Y714">
        <v>3</v>
      </c>
      <c r="Z714">
        <v>2</v>
      </c>
      <c r="AA714">
        <v>0</v>
      </c>
      <c r="AB714">
        <v>2</v>
      </c>
    </row>
    <row r="715" spans="1:28" x14ac:dyDescent="0.35">
      <c r="A715" s="2">
        <v>45</v>
      </c>
      <c r="B715" s="2" t="str" cm="1">
        <f t="array" ref="B715">_xlfn.IFS(HR_table[[#This Row],[Age]]&lt;=20, "Under 20yrs",HR_table[[#This Row],[Age]]&lt;=30,"(21-30)yrs",HR_table[[#This Row],[Age]]&lt;=40,"(31-40)yrs",HR_table[[#This Row],[Age]]&lt;=50,"(41-50)yrs",HR_table[[#This Row],[Age]]&lt;=60,"(51-60)yrs")</f>
        <v>(41-50)yrs</v>
      </c>
      <c r="C715" t="s">
        <v>43</v>
      </c>
      <c r="D715" t="s">
        <v>36</v>
      </c>
      <c r="E715" t="s">
        <v>45</v>
      </c>
      <c r="F715" t="s">
        <v>51</v>
      </c>
      <c r="G715" t="s">
        <v>50</v>
      </c>
      <c r="H715">
        <v>996</v>
      </c>
      <c r="I715" s="2">
        <v>1</v>
      </c>
      <c r="J715" s="2">
        <v>4</v>
      </c>
      <c r="K715" t="s">
        <v>39</v>
      </c>
      <c r="L715" s="2">
        <v>1</v>
      </c>
      <c r="M715" s="2">
        <v>4</v>
      </c>
      <c r="N715" t="s">
        <v>52</v>
      </c>
      <c r="O715" s="2">
        <v>2270</v>
      </c>
      <c r="P715" s="2">
        <v>11005</v>
      </c>
      <c r="Q715" s="2">
        <v>3</v>
      </c>
      <c r="R715" t="s">
        <v>43</v>
      </c>
      <c r="S715" s="2">
        <v>3</v>
      </c>
      <c r="T715" s="2">
        <v>4</v>
      </c>
      <c r="U715">
        <v>80</v>
      </c>
      <c r="V715" s="2">
        <v>8</v>
      </c>
      <c r="W715">
        <v>2</v>
      </c>
      <c r="X715">
        <v>3</v>
      </c>
      <c r="Y715">
        <v>5</v>
      </c>
      <c r="Z715">
        <v>3</v>
      </c>
      <c r="AA715">
        <v>0</v>
      </c>
      <c r="AB715">
        <v>2</v>
      </c>
    </row>
    <row r="716" spans="1:28" x14ac:dyDescent="0.35">
      <c r="A716" s="2">
        <v>50</v>
      </c>
      <c r="B716" s="2" t="str" cm="1">
        <f t="array" ref="B716">_xlfn.IFS(HR_table[[#This Row],[Age]]&lt;=20, "Under 20yrs",HR_table[[#This Row],[Age]]&lt;=30,"(21-30)yrs",HR_table[[#This Row],[Age]]&lt;=40,"(31-40)yrs",HR_table[[#This Row],[Age]]&lt;=50,"(41-50)yrs",HR_table[[#This Row],[Age]]&lt;=60,"(51-60)yrs")</f>
        <v>(41-50)yrs</v>
      </c>
      <c r="C716" t="s">
        <v>43</v>
      </c>
      <c r="D716" t="s">
        <v>36</v>
      </c>
      <c r="E716" t="s">
        <v>45</v>
      </c>
      <c r="F716" t="s">
        <v>51</v>
      </c>
      <c r="G716" t="s">
        <v>58</v>
      </c>
      <c r="H716">
        <v>997</v>
      </c>
      <c r="I716" s="2">
        <v>1</v>
      </c>
      <c r="J716" s="2">
        <v>4</v>
      </c>
      <c r="K716" t="s">
        <v>46</v>
      </c>
      <c r="L716" s="2">
        <v>4</v>
      </c>
      <c r="M716" s="2">
        <v>4</v>
      </c>
      <c r="N716" t="s">
        <v>52</v>
      </c>
      <c r="O716" s="2">
        <v>17399</v>
      </c>
      <c r="P716" s="2">
        <v>6615</v>
      </c>
      <c r="Q716" s="2">
        <v>9</v>
      </c>
      <c r="R716" t="s">
        <v>43</v>
      </c>
      <c r="S716" s="2">
        <v>4</v>
      </c>
      <c r="T716" s="2">
        <v>3</v>
      </c>
      <c r="U716">
        <v>80</v>
      </c>
      <c r="V716" s="2">
        <v>32</v>
      </c>
      <c r="W716">
        <v>1</v>
      </c>
      <c r="X716">
        <v>2</v>
      </c>
      <c r="Y716">
        <v>5</v>
      </c>
      <c r="Z716">
        <v>4</v>
      </c>
      <c r="AA716">
        <v>1</v>
      </c>
      <c r="AB716">
        <v>3</v>
      </c>
    </row>
    <row r="717" spans="1:28" x14ac:dyDescent="0.35">
      <c r="A717" s="2">
        <v>33</v>
      </c>
      <c r="B717" s="2" t="str" cm="1">
        <f t="array" ref="B717">_xlfn.IFS(HR_table[[#This Row],[Age]]&lt;=20, "Under 20yrs",HR_table[[#This Row],[Age]]&lt;=30,"(21-30)yrs",HR_table[[#This Row],[Age]]&lt;=40,"(31-40)yrs",HR_table[[#This Row],[Age]]&lt;=50,"(41-50)yrs",HR_table[[#This Row],[Age]]&lt;=60,"(51-60)yrs")</f>
        <v>(31-40)yrs</v>
      </c>
      <c r="C717" t="s">
        <v>43</v>
      </c>
      <c r="D717" t="s">
        <v>44</v>
      </c>
      <c r="E717" t="s">
        <v>45</v>
      </c>
      <c r="F717" t="s">
        <v>49</v>
      </c>
      <c r="G717" t="s">
        <v>54</v>
      </c>
      <c r="H717">
        <v>998</v>
      </c>
      <c r="I717" s="2">
        <v>1</v>
      </c>
      <c r="J717" s="2">
        <v>3</v>
      </c>
      <c r="K717" t="s">
        <v>39</v>
      </c>
      <c r="L717" s="2">
        <v>2</v>
      </c>
      <c r="M717" s="2">
        <v>2</v>
      </c>
      <c r="N717" t="s">
        <v>48</v>
      </c>
      <c r="O717" s="2">
        <v>5488</v>
      </c>
      <c r="P717" s="2">
        <v>20161</v>
      </c>
      <c r="Q717" s="2">
        <v>1</v>
      </c>
      <c r="R717" t="s">
        <v>35</v>
      </c>
      <c r="S717" s="2">
        <v>3</v>
      </c>
      <c r="T717" s="2">
        <v>1</v>
      </c>
      <c r="U717">
        <v>80</v>
      </c>
      <c r="V717" s="2">
        <v>6</v>
      </c>
      <c r="W717">
        <v>2</v>
      </c>
      <c r="X717">
        <v>3</v>
      </c>
      <c r="Y717">
        <v>6</v>
      </c>
      <c r="Z717">
        <v>5</v>
      </c>
      <c r="AA717">
        <v>1</v>
      </c>
      <c r="AB717">
        <v>2</v>
      </c>
    </row>
    <row r="718" spans="1:28" x14ac:dyDescent="0.35">
      <c r="A718" s="2">
        <v>41</v>
      </c>
      <c r="B718" s="2" t="str" cm="1">
        <f t="array" ref="B718">_xlfn.IFS(HR_table[[#This Row],[Age]]&lt;=20, "Under 20yrs",HR_table[[#This Row],[Age]]&lt;=30,"(21-30)yrs",HR_table[[#This Row],[Age]]&lt;=40,"(31-40)yrs",HR_table[[#This Row],[Age]]&lt;=50,"(41-50)yrs",HR_table[[#This Row],[Age]]&lt;=60,"(51-60)yrs")</f>
        <v>(41-50)yrs</v>
      </c>
      <c r="C718" t="s">
        <v>43</v>
      </c>
      <c r="D718" t="s">
        <v>44</v>
      </c>
      <c r="E718" t="s">
        <v>45</v>
      </c>
      <c r="F718" t="s">
        <v>51</v>
      </c>
      <c r="G718" t="s">
        <v>58</v>
      </c>
      <c r="H718">
        <v>999</v>
      </c>
      <c r="I718" s="2">
        <v>9</v>
      </c>
      <c r="J718" s="2">
        <v>1</v>
      </c>
      <c r="K718" t="s">
        <v>46</v>
      </c>
      <c r="L718" s="2">
        <v>5</v>
      </c>
      <c r="M718" s="2">
        <v>3</v>
      </c>
      <c r="N718" t="s">
        <v>52</v>
      </c>
      <c r="O718" s="2">
        <v>19419</v>
      </c>
      <c r="P718" s="2">
        <v>3735</v>
      </c>
      <c r="Q718" s="2">
        <v>2</v>
      </c>
      <c r="R718" t="s">
        <v>43</v>
      </c>
      <c r="S718" s="2">
        <v>3</v>
      </c>
      <c r="T718" s="2">
        <v>2</v>
      </c>
      <c r="U718">
        <v>80</v>
      </c>
      <c r="V718" s="2">
        <v>21</v>
      </c>
      <c r="W718">
        <v>2</v>
      </c>
      <c r="X718">
        <v>4</v>
      </c>
      <c r="Y718">
        <v>18</v>
      </c>
      <c r="Z718">
        <v>16</v>
      </c>
      <c r="AA718">
        <v>0</v>
      </c>
      <c r="AB718">
        <v>11</v>
      </c>
    </row>
    <row r="719" spans="1:28" x14ac:dyDescent="0.35">
      <c r="A719" s="2">
        <v>27</v>
      </c>
      <c r="B719" s="2" t="str" cm="1">
        <f t="array" ref="B719">_xlfn.IFS(HR_table[[#This Row],[Age]]&lt;=20, "Under 20yrs",HR_table[[#This Row],[Age]]&lt;=30,"(21-30)yrs",HR_table[[#This Row],[Age]]&lt;=40,"(31-40)yrs",HR_table[[#This Row],[Age]]&lt;=50,"(41-50)yrs",HR_table[[#This Row],[Age]]&lt;=60,"(51-60)yrs")</f>
        <v>(21-30)yrs</v>
      </c>
      <c r="C719" t="s">
        <v>43</v>
      </c>
      <c r="D719" t="s">
        <v>36</v>
      </c>
      <c r="E719" t="s">
        <v>45</v>
      </c>
      <c r="F719" t="s">
        <v>60</v>
      </c>
      <c r="G719" t="s">
        <v>50</v>
      </c>
      <c r="H719">
        <v>1001</v>
      </c>
      <c r="I719" s="2">
        <v>16</v>
      </c>
      <c r="J719" s="2">
        <v>3</v>
      </c>
      <c r="K719" t="s">
        <v>39</v>
      </c>
      <c r="L719" s="2">
        <v>1</v>
      </c>
      <c r="M719" s="2">
        <v>2</v>
      </c>
      <c r="N719" t="s">
        <v>48</v>
      </c>
      <c r="O719" s="2">
        <v>2811</v>
      </c>
      <c r="P719" s="2">
        <v>12086</v>
      </c>
      <c r="Q719" s="2">
        <v>9</v>
      </c>
      <c r="R719" t="s">
        <v>43</v>
      </c>
      <c r="S719" s="2">
        <v>3</v>
      </c>
      <c r="T719" s="2">
        <v>2</v>
      </c>
      <c r="U719">
        <v>80</v>
      </c>
      <c r="V719" s="2">
        <v>4</v>
      </c>
      <c r="W719">
        <v>2</v>
      </c>
      <c r="X719">
        <v>3</v>
      </c>
      <c r="Y719">
        <v>2</v>
      </c>
      <c r="Z719">
        <v>2</v>
      </c>
      <c r="AA719">
        <v>2</v>
      </c>
      <c r="AB719">
        <v>2</v>
      </c>
    </row>
    <row r="720" spans="1:28" x14ac:dyDescent="0.35">
      <c r="A720" s="2">
        <v>45</v>
      </c>
      <c r="B720" s="2" t="str" cm="1">
        <f t="array" ref="B720">_xlfn.IFS(HR_table[[#This Row],[Age]]&lt;=20, "Under 20yrs",HR_table[[#This Row],[Age]]&lt;=30,"(21-30)yrs",HR_table[[#This Row],[Age]]&lt;=40,"(31-40)yrs",HR_table[[#This Row],[Age]]&lt;=50,"(41-50)yrs",HR_table[[#This Row],[Age]]&lt;=60,"(51-60)yrs")</f>
        <v>(41-50)yrs</v>
      </c>
      <c r="C720" t="s">
        <v>43</v>
      </c>
      <c r="D720" t="s">
        <v>55</v>
      </c>
      <c r="E720" t="s">
        <v>45</v>
      </c>
      <c r="F720" t="s">
        <v>38</v>
      </c>
      <c r="G720" t="s">
        <v>50</v>
      </c>
      <c r="H720">
        <v>1002</v>
      </c>
      <c r="I720" s="2">
        <v>23</v>
      </c>
      <c r="J720" s="2">
        <v>4</v>
      </c>
      <c r="K720" t="s">
        <v>46</v>
      </c>
      <c r="L720" s="2">
        <v>2</v>
      </c>
      <c r="M720" s="2">
        <v>1</v>
      </c>
      <c r="N720" t="s">
        <v>48</v>
      </c>
      <c r="O720" s="2">
        <v>3633</v>
      </c>
      <c r="P720" s="2">
        <v>14039</v>
      </c>
      <c r="Q720" s="2">
        <v>1</v>
      </c>
      <c r="R720" t="s">
        <v>35</v>
      </c>
      <c r="S720" s="2">
        <v>3</v>
      </c>
      <c r="T720" s="2">
        <v>3</v>
      </c>
      <c r="U720">
        <v>80</v>
      </c>
      <c r="V720" s="2">
        <v>9</v>
      </c>
      <c r="W720">
        <v>2</v>
      </c>
      <c r="X720">
        <v>3</v>
      </c>
      <c r="Y720">
        <v>9</v>
      </c>
      <c r="Z720">
        <v>8</v>
      </c>
      <c r="AA720">
        <v>0</v>
      </c>
      <c r="AB720">
        <v>8</v>
      </c>
    </row>
    <row r="721" spans="1:28" x14ac:dyDescent="0.35">
      <c r="A721" s="2">
        <v>47</v>
      </c>
      <c r="B721" s="2" t="str" cm="1">
        <f t="array" ref="B721">_xlfn.IFS(HR_table[[#This Row],[Age]]&lt;=20, "Under 20yrs",HR_table[[#This Row],[Age]]&lt;=30,"(21-30)yrs",HR_table[[#This Row],[Age]]&lt;=40,"(31-40)yrs",HR_table[[#This Row],[Age]]&lt;=50,"(41-50)yrs",HR_table[[#This Row],[Age]]&lt;=60,"(51-60)yrs")</f>
        <v>(41-50)yrs</v>
      </c>
      <c r="C721" t="s">
        <v>43</v>
      </c>
      <c r="D721" t="s">
        <v>36</v>
      </c>
      <c r="E721" t="s">
        <v>37</v>
      </c>
      <c r="F721" t="s">
        <v>38</v>
      </c>
      <c r="G721" t="s">
        <v>40</v>
      </c>
      <c r="H721">
        <v>1003</v>
      </c>
      <c r="I721" s="2">
        <v>4</v>
      </c>
      <c r="J721" s="2">
        <v>4</v>
      </c>
      <c r="K721" t="s">
        <v>39</v>
      </c>
      <c r="L721" s="2">
        <v>2</v>
      </c>
      <c r="M721" s="2">
        <v>4</v>
      </c>
      <c r="N721" t="s">
        <v>41</v>
      </c>
      <c r="O721" s="2">
        <v>4163</v>
      </c>
      <c r="P721" s="2">
        <v>8571</v>
      </c>
      <c r="Q721" s="2">
        <v>1</v>
      </c>
      <c r="R721" t="s">
        <v>35</v>
      </c>
      <c r="S721" s="2">
        <v>3</v>
      </c>
      <c r="T721" s="2">
        <v>3</v>
      </c>
      <c r="U721">
        <v>80</v>
      </c>
      <c r="V721" s="2">
        <v>9</v>
      </c>
      <c r="W721">
        <v>0</v>
      </c>
      <c r="X721">
        <v>3</v>
      </c>
      <c r="Y721">
        <v>9</v>
      </c>
      <c r="Z721">
        <v>0</v>
      </c>
      <c r="AA721">
        <v>0</v>
      </c>
      <c r="AB721">
        <v>7</v>
      </c>
    </row>
    <row r="722" spans="1:28" x14ac:dyDescent="0.35">
      <c r="A722" s="2">
        <v>30</v>
      </c>
      <c r="B722" s="2" t="str" cm="1">
        <f t="array" ref="B722">_xlfn.IFS(HR_table[[#This Row],[Age]]&lt;=20, "Under 20yrs",HR_table[[#This Row],[Age]]&lt;=30,"(21-30)yrs",HR_table[[#This Row],[Age]]&lt;=40,"(31-40)yrs",HR_table[[#This Row],[Age]]&lt;=50,"(41-50)yrs",HR_table[[#This Row],[Age]]&lt;=60,"(51-60)yrs")</f>
        <v>(21-30)yrs</v>
      </c>
      <c r="C722" t="s">
        <v>35</v>
      </c>
      <c r="D722" t="s">
        <v>36</v>
      </c>
      <c r="E722" t="s">
        <v>45</v>
      </c>
      <c r="F722" t="s">
        <v>38</v>
      </c>
      <c r="G722" t="s">
        <v>47</v>
      </c>
      <c r="H722">
        <v>1004</v>
      </c>
      <c r="I722" s="2">
        <v>22</v>
      </c>
      <c r="J722" s="2">
        <v>1</v>
      </c>
      <c r="K722" t="s">
        <v>39</v>
      </c>
      <c r="L722" s="2">
        <v>1</v>
      </c>
      <c r="M722" s="2">
        <v>3</v>
      </c>
      <c r="N722" t="s">
        <v>48</v>
      </c>
      <c r="O722" s="2">
        <v>2132</v>
      </c>
      <c r="P722" s="2">
        <v>11539</v>
      </c>
      <c r="Q722" s="2">
        <v>4</v>
      </c>
      <c r="R722" t="s">
        <v>35</v>
      </c>
      <c r="S722" s="2">
        <v>3</v>
      </c>
      <c r="T722" s="2">
        <v>2</v>
      </c>
      <c r="U722">
        <v>80</v>
      </c>
      <c r="V722" s="2">
        <v>7</v>
      </c>
      <c r="W722">
        <v>2</v>
      </c>
      <c r="X722">
        <v>3</v>
      </c>
      <c r="Y722">
        <v>5</v>
      </c>
      <c r="Z722">
        <v>2</v>
      </c>
      <c r="AA722">
        <v>0</v>
      </c>
      <c r="AB722">
        <v>1</v>
      </c>
    </row>
    <row r="723" spans="1:28" x14ac:dyDescent="0.35">
      <c r="A723" s="2">
        <v>50</v>
      </c>
      <c r="B723" s="2" t="str" cm="1">
        <f t="array" ref="B723">_xlfn.IFS(HR_table[[#This Row],[Age]]&lt;=20, "Under 20yrs",HR_table[[#This Row],[Age]]&lt;=30,"(21-30)yrs",HR_table[[#This Row],[Age]]&lt;=40,"(31-40)yrs",HR_table[[#This Row],[Age]]&lt;=50,"(41-50)yrs",HR_table[[#This Row],[Age]]&lt;=60,"(51-60)yrs")</f>
        <v>(41-50)yrs</v>
      </c>
      <c r="C723" t="s">
        <v>43</v>
      </c>
      <c r="D723" t="s">
        <v>36</v>
      </c>
      <c r="E723" t="s">
        <v>45</v>
      </c>
      <c r="F723" t="s">
        <v>38</v>
      </c>
      <c r="G723" t="s">
        <v>53</v>
      </c>
      <c r="H723">
        <v>1005</v>
      </c>
      <c r="I723" s="2">
        <v>24</v>
      </c>
      <c r="J723" s="2">
        <v>4</v>
      </c>
      <c r="K723" t="s">
        <v>46</v>
      </c>
      <c r="L723" s="2">
        <v>4</v>
      </c>
      <c r="M723" s="2">
        <v>3</v>
      </c>
      <c r="N723" t="s">
        <v>48</v>
      </c>
      <c r="O723" s="2">
        <v>13973</v>
      </c>
      <c r="P723" s="2">
        <v>4161</v>
      </c>
      <c r="Q723" s="2">
        <v>3</v>
      </c>
      <c r="R723" t="s">
        <v>35</v>
      </c>
      <c r="S723" s="2">
        <v>3</v>
      </c>
      <c r="T723" s="2">
        <v>4</v>
      </c>
      <c r="U723">
        <v>80</v>
      </c>
      <c r="V723" s="2">
        <v>22</v>
      </c>
      <c r="W723">
        <v>2</v>
      </c>
      <c r="X723">
        <v>3</v>
      </c>
      <c r="Y723">
        <v>12</v>
      </c>
      <c r="Z723">
        <v>11</v>
      </c>
      <c r="AA723">
        <v>1</v>
      </c>
      <c r="AB723">
        <v>5</v>
      </c>
    </row>
    <row r="724" spans="1:28" x14ac:dyDescent="0.35">
      <c r="A724" s="2">
        <v>38</v>
      </c>
      <c r="B724" s="2" t="str" cm="1">
        <f t="array" ref="B724">_xlfn.IFS(HR_table[[#This Row],[Age]]&lt;=20, "Under 20yrs",HR_table[[#This Row],[Age]]&lt;=30,"(21-30)yrs",HR_table[[#This Row],[Age]]&lt;=40,"(31-40)yrs",HR_table[[#This Row],[Age]]&lt;=50,"(41-50)yrs",HR_table[[#This Row],[Age]]&lt;=60,"(51-60)yrs")</f>
        <v>(31-40)yrs</v>
      </c>
      <c r="C724" t="s">
        <v>43</v>
      </c>
      <c r="D724" t="s">
        <v>44</v>
      </c>
      <c r="E724" t="s">
        <v>45</v>
      </c>
      <c r="F724" t="s">
        <v>51</v>
      </c>
      <c r="G724" t="s">
        <v>47</v>
      </c>
      <c r="H724">
        <v>1006</v>
      </c>
      <c r="I724" s="2">
        <v>10</v>
      </c>
      <c r="J724" s="2">
        <v>3</v>
      </c>
      <c r="K724" t="s">
        <v>46</v>
      </c>
      <c r="L724" s="2">
        <v>1</v>
      </c>
      <c r="M724" s="2">
        <v>3</v>
      </c>
      <c r="N724" t="s">
        <v>48</v>
      </c>
      <c r="O724" s="2">
        <v>2684</v>
      </c>
      <c r="P724" s="2">
        <v>12127</v>
      </c>
      <c r="Q724" s="2">
        <v>0</v>
      </c>
      <c r="R724" t="s">
        <v>43</v>
      </c>
      <c r="S724" s="2">
        <v>3</v>
      </c>
      <c r="T724" s="2">
        <v>2</v>
      </c>
      <c r="U724">
        <v>80</v>
      </c>
      <c r="V724" s="2">
        <v>3</v>
      </c>
      <c r="W724">
        <v>0</v>
      </c>
      <c r="X724">
        <v>2</v>
      </c>
      <c r="Y724">
        <v>2</v>
      </c>
      <c r="Z724">
        <v>1</v>
      </c>
      <c r="AA724">
        <v>0</v>
      </c>
      <c r="AB724">
        <v>2</v>
      </c>
    </row>
    <row r="725" spans="1:28" x14ac:dyDescent="0.35">
      <c r="A725" s="2">
        <v>46</v>
      </c>
      <c r="B725" s="2" t="str" cm="1">
        <f t="array" ref="B725">_xlfn.IFS(HR_table[[#This Row],[Age]]&lt;=20, "Under 20yrs",HR_table[[#This Row],[Age]]&lt;=30,"(21-30)yrs",HR_table[[#This Row],[Age]]&lt;=40,"(31-40)yrs",HR_table[[#This Row],[Age]]&lt;=50,"(41-50)yrs",HR_table[[#This Row],[Age]]&lt;=60,"(51-60)yrs")</f>
        <v>(41-50)yrs</v>
      </c>
      <c r="C725" t="s">
        <v>43</v>
      </c>
      <c r="D725" t="s">
        <v>36</v>
      </c>
      <c r="E725" t="s">
        <v>45</v>
      </c>
      <c r="F725" t="s">
        <v>51</v>
      </c>
      <c r="G725" t="s">
        <v>53</v>
      </c>
      <c r="H725">
        <v>1007</v>
      </c>
      <c r="I725" s="2">
        <v>7</v>
      </c>
      <c r="J725" s="2">
        <v>4</v>
      </c>
      <c r="K725" t="s">
        <v>46</v>
      </c>
      <c r="L725" s="2">
        <v>3</v>
      </c>
      <c r="M725" s="2">
        <v>3</v>
      </c>
      <c r="N725" t="s">
        <v>52</v>
      </c>
      <c r="O725" s="2">
        <v>10845</v>
      </c>
      <c r="P725" s="2">
        <v>24208</v>
      </c>
      <c r="Q725" s="2">
        <v>6</v>
      </c>
      <c r="R725" t="s">
        <v>43</v>
      </c>
      <c r="S725" s="2">
        <v>3</v>
      </c>
      <c r="T725" s="2">
        <v>2</v>
      </c>
      <c r="U725">
        <v>80</v>
      </c>
      <c r="V725" s="2">
        <v>13</v>
      </c>
      <c r="W725">
        <v>3</v>
      </c>
      <c r="X725">
        <v>3</v>
      </c>
      <c r="Y725">
        <v>8</v>
      </c>
      <c r="Z725">
        <v>7</v>
      </c>
      <c r="AA725">
        <v>0</v>
      </c>
      <c r="AB725">
        <v>7</v>
      </c>
    </row>
    <row r="726" spans="1:28" x14ac:dyDescent="0.35">
      <c r="A726" s="2">
        <v>24</v>
      </c>
      <c r="B726" s="2" t="str" cm="1">
        <f t="array" ref="B726">_xlfn.IFS(HR_table[[#This Row],[Age]]&lt;=20, "Under 20yrs",HR_table[[#This Row],[Age]]&lt;=30,"(21-30)yrs",HR_table[[#This Row],[Age]]&lt;=40,"(31-40)yrs",HR_table[[#This Row],[Age]]&lt;=50,"(41-50)yrs",HR_table[[#This Row],[Age]]&lt;=60,"(51-60)yrs")</f>
        <v>(21-30)yrs</v>
      </c>
      <c r="C726" t="s">
        <v>43</v>
      </c>
      <c r="D726" t="s">
        <v>36</v>
      </c>
      <c r="E726" t="s">
        <v>45</v>
      </c>
      <c r="F726" t="s">
        <v>51</v>
      </c>
      <c r="G726" t="s">
        <v>53</v>
      </c>
      <c r="H726">
        <v>1009</v>
      </c>
      <c r="I726" s="2">
        <v>17</v>
      </c>
      <c r="J726" s="2">
        <v>4</v>
      </c>
      <c r="K726" t="s">
        <v>39</v>
      </c>
      <c r="L726" s="2">
        <v>2</v>
      </c>
      <c r="M726" s="2">
        <v>3</v>
      </c>
      <c r="N726" t="s">
        <v>52</v>
      </c>
      <c r="O726" s="2">
        <v>4377</v>
      </c>
      <c r="P726" s="2">
        <v>24117</v>
      </c>
      <c r="Q726" s="2">
        <v>1</v>
      </c>
      <c r="R726" t="s">
        <v>43</v>
      </c>
      <c r="S726" s="2">
        <v>3</v>
      </c>
      <c r="T726" s="2">
        <v>2</v>
      </c>
      <c r="U726">
        <v>80</v>
      </c>
      <c r="V726" s="2">
        <v>5</v>
      </c>
      <c r="W726">
        <v>6</v>
      </c>
      <c r="X726">
        <v>3</v>
      </c>
      <c r="Y726">
        <v>4</v>
      </c>
      <c r="Z726">
        <v>2</v>
      </c>
      <c r="AA726">
        <v>3</v>
      </c>
      <c r="AB726">
        <v>2</v>
      </c>
    </row>
    <row r="727" spans="1:28" x14ac:dyDescent="0.35">
      <c r="A727" s="2">
        <v>35</v>
      </c>
      <c r="B727" s="2" t="str" cm="1">
        <f t="array" ref="B727">_xlfn.IFS(HR_table[[#This Row],[Age]]&lt;=20, "Under 20yrs",HR_table[[#This Row],[Age]]&lt;=30,"(21-30)yrs",HR_table[[#This Row],[Age]]&lt;=40,"(31-40)yrs",HR_table[[#This Row],[Age]]&lt;=50,"(41-50)yrs",HR_table[[#This Row],[Age]]&lt;=60,"(51-60)yrs")</f>
        <v>(31-40)yrs</v>
      </c>
      <c r="C727" t="s">
        <v>35</v>
      </c>
      <c r="D727" t="s">
        <v>36</v>
      </c>
      <c r="E727" t="s">
        <v>45</v>
      </c>
      <c r="F727" t="s">
        <v>49</v>
      </c>
      <c r="G727" t="s">
        <v>50</v>
      </c>
      <c r="H727">
        <v>1010</v>
      </c>
      <c r="I727" s="2">
        <v>14</v>
      </c>
      <c r="J727" s="2">
        <v>3</v>
      </c>
      <c r="K727" t="s">
        <v>46</v>
      </c>
      <c r="L727" s="2">
        <v>1</v>
      </c>
      <c r="M727" s="2">
        <v>2</v>
      </c>
      <c r="N727" t="s">
        <v>52</v>
      </c>
      <c r="O727" s="2">
        <v>3743</v>
      </c>
      <c r="P727" s="2">
        <v>10074</v>
      </c>
      <c r="Q727" s="2">
        <v>1</v>
      </c>
      <c r="R727" t="s">
        <v>35</v>
      </c>
      <c r="S727" s="2">
        <v>4</v>
      </c>
      <c r="T727" s="2">
        <v>4</v>
      </c>
      <c r="U727">
        <v>80</v>
      </c>
      <c r="V727" s="2">
        <v>5</v>
      </c>
      <c r="W727">
        <v>2</v>
      </c>
      <c r="X727">
        <v>1</v>
      </c>
      <c r="Y727">
        <v>4</v>
      </c>
      <c r="Z727">
        <v>2</v>
      </c>
      <c r="AA727">
        <v>0</v>
      </c>
      <c r="AB727">
        <v>2</v>
      </c>
    </row>
    <row r="728" spans="1:28" x14ac:dyDescent="0.35">
      <c r="A728" s="2">
        <v>31</v>
      </c>
      <c r="B728" s="2" t="str" cm="1">
        <f t="array" ref="B728">_xlfn.IFS(HR_table[[#This Row],[Age]]&lt;=20, "Under 20yrs",HR_table[[#This Row],[Age]]&lt;=30,"(21-30)yrs",HR_table[[#This Row],[Age]]&lt;=40,"(31-40)yrs",HR_table[[#This Row],[Age]]&lt;=50,"(41-50)yrs",HR_table[[#This Row],[Age]]&lt;=60,"(51-60)yrs")</f>
        <v>(31-40)yrs</v>
      </c>
      <c r="C728" t="s">
        <v>43</v>
      </c>
      <c r="D728" t="s">
        <v>44</v>
      </c>
      <c r="E728" t="s">
        <v>45</v>
      </c>
      <c r="F728" t="s">
        <v>38</v>
      </c>
      <c r="G728" t="s">
        <v>53</v>
      </c>
      <c r="H728">
        <v>1011</v>
      </c>
      <c r="I728" s="2">
        <v>1</v>
      </c>
      <c r="J728" s="2">
        <v>3</v>
      </c>
      <c r="K728" t="s">
        <v>39</v>
      </c>
      <c r="L728" s="2">
        <v>2</v>
      </c>
      <c r="M728" s="2">
        <v>1</v>
      </c>
      <c r="N728" t="s">
        <v>48</v>
      </c>
      <c r="O728" s="2">
        <v>4148</v>
      </c>
      <c r="P728" s="2">
        <v>11275</v>
      </c>
      <c r="Q728" s="2">
        <v>1</v>
      </c>
      <c r="R728" t="s">
        <v>43</v>
      </c>
      <c r="S728" s="2">
        <v>3</v>
      </c>
      <c r="T728" s="2">
        <v>3</v>
      </c>
      <c r="U728">
        <v>80</v>
      </c>
      <c r="V728" s="2">
        <v>4</v>
      </c>
      <c r="W728">
        <v>1</v>
      </c>
      <c r="X728">
        <v>3</v>
      </c>
      <c r="Y728">
        <v>4</v>
      </c>
      <c r="Z728">
        <v>3</v>
      </c>
      <c r="AA728">
        <v>0</v>
      </c>
      <c r="AB728">
        <v>3</v>
      </c>
    </row>
    <row r="729" spans="1:28" x14ac:dyDescent="0.35">
      <c r="A729" s="2">
        <v>18</v>
      </c>
      <c r="B729" s="2" t="str" cm="1">
        <f t="array" ref="B729">_xlfn.IFS(HR_table[[#This Row],[Age]]&lt;=20, "Under 20yrs",HR_table[[#This Row],[Age]]&lt;=30,"(21-30)yrs",HR_table[[#This Row],[Age]]&lt;=40,"(31-40)yrs",HR_table[[#This Row],[Age]]&lt;=50,"(41-50)yrs",HR_table[[#This Row],[Age]]&lt;=60,"(51-60)yrs")</f>
        <v>Under 20yrs</v>
      </c>
      <c r="C729" t="s">
        <v>43</v>
      </c>
      <c r="D729" t="s">
        <v>55</v>
      </c>
      <c r="E729" t="s">
        <v>45</v>
      </c>
      <c r="F729" t="s">
        <v>38</v>
      </c>
      <c r="G729" t="s">
        <v>47</v>
      </c>
      <c r="H729">
        <v>1012</v>
      </c>
      <c r="I729" s="2">
        <v>5</v>
      </c>
      <c r="J729" s="2">
        <v>2</v>
      </c>
      <c r="K729" t="s">
        <v>46</v>
      </c>
      <c r="L729" s="2">
        <v>1</v>
      </c>
      <c r="M729" s="2">
        <v>4</v>
      </c>
      <c r="N729" t="s">
        <v>41</v>
      </c>
      <c r="O729" s="2">
        <v>1051</v>
      </c>
      <c r="P729" s="2">
        <v>13493</v>
      </c>
      <c r="Q729" s="2">
        <v>1</v>
      </c>
      <c r="R729" t="s">
        <v>43</v>
      </c>
      <c r="S729" s="2">
        <v>3</v>
      </c>
      <c r="T729" s="2">
        <v>4</v>
      </c>
      <c r="U729">
        <v>80</v>
      </c>
      <c r="V729" s="2">
        <v>0</v>
      </c>
      <c r="W729">
        <v>2</v>
      </c>
      <c r="X729">
        <v>3</v>
      </c>
      <c r="Y729">
        <v>0</v>
      </c>
      <c r="Z729">
        <v>0</v>
      </c>
      <c r="AA729">
        <v>0</v>
      </c>
      <c r="AB729">
        <v>0</v>
      </c>
    </row>
    <row r="730" spans="1:28" x14ac:dyDescent="0.35">
      <c r="A730" s="2">
        <v>54</v>
      </c>
      <c r="B730" s="2" t="str" cm="1">
        <f t="array" ref="B730">_xlfn.IFS(HR_table[[#This Row],[Age]]&lt;=20, "Under 20yrs",HR_table[[#This Row],[Age]]&lt;=30,"(21-30)yrs",HR_table[[#This Row],[Age]]&lt;=40,"(31-40)yrs",HR_table[[#This Row],[Age]]&lt;=50,"(41-50)yrs",HR_table[[#This Row],[Age]]&lt;=60,"(51-60)yrs")</f>
        <v>(51-60)yrs</v>
      </c>
      <c r="C730" t="s">
        <v>43</v>
      </c>
      <c r="D730" t="s">
        <v>36</v>
      </c>
      <c r="E730" t="s">
        <v>45</v>
      </c>
      <c r="F730" t="s">
        <v>60</v>
      </c>
      <c r="G730" t="s">
        <v>53</v>
      </c>
      <c r="H730">
        <v>1013</v>
      </c>
      <c r="I730" s="2">
        <v>17</v>
      </c>
      <c r="J730" s="2">
        <v>3</v>
      </c>
      <c r="K730" t="s">
        <v>39</v>
      </c>
      <c r="L730" s="2">
        <v>3</v>
      </c>
      <c r="M730" s="2">
        <v>3</v>
      </c>
      <c r="N730" t="s">
        <v>48</v>
      </c>
      <c r="O730" s="2">
        <v>10739</v>
      </c>
      <c r="P730" s="2">
        <v>13943</v>
      </c>
      <c r="Q730" s="2">
        <v>8</v>
      </c>
      <c r="R730" t="s">
        <v>43</v>
      </c>
      <c r="S730" s="2">
        <v>3</v>
      </c>
      <c r="T730" s="2">
        <v>3</v>
      </c>
      <c r="U730">
        <v>80</v>
      </c>
      <c r="V730" s="2">
        <v>22</v>
      </c>
      <c r="W730">
        <v>2</v>
      </c>
      <c r="X730">
        <v>3</v>
      </c>
      <c r="Y730">
        <v>10</v>
      </c>
      <c r="Z730">
        <v>7</v>
      </c>
      <c r="AA730">
        <v>0</v>
      </c>
      <c r="AB730">
        <v>8</v>
      </c>
    </row>
    <row r="731" spans="1:28" x14ac:dyDescent="0.35">
      <c r="A731" s="2">
        <v>35</v>
      </c>
      <c r="B731" s="2" t="str" cm="1">
        <f t="array" ref="B731">_xlfn.IFS(HR_table[[#This Row],[Age]]&lt;=20, "Under 20yrs",HR_table[[#This Row],[Age]]&lt;=30,"(21-30)yrs",HR_table[[#This Row],[Age]]&lt;=40,"(31-40)yrs",HR_table[[#This Row],[Age]]&lt;=50,"(41-50)yrs",HR_table[[#This Row],[Age]]&lt;=60,"(51-60)yrs")</f>
        <v>(31-40)yrs</v>
      </c>
      <c r="C731" t="s">
        <v>43</v>
      </c>
      <c r="D731" t="s">
        <v>36</v>
      </c>
      <c r="E731" t="s">
        <v>45</v>
      </c>
      <c r="F731" t="s">
        <v>51</v>
      </c>
      <c r="G731" t="s">
        <v>54</v>
      </c>
      <c r="H731">
        <v>1014</v>
      </c>
      <c r="I731" s="2">
        <v>25</v>
      </c>
      <c r="J731" s="2">
        <v>3</v>
      </c>
      <c r="K731" t="s">
        <v>39</v>
      </c>
      <c r="L731" s="2">
        <v>3</v>
      </c>
      <c r="M731" s="2">
        <v>3</v>
      </c>
      <c r="N731" t="s">
        <v>52</v>
      </c>
      <c r="O731" s="2">
        <v>10388</v>
      </c>
      <c r="P731" s="2">
        <v>6975</v>
      </c>
      <c r="Q731" s="2">
        <v>1</v>
      </c>
      <c r="R731" t="s">
        <v>35</v>
      </c>
      <c r="S731" s="2">
        <v>3</v>
      </c>
      <c r="T731" s="2">
        <v>3</v>
      </c>
      <c r="U731">
        <v>80</v>
      </c>
      <c r="V731" s="2">
        <v>16</v>
      </c>
      <c r="W731">
        <v>3</v>
      </c>
      <c r="X731">
        <v>2</v>
      </c>
      <c r="Y731">
        <v>16</v>
      </c>
      <c r="Z731">
        <v>10</v>
      </c>
      <c r="AA731">
        <v>10</v>
      </c>
      <c r="AB731">
        <v>1</v>
      </c>
    </row>
    <row r="732" spans="1:28" x14ac:dyDescent="0.35">
      <c r="A732" s="2">
        <v>30</v>
      </c>
      <c r="B732" s="2" t="str" cm="1">
        <f t="array" ref="B732">_xlfn.IFS(HR_table[[#This Row],[Age]]&lt;=20, "Under 20yrs",HR_table[[#This Row],[Age]]&lt;=30,"(21-30)yrs",HR_table[[#This Row],[Age]]&lt;=40,"(31-40)yrs",HR_table[[#This Row],[Age]]&lt;=50,"(41-50)yrs",HR_table[[#This Row],[Age]]&lt;=60,"(51-60)yrs")</f>
        <v>(21-30)yrs</v>
      </c>
      <c r="C732" t="s">
        <v>43</v>
      </c>
      <c r="D732" t="s">
        <v>36</v>
      </c>
      <c r="E732" t="s">
        <v>45</v>
      </c>
      <c r="F732" t="s">
        <v>38</v>
      </c>
      <c r="G732" t="s">
        <v>58</v>
      </c>
      <c r="H732">
        <v>1015</v>
      </c>
      <c r="I732" s="2">
        <v>8</v>
      </c>
      <c r="J732" s="2">
        <v>2</v>
      </c>
      <c r="K732" t="s">
        <v>39</v>
      </c>
      <c r="L732" s="2">
        <v>3</v>
      </c>
      <c r="M732" s="2">
        <v>1</v>
      </c>
      <c r="N732" t="s">
        <v>48</v>
      </c>
      <c r="O732" s="2">
        <v>11416</v>
      </c>
      <c r="P732" s="2">
        <v>17802</v>
      </c>
      <c r="Q732" s="2">
        <v>0</v>
      </c>
      <c r="R732" t="s">
        <v>35</v>
      </c>
      <c r="S732" s="2">
        <v>3</v>
      </c>
      <c r="T732" s="2">
        <v>3</v>
      </c>
      <c r="U732">
        <v>80</v>
      </c>
      <c r="V732" s="2">
        <v>9</v>
      </c>
      <c r="W732">
        <v>4</v>
      </c>
      <c r="X732">
        <v>2</v>
      </c>
      <c r="Y732">
        <v>8</v>
      </c>
      <c r="Z732">
        <v>7</v>
      </c>
      <c r="AA732">
        <v>1</v>
      </c>
      <c r="AB732">
        <v>7</v>
      </c>
    </row>
    <row r="733" spans="1:28" x14ac:dyDescent="0.35">
      <c r="A733" s="2">
        <v>20</v>
      </c>
      <c r="B733" s="2" t="str" cm="1">
        <f t="array" ref="B733">_xlfn.IFS(HR_table[[#This Row],[Age]]&lt;=20, "Under 20yrs",HR_table[[#This Row],[Age]]&lt;=30,"(21-30)yrs",HR_table[[#This Row],[Age]]&lt;=40,"(31-40)yrs",HR_table[[#This Row],[Age]]&lt;=50,"(41-50)yrs",HR_table[[#This Row],[Age]]&lt;=60,"(51-60)yrs")</f>
        <v>Under 20yrs</v>
      </c>
      <c r="C733" t="s">
        <v>35</v>
      </c>
      <c r="D733" t="s">
        <v>36</v>
      </c>
      <c r="E733" t="s">
        <v>45</v>
      </c>
      <c r="F733" t="s">
        <v>51</v>
      </c>
      <c r="G733" t="s">
        <v>47</v>
      </c>
      <c r="H733">
        <v>1016</v>
      </c>
      <c r="I733" s="2">
        <v>11</v>
      </c>
      <c r="J733" s="2">
        <v>4</v>
      </c>
      <c r="K733" t="s">
        <v>39</v>
      </c>
      <c r="L733" s="2">
        <v>1</v>
      </c>
      <c r="M733" s="2">
        <v>1</v>
      </c>
      <c r="N733" t="s">
        <v>41</v>
      </c>
      <c r="O733" s="2">
        <v>2600</v>
      </c>
      <c r="P733" s="2">
        <v>18275</v>
      </c>
      <c r="Q733" s="2">
        <v>1</v>
      </c>
      <c r="R733" t="s">
        <v>35</v>
      </c>
      <c r="S733" s="2">
        <v>3</v>
      </c>
      <c r="T733" s="2">
        <v>1</v>
      </c>
      <c r="U733">
        <v>80</v>
      </c>
      <c r="V733" s="2">
        <v>1</v>
      </c>
      <c r="W733">
        <v>2</v>
      </c>
      <c r="X733">
        <v>3</v>
      </c>
      <c r="Y733">
        <v>1</v>
      </c>
      <c r="Z733">
        <v>0</v>
      </c>
      <c r="AA733">
        <v>0</v>
      </c>
      <c r="AB733">
        <v>0</v>
      </c>
    </row>
    <row r="734" spans="1:28" x14ac:dyDescent="0.35">
      <c r="A734" s="2">
        <v>30</v>
      </c>
      <c r="B734" s="2" t="str" cm="1">
        <f t="array" ref="B734">_xlfn.IFS(HR_table[[#This Row],[Age]]&lt;=20, "Under 20yrs",HR_table[[#This Row],[Age]]&lt;=30,"(21-30)yrs",HR_table[[#This Row],[Age]]&lt;=40,"(31-40)yrs",HR_table[[#This Row],[Age]]&lt;=50,"(41-50)yrs",HR_table[[#This Row],[Age]]&lt;=60,"(51-60)yrs")</f>
        <v>(21-30)yrs</v>
      </c>
      <c r="C734" t="s">
        <v>35</v>
      </c>
      <c r="D734" t="s">
        <v>44</v>
      </c>
      <c r="E734" t="s">
        <v>45</v>
      </c>
      <c r="F734" t="s">
        <v>51</v>
      </c>
      <c r="G734" t="s">
        <v>50</v>
      </c>
      <c r="H734">
        <v>1017</v>
      </c>
      <c r="I734" s="2">
        <v>5</v>
      </c>
      <c r="J734" s="2">
        <v>2</v>
      </c>
      <c r="K734" t="s">
        <v>39</v>
      </c>
      <c r="L734" s="2">
        <v>1</v>
      </c>
      <c r="M734" s="2">
        <v>2</v>
      </c>
      <c r="N734" t="s">
        <v>41</v>
      </c>
      <c r="O734" s="2">
        <v>2422</v>
      </c>
      <c r="P734" s="2">
        <v>25725</v>
      </c>
      <c r="Q734" s="2">
        <v>0</v>
      </c>
      <c r="R734" t="s">
        <v>43</v>
      </c>
      <c r="S734" s="2">
        <v>3</v>
      </c>
      <c r="T734" s="2">
        <v>1</v>
      </c>
      <c r="U734">
        <v>80</v>
      </c>
      <c r="V734" s="2">
        <v>4</v>
      </c>
      <c r="W734">
        <v>3</v>
      </c>
      <c r="X734">
        <v>3</v>
      </c>
      <c r="Y734">
        <v>3</v>
      </c>
      <c r="Z734">
        <v>2</v>
      </c>
      <c r="AA734">
        <v>1</v>
      </c>
      <c r="AB734">
        <v>2</v>
      </c>
    </row>
    <row r="735" spans="1:28" x14ac:dyDescent="0.35">
      <c r="A735" s="2">
        <v>26</v>
      </c>
      <c r="B735" s="2" t="str" cm="1">
        <f t="array" ref="B735">_xlfn.IFS(HR_table[[#This Row],[Age]]&lt;=20, "Under 20yrs",HR_table[[#This Row],[Age]]&lt;=30,"(21-30)yrs",HR_table[[#This Row],[Age]]&lt;=40,"(31-40)yrs",HR_table[[#This Row],[Age]]&lt;=50,"(41-50)yrs",HR_table[[#This Row],[Age]]&lt;=60,"(51-60)yrs")</f>
        <v>(21-30)yrs</v>
      </c>
      <c r="C735" t="s">
        <v>43</v>
      </c>
      <c r="D735" t="s">
        <v>36</v>
      </c>
      <c r="E735" t="s">
        <v>45</v>
      </c>
      <c r="F735" t="s">
        <v>51</v>
      </c>
      <c r="G735" t="s">
        <v>53</v>
      </c>
      <c r="H735">
        <v>1018</v>
      </c>
      <c r="I735" s="2">
        <v>2</v>
      </c>
      <c r="J735" s="2">
        <v>4</v>
      </c>
      <c r="K735" t="s">
        <v>46</v>
      </c>
      <c r="L735" s="2">
        <v>2</v>
      </c>
      <c r="M735" s="2">
        <v>4</v>
      </c>
      <c r="N735" t="s">
        <v>48</v>
      </c>
      <c r="O735" s="2">
        <v>5472</v>
      </c>
      <c r="P735" s="2">
        <v>3334</v>
      </c>
      <c r="Q735" s="2">
        <v>1</v>
      </c>
      <c r="R735" t="s">
        <v>43</v>
      </c>
      <c r="S735" s="2">
        <v>3</v>
      </c>
      <c r="T735" s="2">
        <v>2</v>
      </c>
      <c r="U735">
        <v>80</v>
      </c>
      <c r="V735" s="2">
        <v>8</v>
      </c>
      <c r="W735">
        <v>2</v>
      </c>
      <c r="X735">
        <v>3</v>
      </c>
      <c r="Y735">
        <v>8</v>
      </c>
      <c r="Z735">
        <v>7</v>
      </c>
      <c r="AA735">
        <v>1</v>
      </c>
      <c r="AB735">
        <v>3</v>
      </c>
    </row>
    <row r="736" spans="1:28" x14ac:dyDescent="0.35">
      <c r="A736" s="2">
        <v>22</v>
      </c>
      <c r="B736" s="2" t="str" cm="1">
        <f t="array" ref="B736">_xlfn.IFS(HR_table[[#This Row],[Age]]&lt;=20, "Under 20yrs",HR_table[[#This Row],[Age]]&lt;=30,"(21-30)yrs",HR_table[[#This Row],[Age]]&lt;=40,"(31-40)yrs",HR_table[[#This Row],[Age]]&lt;=50,"(41-50)yrs",HR_table[[#This Row],[Age]]&lt;=60,"(51-60)yrs")</f>
        <v>(21-30)yrs</v>
      </c>
      <c r="C736" t="s">
        <v>43</v>
      </c>
      <c r="D736" t="s">
        <v>36</v>
      </c>
      <c r="E736" t="s">
        <v>45</v>
      </c>
      <c r="F736" t="s">
        <v>38</v>
      </c>
      <c r="G736" t="s">
        <v>50</v>
      </c>
      <c r="H736">
        <v>1019</v>
      </c>
      <c r="I736" s="2">
        <v>8</v>
      </c>
      <c r="J736" s="2">
        <v>2</v>
      </c>
      <c r="K736" t="s">
        <v>46</v>
      </c>
      <c r="L736" s="2">
        <v>1</v>
      </c>
      <c r="M736" s="2">
        <v>1</v>
      </c>
      <c r="N736" t="s">
        <v>48</v>
      </c>
      <c r="O736" s="2">
        <v>2451</v>
      </c>
      <c r="P736" s="2">
        <v>6881</v>
      </c>
      <c r="Q736" s="2">
        <v>1</v>
      </c>
      <c r="R736" t="s">
        <v>43</v>
      </c>
      <c r="S736" s="2">
        <v>3</v>
      </c>
      <c r="T736" s="2">
        <v>1</v>
      </c>
      <c r="U736">
        <v>80</v>
      </c>
      <c r="V736" s="2">
        <v>4</v>
      </c>
      <c r="W736">
        <v>3</v>
      </c>
      <c r="X736">
        <v>2</v>
      </c>
      <c r="Y736">
        <v>4</v>
      </c>
      <c r="Z736">
        <v>3</v>
      </c>
      <c r="AA736">
        <v>1</v>
      </c>
      <c r="AB736">
        <v>1</v>
      </c>
    </row>
    <row r="737" spans="1:28" x14ac:dyDescent="0.35">
      <c r="A737" s="2">
        <v>48</v>
      </c>
      <c r="B737" s="2" t="str" cm="1">
        <f t="array" ref="B737">_xlfn.IFS(HR_table[[#This Row],[Age]]&lt;=20, "Under 20yrs",HR_table[[#This Row],[Age]]&lt;=30,"(21-30)yrs",HR_table[[#This Row],[Age]]&lt;=40,"(31-40)yrs",HR_table[[#This Row],[Age]]&lt;=50,"(41-50)yrs",HR_table[[#This Row],[Age]]&lt;=60,"(51-60)yrs")</f>
        <v>(41-50)yrs</v>
      </c>
      <c r="C737" t="s">
        <v>43</v>
      </c>
      <c r="D737" t="s">
        <v>36</v>
      </c>
      <c r="E737" t="s">
        <v>45</v>
      </c>
      <c r="F737" t="s">
        <v>38</v>
      </c>
      <c r="G737" t="s">
        <v>54</v>
      </c>
      <c r="H737">
        <v>1022</v>
      </c>
      <c r="I737" s="2">
        <v>6</v>
      </c>
      <c r="J737" s="2">
        <v>1</v>
      </c>
      <c r="K737" t="s">
        <v>46</v>
      </c>
      <c r="L737" s="2">
        <v>2</v>
      </c>
      <c r="M737" s="2">
        <v>3</v>
      </c>
      <c r="N737" t="s">
        <v>41</v>
      </c>
      <c r="O737" s="2">
        <v>4240</v>
      </c>
      <c r="P737" s="2">
        <v>13119</v>
      </c>
      <c r="Q737" s="2">
        <v>2</v>
      </c>
      <c r="R737" t="s">
        <v>43</v>
      </c>
      <c r="S737" s="2">
        <v>3</v>
      </c>
      <c r="T737" s="2">
        <v>4</v>
      </c>
      <c r="U737">
        <v>80</v>
      </c>
      <c r="V737" s="2">
        <v>19</v>
      </c>
      <c r="W737">
        <v>0</v>
      </c>
      <c r="X737">
        <v>3</v>
      </c>
      <c r="Y737">
        <v>2</v>
      </c>
      <c r="Z737">
        <v>2</v>
      </c>
      <c r="AA737">
        <v>2</v>
      </c>
      <c r="AB737">
        <v>2</v>
      </c>
    </row>
    <row r="738" spans="1:28" x14ac:dyDescent="0.35">
      <c r="A738" s="2">
        <v>48</v>
      </c>
      <c r="B738" s="2" t="str" cm="1">
        <f t="array" ref="B738">_xlfn.IFS(HR_table[[#This Row],[Age]]&lt;=20, "Under 20yrs",HR_table[[#This Row],[Age]]&lt;=30,"(21-30)yrs",HR_table[[#This Row],[Age]]&lt;=40,"(31-40)yrs",HR_table[[#This Row],[Age]]&lt;=50,"(41-50)yrs",HR_table[[#This Row],[Age]]&lt;=60,"(51-60)yrs")</f>
        <v>(41-50)yrs</v>
      </c>
      <c r="C738" t="s">
        <v>43</v>
      </c>
      <c r="D738" t="s">
        <v>36</v>
      </c>
      <c r="E738" t="s">
        <v>45</v>
      </c>
      <c r="F738" t="s">
        <v>38</v>
      </c>
      <c r="G738" t="s">
        <v>54</v>
      </c>
      <c r="H738">
        <v>1024</v>
      </c>
      <c r="I738" s="2">
        <v>4</v>
      </c>
      <c r="J738" s="2">
        <v>3</v>
      </c>
      <c r="K738" t="s">
        <v>46</v>
      </c>
      <c r="L738" s="2">
        <v>3</v>
      </c>
      <c r="M738" s="2">
        <v>3</v>
      </c>
      <c r="N738" t="s">
        <v>41</v>
      </c>
      <c r="O738" s="2">
        <v>10999</v>
      </c>
      <c r="P738" s="2">
        <v>22245</v>
      </c>
      <c r="Q738" s="2">
        <v>7</v>
      </c>
      <c r="R738" t="s">
        <v>43</v>
      </c>
      <c r="S738" s="2">
        <v>3</v>
      </c>
      <c r="T738" s="2">
        <v>2</v>
      </c>
      <c r="U738">
        <v>80</v>
      </c>
      <c r="V738" s="2">
        <v>27</v>
      </c>
      <c r="W738">
        <v>3</v>
      </c>
      <c r="X738">
        <v>3</v>
      </c>
      <c r="Y738">
        <v>15</v>
      </c>
      <c r="Z738">
        <v>11</v>
      </c>
      <c r="AA738">
        <v>4</v>
      </c>
      <c r="AB738">
        <v>8</v>
      </c>
    </row>
    <row r="739" spans="1:28" x14ac:dyDescent="0.35">
      <c r="A739" s="2">
        <v>41</v>
      </c>
      <c r="B739" s="2" t="str" cm="1">
        <f t="array" ref="B739">_xlfn.IFS(HR_table[[#This Row],[Age]]&lt;=20, "Under 20yrs",HR_table[[#This Row],[Age]]&lt;=30,"(21-30)yrs",HR_table[[#This Row],[Age]]&lt;=40,"(31-40)yrs",HR_table[[#This Row],[Age]]&lt;=50,"(41-50)yrs",HR_table[[#This Row],[Age]]&lt;=60,"(51-60)yrs")</f>
        <v>(41-50)yrs</v>
      </c>
      <c r="C739" t="s">
        <v>43</v>
      </c>
      <c r="D739" t="s">
        <v>36</v>
      </c>
      <c r="E739" t="s">
        <v>45</v>
      </c>
      <c r="F739" t="s">
        <v>51</v>
      </c>
      <c r="G739" t="s">
        <v>53</v>
      </c>
      <c r="H739">
        <v>1025</v>
      </c>
      <c r="I739" s="2">
        <v>7</v>
      </c>
      <c r="J739" s="2">
        <v>4</v>
      </c>
      <c r="K739" t="s">
        <v>39</v>
      </c>
      <c r="L739" s="2">
        <v>2</v>
      </c>
      <c r="M739" s="2">
        <v>3</v>
      </c>
      <c r="N739" t="s">
        <v>41</v>
      </c>
      <c r="O739" s="2">
        <v>5003</v>
      </c>
      <c r="P739" s="2">
        <v>23371</v>
      </c>
      <c r="Q739" s="2">
        <v>6</v>
      </c>
      <c r="R739" t="s">
        <v>43</v>
      </c>
      <c r="S739" s="2">
        <v>3</v>
      </c>
      <c r="T739" s="2">
        <v>2</v>
      </c>
      <c r="U739">
        <v>80</v>
      </c>
      <c r="V739" s="2">
        <v>8</v>
      </c>
      <c r="W739">
        <v>6</v>
      </c>
      <c r="X739">
        <v>3</v>
      </c>
      <c r="Y739">
        <v>2</v>
      </c>
      <c r="Z739">
        <v>2</v>
      </c>
      <c r="AA739">
        <v>2</v>
      </c>
      <c r="AB739">
        <v>1</v>
      </c>
    </row>
    <row r="740" spans="1:28" x14ac:dyDescent="0.35">
      <c r="A740" s="2">
        <v>39</v>
      </c>
      <c r="B740" s="2" t="str" cm="1">
        <f t="array" ref="B740">_xlfn.IFS(HR_table[[#This Row],[Age]]&lt;=20, "Under 20yrs",HR_table[[#This Row],[Age]]&lt;=30,"(21-30)yrs",HR_table[[#This Row],[Age]]&lt;=40,"(31-40)yrs",HR_table[[#This Row],[Age]]&lt;=50,"(41-50)yrs",HR_table[[#This Row],[Age]]&lt;=60,"(51-60)yrs")</f>
        <v>(31-40)yrs</v>
      </c>
      <c r="C740" t="s">
        <v>43</v>
      </c>
      <c r="D740" t="s">
        <v>36</v>
      </c>
      <c r="E740" t="s">
        <v>45</v>
      </c>
      <c r="F740" t="s">
        <v>38</v>
      </c>
      <c r="G740" t="s">
        <v>53</v>
      </c>
      <c r="H740">
        <v>1026</v>
      </c>
      <c r="I740" s="2">
        <v>1</v>
      </c>
      <c r="J740" s="2">
        <v>4</v>
      </c>
      <c r="K740" t="s">
        <v>39</v>
      </c>
      <c r="L740" s="2">
        <v>4</v>
      </c>
      <c r="M740" s="2">
        <v>4</v>
      </c>
      <c r="N740" t="s">
        <v>48</v>
      </c>
      <c r="O740" s="2">
        <v>12742</v>
      </c>
      <c r="P740" s="2">
        <v>7060</v>
      </c>
      <c r="Q740" s="2">
        <v>1</v>
      </c>
      <c r="R740" t="s">
        <v>43</v>
      </c>
      <c r="S740" s="2">
        <v>3</v>
      </c>
      <c r="T740" s="2">
        <v>3</v>
      </c>
      <c r="U740">
        <v>80</v>
      </c>
      <c r="V740" s="2">
        <v>21</v>
      </c>
      <c r="W740">
        <v>3</v>
      </c>
      <c r="X740">
        <v>3</v>
      </c>
      <c r="Y740">
        <v>21</v>
      </c>
      <c r="Z740">
        <v>6</v>
      </c>
      <c r="AA740">
        <v>11</v>
      </c>
      <c r="AB740">
        <v>8</v>
      </c>
    </row>
    <row r="741" spans="1:28" x14ac:dyDescent="0.35">
      <c r="A741" s="2">
        <v>27</v>
      </c>
      <c r="B741" s="2" t="str" cm="1">
        <f t="array" ref="B741">_xlfn.IFS(HR_table[[#This Row],[Age]]&lt;=20, "Under 20yrs",HR_table[[#This Row],[Age]]&lt;=30,"(21-30)yrs",HR_table[[#This Row],[Age]]&lt;=40,"(31-40)yrs",HR_table[[#This Row],[Age]]&lt;=50,"(41-50)yrs",HR_table[[#This Row],[Age]]&lt;=60,"(51-60)yrs")</f>
        <v>(21-30)yrs</v>
      </c>
      <c r="C741" t="s">
        <v>43</v>
      </c>
      <c r="D741" t="s">
        <v>36</v>
      </c>
      <c r="E741" t="s">
        <v>45</v>
      </c>
      <c r="F741" t="s">
        <v>38</v>
      </c>
      <c r="G741" t="s">
        <v>53</v>
      </c>
      <c r="H741">
        <v>1027</v>
      </c>
      <c r="I741" s="2">
        <v>2</v>
      </c>
      <c r="J741" s="2">
        <v>1</v>
      </c>
      <c r="K741" t="s">
        <v>39</v>
      </c>
      <c r="L741" s="2">
        <v>2</v>
      </c>
      <c r="M741" s="2">
        <v>4</v>
      </c>
      <c r="N741" t="s">
        <v>48</v>
      </c>
      <c r="O741" s="2">
        <v>4227</v>
      </c>
      <c r="P741" s="2">
        <v>4658</v>
      </c>
      <c r="Q741" s="2">
        <v>0</v>
      </c>
      <c r="R741" t="s">
        <v>43</v>
      </c>
      <c r="S741" s="2">
        <v>3</v>
      </c>
      <c r="T741" s="2">
        <v>2</v>
      </c>
      <c r="U741">
        <v>80</v>
      </c>
      <c r="V741" s="2">
        <v>4</v>
      </c>
      <c r="W741">
        <v>2</v>
      </c>
      <c r="X741">
        <v>3</v>
      </c>
      <c r="Y741">
        <v>3</v>
      </c>
      <c r="Z741">
        <v>2</v>
      </c>
      <c r="AA741">
        <v>2</v>
      </c>
      <c r="AB741">
        <v>2</v>
      </c>
    </row>
    <row r="742" spans="1:28" x14ac:dyDescent="0.35">
      <c r="A742" s="2">
        <v>35</v>
      </c>
      <c r="B742" s="2" t="str" cm="1">
        <f t="array" ref="B742">_xlfn.IFS(HR_table[[#This Row],[Age]]&lt;=20, "Under 20yrs",HR_table[[#This Row],[Age]]&lt;=30,"(21-30)yrs",HR_table[[#This Row],[Age]]&lt;=40,"(31-40)yrs",HR_table[[#This Row],[Age]]&lt;=50,"(41-50)yrs",HR_table[[#This Row],[Age]]&lt;=60,"(51-60)yrs")</f>
        <v>(31-40)yrs</v>
      </c>
      <c r="C742" t="s">
        <v>43</v>
      </c>
      <c r="D742" t="s">
        <v>36</v>
      </c>
      <c r="E742" t="s">
        <v>45</v>
      </c>
      <c r="F742" t="s">
        <v>49</v>
      </c>
      <c r="G742" t="s">
        <v>50</v>
      </c>
      <c r="H742">
        <v>1028</v>
      </c>
      <c r="I742" s="2">
        <v>10</v>
      </c>
      <c r="J742" s="2">
        <v>2</v>
      </c>
      <c r="K742" t="s">
        <v>46</v>
      </c>
      <c r="L742" s="2">
        <v>1</v>
      </c>
      <c r="M742" s="2">
        <v>4</v>
      </c>
      <c r="N742" t="s">
        <v>52</v>
      </c>
      <c r="O742" s="2">
        <v>3917</v>
      </c>
      <c r="P742" s="2">
        <v>9541</v>
      </c>
      <c r="Q742" s="2">
        <v>1</v>
      </c>
      <c r="R742" t="s">
        <v>43</v>
      </c>
      <c r="S742" s="2">
        <v>4</v>
      </c>
      <c r="T742" s="2">
        <v>1</v>
      </c>
      <c r="U742">
        <v>80</v>
      </c>
      <c r="V742" s="2">
        <v>3</v>
      </c>
      <c r="W742">
        <v>4</v>
      </c>
      <c r="X742">
        <v>2</v>
      </c>
      <c r="Y742">
        <v>3</v>
      </c>
      <c r="Z742">
        <v>2</v>
      </c>
      <c r="AA742">
        <v>1</v>
      </c>
      <c r="AB742">
        <v>2</v>
      </c>
    </row>
    <row r="743" spans="1:28" x14ac:dyDescent="0.35">
      <c r="A743" s="2">
        <v>42</v>
      </c>
      <c r="B743" s="2" t="str" cm="1">
        <f t="array" ref="B743">_xlfn.IFS(HR_table[[#This Row],[Age]]&lt;=20, "Under 20yrs",HR_table[[#This Row],[Age]]&lt;=30,"(21-30)yrs",HR_table[[#This Row],[Age]]&lt;=40,"(31-40)yrs",HR_table[[#This Row],[Age]]&lt;=50,"(41-50)yrs",HR_table[[#This Row],[Age]]&lt;=60,"(51-60)yrs")</f>
        <v>(41-50)yrs</v>
      </c>
      <c r="C743" t="s">
        <v>43</v>
      </c>
      <c r="D743" t="s">
        <v>36</v>
      </c>
      <c r="E743" t="s">
        <v>37</v>
      </c>
      <c r="F743" t="s">
        <v>59</v>
      </c>
      <c r="G743" t="s">
        <v>56</v>
      </c>
      <c r="H743">
        <v>1029</v>
      </c>
      <c r="I743" s="2">
        <v>5</v>
      </c>
      <c r="J743" s="2">
        <v>4</v>
      </c>
      <c r="K743" t="s">
        <v>46</v>
      </c>
      <c r="L743" s="2">
        <v>5</v>
      </c>
      <c r="M743" s="2">
        <v>3</v>
      </c>
      <c r="N743" t="s">
        <v>48</v>
      </c>
      <c r="O743" s="2">
        <v>18303</v>
      </c>
      <c r="P743" s="2">
        <v>7770</v>
      </c>
      <c r="Q743" s="2">
        <v>6</v>
      </c>
      <c r="R743" t="s">
        <v>43</v>
      </c>
      <c r="S743" s="2">
        <v>3</v>
      </c>
      <c r="T743" s="2">
        <v>2</v>
      </c>
      <c r="U743">
        <v>80</v>
      </c>
      <c r="V743" s="2">
        <v>21</v>
      </c>
      <c r="W743">
        <v>3</v>
      </c>
      <c r="X743">
        <v>4</v>
      </c>
      <c r="Y743">
        <v>1</v>
      </c>
      <c r="Z743">
        <v>0</v>
      </c>
      <c r="AA743">
        <v>0</v>
      </c>
      <c r="AB743">
        <v>0</v>
      </c>
    </row>
    <row r="744" spans="1:28" x14ac:dyDescent="0.35">
      <c r="A744" s="2">
        <v>50</v>
      </c>
      <c r="B744" s="2" t="str" cm="1">
        <f t="array" ref="B744">_xlfn.IFS(HR_table[[#This Row],[Age]]&lt;=20, "Under 20yrs",HR_table[[#This Row],[Age]]&lt;=30,"(21-30)yrs",HR_table[[#This Row],[Age]]&lt;=40,"(31-40)yrs",HR_table[[#This Row],[Age]]&lt;=50,"(41-50)yrs",HR_table[[#This Row],[Age]]&lt;=60,"(51-60)yrs")</f>
        <v>(41-50)yrs</v>
      </c>
      <c r="C744" t="s">
        <v>43</v>
      </c>
      <c r="D744" t="s">
        <v>36</v>
      </c>
      <c r="E744" t="s">
        <v>45</v>
      </c>
      <c r="F744" t="s">
        <v>38</v>
      </c>
      <c r="G744" t="s">
        <v>50</v>
      </c>
      <c r="H744">
        <v>1030</v>
      </c>
      <c r="I744" s="2">
        <v>9</v>
      </c>
      <c r="J744" s="2">
        <v>1</v>
      </c>
      <c r="K744" t="s">
        <v>46</v>
      </c>
      <c r="L744" s="2">
        <v>1</v>
      </c>
      <c r="M744" s="2">
        <v>4</v>
      </c>
      <c r="N744" t="s">
        <v>48</v>
      </c>
      <c r="O744" s="2">
        <v>2380</v>
      </c>
      <c r="P744" s="2">
        <v>20165</v>
      </c>
      <c r="Q744" s="2">
        <v>4</v>
      </c>
      <c r="R744" t="s">
        <v>43</v>
      </c>
      <c r="S744" s="2">
        <v>3</v>
      </c>
      <c r="T744" s="2">
        <v>2</v>
      </c>
      <c r="U744">
        <v>80</v>
      </c>
      <c r="V744" s="2">
        <v>8</v>
      </c>
      <c r="W744">
        <v>5</v>
      </c>
      <c r="X744">
        <v>3</v>
      </c>
      <c r="Y744">
        <v>1</v>
      </c>
      <c r="Z744">
        <v>0</v>
      </c>
      <c r="AA744">
        <v>0</v>
      </c>
      <c r="AB744">
        <v>0</v>
      </c>
    </row>
    <row r="745" spans="1:28" x14ac:dyDescent="0.35">
      <c r="A745" s="2">
        <v>59</v>
      </c>
      <c r="B745" s="2" t="str" cm="1">
        <f t="array" ref="B745">_xlfn.IFS(HR_table[[#This Row],[Age]]&lt;=20, "Under 20yrs",HR_table[[#This Row],[Age]]&lt;=30,"(21-30)yrs",HR_table[[#This Row],[Age]]&lt;=40,"(31-40)yrs",HR_table[[#This Row],[Age]]&lt;=50,"(41-50)yrs",HR_table[[#This Row],[Age]]&lt;=60,"(51-60)yrs")</f>
        <v>(51-60)yrs</v>
      </c>
      <c r="C745" t="s">
        <v>43</v>
      </c>
      <c r="D745" t="s">
        <v>36</v>
      </c>
      <c r="E745" t="s">
        <v>45</v>
      </c>
      <c r="F745" t="s">
        <v>38</v>
      </c>
      <c r="G745" t="s">
        <v>53</v>
      </c>
      <c r="H745">
        <v>1032</v>
      </c>
      <c r="I745" s="2">
        <v>2</v>
      </c>
      <c r="J745" s="2">
        <v>3</v>
      </c>
      <c r="K745" t="s">
        <v>39</v>
      </c>
      <c r="L745" s="2">
        <v>4</v>
      </c>
      <c r="M745" s="2">
        <v>4</v>
      </c>
      <c r="N745" t="s">
        <v>41</v>
      </c>
      <c r="O745" s="2">
        <v>13726</v>
      </c>
      <c r="P745" s="2">
        <v>21829</v>
      </c>
      <c r="Q745" s="2">
        <v>3</v>
      </c>
      <c r="R745" t="s">
        <v>35</v>
      </c>
      <c r="S745" s="2">
        <v>3</v>
      </c>
      <c r="T745" s="2">
        <v>1</v>
      </c>
      <c r="U745">
        <v>80</v>
      </c>
      <c r="V745" s="2">
        <v>30</v>
      </c>
      <c r="W745">
        <v>4</v>
      </c>
      <c r="X745">
        <v>3</v>
      </c>
      <c r="Y745">
        <v>5</v>
      </c>
      <c r="Z745">
        <v>3</v>
      </c>
      <c r="AA745">
        <v>4</v>
      </c>
      <c r="AB745">
        <v>3</v>
      </c>
    </row>
    <row r="746" spans="1:28" x14ac:dyDescent="0.35">
      <c r="A746" s="2">
        <v>37</v>
      </c>
      <c r="B746" s="2" t="str" cm="1">
        <f t="array" ref="B746">_xlfn.IFS(HR_table[[#This Row],[Age]]&lt;=20, "Under 20yrs",HR_table[[#This Row],[Age]]&lt;=30,"(21-30)yrs",HR_table[[#This Row],[Age]]&lt;=40,"(31-40)yrs",HR_table[[#This Row],[Age]]&lt;=50,"(41-50)yrs",HR_table[[#This Row],[Age]]&lt;=60,"(51-60)yrs")</f>
        <v>(31-40)yrs</v>
      </c>
      <c r="C746" t="s">
        <v>35</v>
      </c>
      <c r="D746" t="s">
        <v>36</v>
      </c>
      <c r="E746" t="s">
        <v>45</v>
      </c>
      <c r="F746" t="s">
        <v>51</v>
      </c>
      <c r="G746" t="s">
        <v>54</v>
      </c>
      <c r="H746">
        <v>1033</v>
      </c>
      <c r="I746" s="2">
        <v>11</v>
      </c>
      <c r="J746" s="2">
        <v>1</v>
      </c>
      <c r="K746" t="s">
        <v>39</v>
      </c>
      <c r="L746" s="2">
        <v>2</v>
      </c>
      <c r="M746" s="2">
        <v>2</v>
      </c>
      <c r="N746" t="s">
        <v>48</v>
      </c>
      <c r="O746" s="2">
        <v>4777</v>
      </c>
      <c r="P746" s="2">
        <v>14382</v>
      </c>
      <c r="Q746" s="2">
        <v>5</v>
      </c>
      <c r="R746" t="s">
        <v>43</v>
      </c>
      <c r="S746" s="2">
        <v>3</v>
      </c>
      <c r="T746" s="2">
        <v>1</v>
      </c>
      <c r="U746">
        <v>80</v>
      </c>
      <c r="V746" s="2">
        <v>15</v>
      </c>
      <c r="W746">
        <v>2</v>
      </c>
      <c r="X746">
        <v>1</v>
      </c>
      <c r="Y746">
        <v>1</v>
      </c>
      <c r="Z746">
        <v>0</v>
      </c>
      <c r="AA746">
        <v>0</v>
      </c>
      <c r="AB746">
        <v>0</v>
      </c>
    </row>
    <row r="747" spans="1:28" x14ac:dyDescent="0.35">
      <c r="A747" s="2">
        <v>55</v>
      </c>
      <c r="B747" s="2" t="str" cm="1">
        <f t="array" ref="B747">_xlfn.IFS(HR_table[[#This Row],[Age]]&lt;=20, "Under 20yrs",HR_table[[#This Row],[Age]]&lt;=30,"(21-30)yrs",HR_table[[#This Row],[Age]]&lt;=40,"(31-40)yrs",HR_table[[#This Row],[Age]]&lt;=50,"(41-50)yrs",HR_table[[#This Row],[Age]]&lt;=60,"(51-60)yrs")</f>
        <v>(51-60)yrs</v>
      </c>
      <c r="C747" t="s">
        <v>43</v>
      </c>
      <c r="D747" t="s">
        <v>44</v>
      </c>
      <c r="E747" t="s">
        <v>45</v>
      </c>
      <c r="F747" t="s">
        <v>51</v>
      </c>
      <c r="G747" t="s">
        <v>54</v>
      </c>
      <c r="H747">
        <v>1034</v>
      </c>
      <c r="I747" s="2">
        <v>18</v>
      </c>
      <c r="J747" s="2">
        <v>3</v>
      </c>
      <c r="K747" t="s">
        <v>46</v>
      </c>
      <c r="L747" s="2">
        <v>2</v>
      </c>
      <c r="M747" s="2">
        <v>2</v>
      </c>
      <c r="N747" t="s">
        <v>48</v>
      </c>
      <c r="O747" s="2">
        <v>6385</v>
      </c>
      <c r="P747" s="2">
        <v>12992</v>
      </c>
      <c r="Q747" s="2">
        <v>3</v>
      </c>
      <c r="R747" t="s">
        <v>35</v>
      </c>
      <c r="S747" s="2">
        <v>3</v>
      </c>
      <c r="T747" s="2">
        <v>4</v>
      </c>
      <c r="U747">
        <v>80</v>
      </c>
      <c r="V747" s="2">
        <v>17</v>
      </c>
      <c r="W747">
        <v>3</v>
      </c>
      <c r="X747">
        <v>3</v>
      </c>
      <c r="Y747">
        <v>8</v>
      </c>
      <c r="Z747">
        <v>7</v>
      </c>
      <c r="AA747">
        <v>6</v>
      </c>
      <c r="AB747">
        <v>7</v>
      </c>
    </row>
    <row r="748" spans="1:28" x14ac:dyDescent="0.35">
      <c r="A748" s="2">
        <v>41</v>
      </c>
      <c r="B748" s="2" t="str" cm="1">
        <f t="array" ref="B748">_xlfn.IFS(HR_table[[#This Row],[Age]]&lt;=20, "Under 20yrs",HR_table[[#This Row],[Age]]&lt;=30,"(21-30)yrs",HR_table[[#This Row],[Age]]&lt;=40,"(31-40)yrs",HR_table[[#This Row],[Age]]&lt;=50,"(41-50)yrs",HR_table[[#This Row],[Age]]&lt;=60,"(51-60)yrs")</f>
        <v>(41-50)yrs</v>
      </c>
      <c r="C748" t="s">
        <v>43</v>
      </c>
      <c r="D748" t="s">
        <v>55</v>
      </c>
      <c r="E748" t="s">
        <v>45</v>
      </c>
      <c r="F748" t="s">
        <v>38</v>
      </c>
      <c r="G748" t="s">
        <v>58</v>
      </c>
      <c r="H748">
        <v>1035</v>
      </c>
      <c r="I748" s="2">
        <v>7</v>
      </c>
      <c r="J748" s="2">
        <v>2</v>
      </c>
      <c r="K748" t="s">
        <v>39</v>
      </c>
      <c r="L748" s="2">
        <v>5</v>
      </c>
      <c r="M748" s="2">
        <v>3</v>
      </c>
      <c r="N748" t="s">
        <v>52</v>
      </c>
      <c r="O748" s="2">
        <v>19973</v>
      </c>
      <c r="P748" s="2">
        <v>20284</v>
      </c>
      <c r="Q748" s="2">
        <v>1</v>
      </c>
      <c r="R748" t="s">
        <v>43</v>
      </c>
      <c r="S748" s="2">
        <v>4</v>
      </c>
      <c r="T748" s="2">
        <v>2</v>
      </c>
      <c r="U748">
        <v>80</v>
      </c>
      <c r="V748" s="2">
        <v>21</v>
      </c>
      <c r="W748">
        <v>3</v>
      </c>
      <c r="X748">
        <v>3</v>
      </c>
      <c r="Y748">
        <v>21</v>
      </c>
      <c r="Z748">
        <v>16</v>
      </c>
      <c r="AA748">
        <v>5</v>
      </c>
      <c r="AB748">
        <v>10</v>
      </c>
    </row>
    <row r="749" spans="1:28" x14ac:dyDescent="0.35">
      <c r="A749" s="2">
        <v>38</v>
      </c>
      <c r="B749" s="2" t="str" cm="1">
        <f t="array" ref="B749">_xlfn.IFS(HR_table[[#This Row],[Age]]&lt;=20, "Under 20yrs",HR_table[[#This Row],[Age]]&lt;=30,"(21-30)yrs",HR_table[[#This Row],[Age]]&lt;=40,"(31-40)yrs",HR_table[[#This Row],[Age]]&lt;=50,"(41-50)yrs",HR_table[[#This Row],[Age]]&lt;=60,"(51-60)yrs")</f>
        <v>(31-40)yrs</v>
      </c>
      <c r="C749" t="s">
        <v>43</v>
      </c>
      <c r="D749" t="s">
        <v>36</v>
      </c>
      <c r="E749" t="s">
        <v>37</v>
      </c>
      <c r="F749" t="s">
        <v>38</v>
      </c>
      <c r="G749" t="s">
        <v>40</v>
      </c>
      <c r="H749">
        <v>1036</v>
      </c>
      <c r="I749" s="2">
        <v>3</v>
      </c>
      <c r="J749" s="2">
        <v>2</v>
      </c>
      <c r="K749" t="s">
        <v>46</v>
      </c>
      <c r="L749" s="2">
        <v>2</v>
      </c>
      <c r="M749" s="2">
        <v>4</v>
      </c>
      <c r="N749" t="s">
        <v>41</v>
      </c>
      <c r="O749" s="2">
        <v>6861</v>
      </c>
      <c r="P749" s="2">
        <v>4981</v>
      </c>
      <c r="Q749" s="2">
        <v>8</v>
      </c>
      <c r="R749" t="s">
        <v>35</v>
      </c>
      <c r="S749" s="2">
        <v>3</v>
      </c>
      <c r="T749" s="2">
        <v>3</v>
      </c>
      <c r="U749">
        <v>80</v>
      </c>
      <c r="V749" s="2">
        <v>19</v>
      </c>
      <c r="W749">
        <v>1</v>
      </c>
      <c r="X749">
        <v>3</v>
      </c>
      <c r="Y749">
        <v>1</v>
      </c>
      <c r="Z749">
        <v>0</v>
      </c>
      <c r="AA749">
        <v>0</v>
      </c>
      <c r="AB749">
        <v>0</v>
      </c>
    </row>
    <row r="750" spans="1:28" x14ac:dyDescent="0.35">
      <c r="A750" s="2">
        <v>26</v>
      </c>
      <c r="B750" s="2" t="str" cm="1">
        <f t="array" ref="B750">_xlfn.IFS(HR_table[[#This Row],[Age]]&lt;=20, "Under 20yrs",HR_table[[#This Row],[Age]]&lt;=30,"(21-30)yrs",HR_table[[#This Row],[Age]]&lt;=40,"(31-40)yrs",HR_table[[#This Row],[Age]]&lt;=50,"(41-50)yrs",HR_table[[#This Row],[Age]]&lt;=60,"(51-60)yrs")</f>
        <v>(21-30)yrs</v>
      </c>
      <c r="C750" t="s">
        <v>35</v>
      </c>
      <c r="D750" t="s">
        <v>55</v>
      </c>
      <c r="E750" t="s">
        <v>37</v>
      </c>
      <c r="F750" t="s">
        <v>51</v>
      </c>
      <c r="G750" t="s">
        <v>40</v>
      </c>
      <c r="H750">
        <v>1037</v>
      </c>
      <c r="I750" s="2">
        <v>29</v>
      </c>
      <c r="J750" s="2">
        <v>2</v>
      </c>
      <c r="K750" t="s">
        <v>46</v>
      </c>
      <c r="L750" s="2">
        <v>2</v>
      </c>
      <c r="M750" s="2">
        <v>1</v>
      </c>
      <c r="N750" t="s">
        <v>41</v>
      </c>
      <c r="O750" s="2">
        <v>4969</v>
      </c>
      <c r="P750" s="2">
        <v>21813</v>
      </c>
      <c r="Q750" s="2">
        <v>8</v>
      </c>
      <c r="R750" t="s">
        <v>43</v>
      </c>
      <c r="S750" s="2">
        <v>3</v>
      </c>
      <c r="T750" s="2">
        <v>4</v>
      </c>
      <c r="U750">
        <v>80</v>
      </c>
      <c r="V750" s="2">
        <v>7</v>
      </c>
      <c r="W750">
        <v>6</v>
      </c>
      <c r="X750">
        <v>3</v>
      </c>
      <c r="Y750">
        <v>2</v>
      </c>
      <c r="Z750">
        <v>2</v>
      </c>
      <c r="AA750">
        <v>2</v>
      </c>
      <c r="AB750">
        <v>2</v>
      </c>
    </row>
    <row r="751" spans="1:28" x14ac:dyDescent="0.35">
      <c r="A751" s="2">
        <v>52</v>
      </c>
      <c r="B751" s="2" t="str" cm="1">
        <f t="array" ref="B751">_xlfn.IFS(HR_table[[#This Row],[Age]]&lt;=20, "Under 20yrs",HR_table[[#This Row],[Age]]&lt;=30,"(21-30)yrs",HR_table[[#This Row],[Age]]&lt;=40,"(31-40)yrs",HR_table[[#This Row],[Age]]&lt;=50,"(41-50)yrs",HR_table[[#This Row],[Age]]&lt;=60,"(51-60)yrs")</f>
        <v>(51-60)yrs</v>
      </c>
      <c r="C751" t="s">
        <v>35</v>
      </c>
      <c r="D751" t="s">
        <v>36</v>
      </c>
      <c r="E751" t="s">
        <v>37</v>
      </c>
      <c r="F751" t="s">
        <v>59</v>
      </c>
      <c r="G751" t="s">
        <v>56</v>
      </c>
      <c r="H751">
        <v>1038</v>
      </c>
      <c r="I751" s="2">
        <v>2</v>
      </c>
      <c r="J751" s="2">
        <v>1</v>
      </c>
      <c r="K751" t="s">
        <v>39</v>
      </c>
      <c r="L751" s="2">
        <v>5</v>
      </c>
      <c r="M751" s="2">
        <v>4</v>
      </c>
      <c r="N751" t="s">
        <v>48</v>
      </c>
      <c r="O751" s="2">
        <v>19845</v>
      </c>
      <c r="P751" s="2">
        <v>25846</v>
      </c>
      <c r="Q751" s="2">
        <v>1</v>
      </c>
      <c r="R751" t="s">
        <v>43</v>
      </c>
      <c r="S751" s="2">
        <v>3</v>
      </c>
      <c r="T751" s="2">
        <v>4</v>
      </c>
      <c r="U751">
        <v>80</v>
      </c>
      <c r="V751" s="2">
        <v>33</v>
      </c>
      <c r="W751">
        <v>3</v>
      </c>
      <c r="X751">
        <v>3</v>
      </c>
      <c r="Y751">
        <v>32</v>
      </c>
      <c r="Z751">
        <v>14</v>
      </c>
      <c r="AA751">
        <v>6</v>
      </c>
      <c r="AB751">
        <v>9</v>
      </c>
    </row>
    <row r="752" spans="1:28" x14ac:dyDescent="0.35">
      <c r="A752" s="2">
        <v>44</v>
      </c>
      <c r="B752" s="2" t="str" cm="1">
        <f t="array" ref="B752">_xlfn.IFS(HR_table[[#This Row],[Age]]&lt;=20, "Under 20yrs",HR_table[[#This Row],[Age]]&lt;=30,"(21-30)yrs",HR_table[[#This Row],[Age]]&lt;=40,"(31-40)yrs",HR_table[[#This Row],[Age]]&lt;=50,"(41-50)yrs",HR_table[[#This Row],[Age]]&lt;=60,"(51-60)yrs")</f>
        <v>(41-50)yrs</v>
      </c>
      <c r="C752" t="s">
        <v>43</v>
      </c>
      <c r="D752" t="s">
        <v>36</v>
      </c>
      <c r="E752" t="s">
        <v>37</v>
      </c>
      <c r="F752" t="s">
        <v>51</v>
      </c>
      <c r="G752" t="s">
        <v>40</v>
      </c>
      <c r="H752">
        <v>1039</v>
      </c>
      <c r="I752" s="2">
        <v>28</v>
      </c>
      <c r="J752" s="2">
        <v>4</v>
      </c>
      <c r="K752" t="s">
        <v>39</v>
      </c>
      <c r="L752" s="2">
        <v>4</v>
      </c>
      <c r="M752" s="2">
        <v>4</v>
      </c>
      <c r="N752" t="s">
        <v>48</v>
      </c>
      <c r="O752" s="2">
        <v>13320</v>
      </c>
      <c r="P752" s="2">
        <v>11737</v>
      </c>
      <c r="Q752" s="2">
        <v>3</v>
      </c>
      <c r="R752" t="s">
        <v>35</v>
      </c>
      <c r="S752" s="2">
        <v>3</v>
      </c>
      <c r="T752" s="2">
        <v>3</v>
      </c>
      <c r="U752">
        <v>80</v>
      </c>
      <c r="V752" s="2">
        <v>23</v>
      </c>
      <c r="W752">
        <v>2</v>
      </c>
      <c r="X752">
        <v>3</v>
      </c>
      <c r="Y752">
        <v>12</v>
      </c>
      <c r="Z752">
        <v>11</v>
      </c>
      <c r="AA752">
        <v>11</v>
      </c>
      <c r="AB752">
        <v>11</v>
      </c>
    </row>
    <row r="753" spans="1:28" x14ac:dyDescent="0.35">
      <c r="A753" s="2">
        <v>50</v>
      </c>
      <c r="B753" s="2" t="str" cm="1">
        <f t="array" ref="B753">_xlfn.IFS(HR_table[[#This Row],[Age]]&lt;=20, "Under 20yrs",HR_table[[#This Row],[Age]]&lt;=30,"(21-30)yrs",HR_table[[#This Row],[Age]]&lt;=40,"(31-40)yrs",HR_table[[#This Row],[Age]]&lt;=50,"(41-50)yrs",HR_table[[#This Row],[Age]]&lt;=60,"(51-60)yrs")</f>
        <v>(41-50)yrs</v>
      </c>
      <c r="C753" t="s">
        <v>43</v>
      </c>
      <c r="D753" t="s">
        <v>55</v>
      </c>
      <c r="E753" t="s">
        <v>37</v>
      </c>
      <c r="F753" t="s">
        <v>38</v>
      </c>
      <c r="G753" t="s">
        <v>40</v>
      </c>
      <c r="H753">
        <v>1040</v>
      </c>
      <c r="I753" s="2">
        <v>1</v>
      </c>
      <c r="J753" s="2">
        <v>4</v>
      </c>
      <c r="K753" t="s">
        <v>39</v>
      </c>
      <c r="L753" s="2">
        <v>2</v>
      </c>
      <c r="M753" s="2">
        <v>3</v>
      </c>
      <c r="N753" t="s">
        <v>48</v>
      </c>
      <c r="O753" s="2">
        <v>6347</v>
      </c>
      <c r="P753" s="2">
        <v>24920</v>
      </c>
      <c r="Q753" s="2">
        <v>0</v>
      </c>
      <c r="R753" t="s">
        <v>43</v>
      </c>
      <c r="S753" s="2">
        <v>3</v>
      </c>
      <c r="T753" s="2">
        <v>1</v>
      </c>
      <c r="U753">
        <v>80</v>
      </c>
      <c r="V753" s="2">
        <v>19</v>
      </c>
      <c r="W753">
        <v>3</v>
      </c>
      <c r="X753">
        <v>3</v>
      </c>
      <c r="Y753">
        <v>18</v>
      </c>
      <c r="Z753">
        <v>7</v>
      </c>
      <c r="AA753">
        <v>0</v>
      </c>
      <c r="AB753">
        <v>13</v>
      </c>
    </row>
    <row r="754" spans="1:28" x14ac:dyDescent="0.35">
      <c r="A754" s="2">
        <v>36</v>
      </c>
      <c r="B754" s="2" t="str" cm="1">
        <f t="array" ref="B754">_xlfn.IFS(HR_table[[#This Row],[Age]]&lt;=20, "Under 20yrs",HR_table[[#This Row],[Age]]&lt;=30,"(21-30)yrs",HR_table[[#This Row],[Age]]&lt;=40,"(31-40)yrs",HR_table[[#This Row],[Age]]&lt;=50,"(41-50)yrs",HR_table[[#This Row],[Age]]&lt;=60,"(51-60)yrs")</f>
        <v>(31-40)yrs</v>
      </c>
      <c r="C754" t="s">
        <v>35</v>
      </c>
      <c r="D754" t="s">
        <v>36</v>
      </c>
      <c r="E754" t="s">
        <v>45</v>
      </c>
      <c r="F754" t="s">
        <v>38</v>
      </c>
      <c r="G754" t="s">
        <v>50</v>
      </c>
      <c r="H754">
        <v>1042</v>
      </c>
      <c r="I754" s="2">
        <v>16</v>
      </c>
      <c r="J754" s="2">
        <v>3</v>
      </c>
      <c r="K754" t="s">
        <v>39</v>
      </c>
      <c r="L754" s="2">
        <v>1</v>
      </c>
      <c r="M754" s="2">
        <v>1</v>
      </c>
      <c r="N754" t="s">
        <v>41</v>
      </c>
      <c r="O754" s="2">
        <v>2743</v>
      </c>
      <c r="P754" s="2">
        <v>8269</v>
      </c>
      <c r="Q754" s="2">
        <v>1</v>
      </c>
      <c r="R754" t="s">
        <v>43</v>
      </c>
      <c r="S754" s="2">
        <v>3</v>
      </c>
      <c r="T754" s="2">
        <v>3</v>
      </c>
      <c r="U754">
        <v>80</v>
      </c>
      <c r="V754" s="2">
        <v>18</v>
      </c>
      <c r="W754">
        <v>1</v>
      </c>
      <c r="X754">
        <v>3</v>
      </c>
      <c r="Y754">
        <v>17</v>
      </c>
      <c r="Z754">
        <v>13</v>
      </c>
      <c r="AA754">
        <v>15</v>
      </c>
      <c r="AB754">
        <v>14</v>
      </c>
    </row>
    <row r="755" spans="1:28" x14ac:dyDescent="0.35">
      <c r="A755" s="2">
        <v>39</v>
      </c>
      <c r="B755" s="2" t="str" cm="1">
        <f t="array" ref="B755">_xlfn.IFS(HR_table[[#This Row],[Age]]&lt;=20, "Under 20yrs",HR_table[[#This Row],[Age]]&lt;=30,"(21-30)yrs",HR_table[[#This Row],[Age]]&lt;=40,"(31-40)yrs",HR_table[[#This Row],[Age]]&lt;=50,"(41-50)yrs",HR_table[[#This Row],[Age]]&lt;=60,"(51-60)yrs")</f>
        <v>(31-40)yrs</v>
      </c>
      <c r="C755" t="s">
        <v>43</v>
      </c>
      <c r="D755" t="s">
        <v>44</v>
      </c>
      <c r="E755" t="s">
        <v>45</v>
      </c>
      <c r="F755" t="s">
        <v>51</v>
      </c>
      <c r="G755" t="s">
        <v>53</v>
      </c>
      <c r="H755">
        <v>1043</v>
      </c>
      <c r="I755" s="2">
        <v>22</v>
      </c>
      <c r="J755" s="2">
        <v>4</v>
      </c>
      <c r="K755" t="s">
        <v>39</v>
      </c>
      <c r="L755" s="2">
        <v>3</v>
      </c>
      <c r="M755" s="2">
        <v>1</v>
      </c>
      <c r="N755" t="s">
        <v>41</v>
      </c>
      <c r="O755" s="2">
        <v>10880</v>
      </c>
      <c r="P755" s="2">
        <v>5083</v>
      </c>
      <c r="Q755" s="2">
        <v>1</v>
      </c>
      <c r="R755" t="s">
        <v>35</v>
      </c>
      <c r="S755" s="2">
        <v>3</v>
      </c>
      <c r="T755" s="2">
        <v>3</v>
      </c>
      <c r="U755">
        <v>80</v>
      </c>
      <c r="V755" s="2">
        <v>21</v>
      </c>
      <c r="W755">
        <v>2</v>
      </c>
      <c r="X755">
        <v>3</v>
      </c>
      <c r="Y755">
        <v>21</v>
      </c>
      <c r="Z755">
        <v>6</v>
      </c>
      <c r="AA755">
        <v>2</v>
      </c>
      <c r="AB755">
        <v>8</v>
      </c>
    </row>
    <row r="756" spans="1:28" x14ac:dyDescent="0.35">
      <c r="A756" s="2">
        <v>33</v>
      </c>
      <c r="B756" s="2" t="str" cm="1">
        <f t="array" ref="B756">_xlfn.IFS(HR_table[[#This Row],[Age]]&lt;=20, "Under 20yrs",HR_table[[#This Row],[Age]]&lt;=30,"(21-30)yrs",HR_table[[#This Row],[Age]]&lt;=40,"(31-40)yrs",HR_table[[#This Row],[Age]]&lt;=50,"(41-50)yrs",HR_table[[#This Row],[Age]]&lt;=60,"(51-60)yrs")</f>
        <v>(31-40)yrs</v>
      </c>
      <c r="C756" t="s">
        <v>43</v>
      </c>
      <c r="D756" t="s">
        <v>55</v>
      </c>
      <c r="E756" t="s">
        <v>37</v>
      </c>
      <c r="F756" t="s">
        <v>38</v>
      </c>
      <c r="G756" t="s">
        <v>57</v>
      </c>
      <c r="H756">
        <v>1044</v>
      </c>
      <c r="I756" s="2">
        <v>8</v>
      </c>
      <c r="J756" s="2">
        <v>2</v>
      </c>
      <c r="K756" t="s">
        <v>39</v>
      </c>
      <c r="L756" s="2">
        <v>1</v>
      </c>
      <c r="M756" s="2">
        <v>4</v>
      </c>
      <c r="N756" t="s">
        <v>41</v>
      </c>
      <c r="O756" s="2">
        <v>2342</v>
      </c>
      <c r="P756" s="2">
        <v>21437</v>
      </c>
      <c r="Q756" s="2">
        <v>0</v>
      </c>
      <c r="R756" t="s">
        <v>43</v>
      </c>
      <c r="S756" s="2">
        <v>3</v>
      </c>
      <c r="T756" s="2">
        <v>4</v>
      </c>
      <c r="U756">
        <v>80</v>
      </c>
      <c r="V756" s="2">
        <v>3</v>
      </c>
      <c r="W756">
        <v>2</v>
      </c>
      <c r="X756">
        <v>2</v>
      </c>
      <c r="Y756">
        <v>2</v>
      </c>
      <c r="Z756">
        <v>2</v>
      </c>
      <c r="AA756">
        <v>2</v>
      </c>
      <c r="AB756">
        <v>2</v>
      </c>
    </row>
    <row r="757" spans="1:28" x14ac:dyDescent="0.35">
      <c r="A757" s="2">
        <v>45</v>
      </c>
      <c r="B757" s="2" t="str" cm="1">
        <f t="array" ref="B757">_xlfn.IFS(HR_table[[#This Row],[Age]]&lt;=20, "Under 20yrs",HR_table[[#This Row],[Age]]&lt;=30,"(21-30)yrs",HR_table[[#This Row],[Age]]&lt;=40,"(31-40)yrs",HR_table[[#This Row],[Age]]&lt;=50,"(41-50)yrs",HR_table[[#This Row],[Age]]&lt;=60,"(51-60)yrs")</f>
        <v>(41-50)yrs</v>
      </c>
      <c r="C757" t="s">
        <v>43</v>
      </c>
      <c r="D757" t="s">
        <v>36</v>
      </c>
      <c r="E757" t="s">
        <v>37</v>
      </c>
      <c r="F757" t="s">
        <v>38</v>
      </c>
      <c r="G757" t="s">
        <v>56</v>
      </c>
      <c r="H757">
        <v>1045</v>
      </c>
      <c r="I757" s="2">
        <v>11</v>
      </c>
      <c r="J757" s="2">
        <v>4</v>
      </c>
      <c r="K757" t="s">
        <v>39</v>
      </c>
      <c r="L757" s="2">
        <v>4</v>
      </c>
      <c r="M757" s="2">
        <v>4</v>
      </c>
      <c r="N757" t="s">
        <v>48</v>
      </c>
      <c r="O757" s="2">
        <v>17650</v>
      </c>
      <c r="P757" s="2">
        <v>5404</v>
      </c>
      <c r="Q757" s="2">
        <v>3</v>
      </c>
      <c r="R757" t="s">
        <v>43</v>
      </c>
      <c r="S757" s="2">
        <v>3</v>
      </c>
      <c r="T757" s="2">
        <v>2</v>
      </c>
      <c r="U757">
        <v>80</v>
      </c>
      <c r="V757" s="2">
        <v>26</v>
      </c>
      <c r="W757">
        <v>4</v>
      </c>
      <c r="X757">
        <v>4</v>
      </c>
      <c r="Y757">
        <v>9</v>
      </c>
      <c r="Z757">
        <v>3</v>
      </c>
      <c r="AA757">
        <v>1</v>
      </c>
      <c r="AB757">
        <v>1</v>
      </c>
    </row>
    <row r="758" spans="1:28" x14ac:dyDescent="0.35">
      <c r="A758" s="2">
        <v>32</v>
      </c>
      <c r="B758" s="2" t="str" cm="1">
        <f t="array" ref="B758">_xlfn.IFS(HR_table[[#This Row],[Age]]&lt;=20, "Under 20yrs",HR_table[[#This Row],[Age]]&lt;=30,"(21-30)yrs",HR_table[[#This Row],[Age]]&lt;=40,"(31-40)yrs",HR_table[[#This Row],[Age]]&lt;=50,"(41-50)yrs",HR_table[[#This Row],[Age]]&lt;=60,"(51-60)yrs")</f>
        <v>(31-40)yrs</v>
      </c>
      <c r="C758" t="s">
        <v>43</v>
      </c>
      <c r="D758" t="s">
        <v>55</v>
      </c>
      <c r="E758" t="s">
        <v>45</v>
      </c>
      <c r="F758" t="s">
        <v>51</v>
      </c>
      <c r="G758" t="s">
        <v>50</v>
      </c>
      <c r="H758">
        <v>1046</v>
      </c>
      <c r="I758" s="2">
        <v>29</v>
      </c>
      <c r="J758" s="2">
        <v>4</v>
      </c>
      <c r="K758" t="s">
        <v>39</v>
      </c>
      <c r="L758" s="2">
        <v>1</v>
      </c>
      <c r="M758" s="2">
        <v>3</v>
      </c>
      <c r="N758" t="s">
        <v>41</v>
      </c>
      <c r="O758" s="2">
        <v>4025</v>
      </c>
      <c r="P758" s="2">
        <v>11135</v>
      </c>
      <c r="Q758" s="2">
        <v>9</v>
      </c>
      <c r="R758" t="s">
        <v>43</v>
      </c>
      <c r="S758" s="2">
        <v>3</v>
      </c>
      <c r="T758" s="2">
        <v>2</v>
      </c>
      <c r="U758">
        <v>80</v>
      </c>
      <c r="V758" s="2">
        <v>10</v>
      </c>
      <c r="W758">
        <v>2</v>
      </c>
      <c r="X758">
        <v>3</v>
      </c>
      <c r="Y758">
        <v>8</v>
      </c>
      <c r="Z758">
        <v>7</v>
      </c>
      <c r="AA758">
        <v>7</v>
      </c>
      <c r="AB758">
        <v>7</v>
      </c>
    </row>
    <row r="759" spans="1:28" x14ac:dyDescent="0.35">
      <c r="A759" s="2">
        <v>34</v>
      </c>
      <c r="B759" s="2" t="str" cm="1">
        <f t="array" ref="B759">_xlfn.IFS(HR_table[[#This Row],[Age]]&lt;=20, "Under 20yrs",HR_table[[#This Row],[Age]]&lt;=30,"(21-30)yrs",HR_table[[#This Row],[Age]]&lt;=40,"(31-40)yrs",HR_table[[#This Row],[Age]]&lt;=50,"(41-50)yrs",HR_table[[#This Row],[Age]]&lt;=60,"(51-60)yrs")</f>
        <v>(31-40)yrs</v>
      </c>
      <c r="C759" t="s">
        <v>43</v>
      </c>
      <c r="D759" t="s">
        <v>36</v>
      </c>
      <c r="E759" t="s">
        <v>37</v>
      </c>
      <c r="F759" t="s">
        <v>59</v>
      </c>
      <c r="G759" t="s">
        <v>40</v>
      </c>
      <c r="H759">
        <v>1047</v>
      </c>
      <c r="I759" s="2">
        <v>1</v>
      </c>
      <c r="J759" s="2">
        <v>2</v>
      </c>
      <c r="K759" t="s">
        <v>46</v>
      </c>
      <c r="L759" s="2">
        <v>2</v>
      </c>
      <c r="M759" s="2">
        <v>4</v>
      </c>
      <c r="N759" t="s">
        <v>52</v>
      </c>
      <c r="O759" s="2">
        <v>9725</v>
      </c>
      <c r="P759" s="2">
        <v>12278</v>
      </c>
      <c r="Q759" s="2">
        <v>0</v>
      </c>
      <c r="R759" t="s">
        <v>43</v>
      </c>
      <c r="S759" s="2">
        <v>3</v>
      </c>
      <c r="T759" s="2">
        <v>4</v>
      </c>
      <c r="U759">
        <v>80</v>
      </c>
      <c r="V759" s="2">
        <v>16</v>
      </c>
      <c r="W759">
        <v>2</v>
      </c>
      <c r="X759">
        <v>2</v>
      </c>
      <c r="Y759">
        <v>15</v>
      </c>
      <c r="Z759">
        <v>1</v>
      </c>
      <c r="AA759">
        <v>0</v>
      </c>
      <c r="AB759">
        <v>9</v>
      </c>
    </row>
    <row r="760" spans="1:28" x14ac:dyDescent="0.35">
      <c r="A760" s="2">
        <v>59</v>
      </c>
      <c r="B760" s="2" t="str" cm="1">
        <f t="array" ref="B760">_xlfn.IFS(HR_table[[#This Row],[Age]]&lt;=20, "Under 20yrs",HR_table[[#This Row],[Age]]&lt;=30,"(21-30)yrs",HR_table[[#This Row],[Age]]&lt;=40,"(31-40)yrs",HR_table[[#This Row],[Age]]&lt;=50,"(41-50)yrs",HR_table[[#This Row],[Age]]&lt;=60,"(51-60)yrs")</f>
        <v>(51-60)yrs</v>
      </c>
      <c r="C760" t="s">
        <v>43</v>
      </c>
      <c r="D760" t="s">
        <v>36</v>
      </c>
      <c r="E760" t="s">
        <v>37</v>
      </c>
      <c r="F760" t="s">
        <v>60</v>
      </c>
      <c r="G760" t="s">
        <v>56</v>
      </c>
      <c r="H760">
        <v>1048</v>
      </c>
      <c r="I760" s="2">
        <v>1</v>
      </c>
      <c r="J760" s="2">
        <v>2</v>
      </c>
      <c r="K760" t="s">
        <v>46</v>
      </c>
      <c r="L760" s="2">
        <v>3</v>
      </c>
      <c r="M760" s="2">
        <v>4</v>
      </c>
      <c r="N760" t="s">
        <v>48</v>
      </c>
      <c r="O760" s="2">
        <v>11904</v>
      </c>
      <c r="P760" s="2">
        <v>11038</v>
      </c>
      <c r="Q760" s="2">
        <v>3</v>
      </c>
      <c r="R760" t="s">
        <v>35</v>
      </c>
      <c r="S760" s="2">
        <v>3</v>
      </c>
      <c r="T760" s="2">
        <v>3</v>
      </c>
      <c r="U760">
        <v>80</v>
      </c>
      <c r="V760" s="2">
        <v>14</v>
      </c>
      <c r="W760">
        <v>1</v>
      </c>
      <c r="X760">
        <v>1</v>
      </c>
      <c r="Y760">
        <v>6</v>
      </c>
      <c r="Z760">
        <v>4</v>
      </c>
      <c r="AA760">
        <v>0</v>
      </c>
      <c r="AB760">
        <v>4</v>
      </c>
    </row>
    <row r="761" spans="1:28" x14ac:dyDescent="0.35">
      <c r="A761" s="2">
        <v>45</v>
      </c>
      <c r="B761" s="2" t="str" cm="1">
        <f t="array" ref="B761">_xlfn.IFS(HR_table[[#This Row],[Age]]&lt;=20, "Under 20yrs",HR_table[[#This Row],[Age]]&lt;=30,"(21-30)yrs",HR_table[[#This Row],[Age]]&lt;=40,"(31-40)yrs",HR_table[[#This Row],[Age]]&lt;=50,"(41-50)yrs",HR_table[[#This Row],[Age]]&lt;=60,"(51-60)yrs")</f>
        <v>(41-50)yrs</v>
      </c>
      <c r="C761" t="s">
        <v>43</v>
      </c>
      <c r="D761" t="s">
        <v>36</v>
      </c>
      <c r="E761" t="s">
        <v>61</v>
      </c>
      <c r="F761" t="s">
        <v>51</v>
      </c>
      <c r="G761" t="s">
        <v>61</v>
      </c>
      <c r="H761">
        <v>1049</v>
      </c>
      <c r="I761" s="2">
        <v>24</v>
      </c>
      <c r="J761" s="2">
        <v>2</v>
      </c>
      <c r="K761" t="s">
        <v>46</v>
      </c>
      <c r="L761" s="2">
        <v>1</v>
      </c>
      <c r="M761" s="2">
        <v>2</v>
      </c>
      <c r="N761" t="s">
        <v>41</v>
      </c>
      <c r="O761" s="2">
        <v>2177</v>
      </c>
      <c r="P761" s="2">
        <v>8318</v>
      </c>
      <c r="Q761" s="2">
        <v>1</v>
      </c>
      <c r="R761" t="s">
        <v>43</v>
      </c>
      <c r="S761" s="2">
        <v>3</v>
      </c>
      <c r="T761" s="2">
        <v>1</v>
      </c>
      <c r="U761">
        <v>80</v>
      </c>
      <c r="V761" s="2">
        <v>6</v>
      </c>
      <c r="W761">
        <v>3</v>
      </c>
      <c r="X761">
        <v>3</v>
      </c>
      <c r="Y761">
        <v>6</v>
      </c>
      <c r="Z761">
        <v>3</v>
      </c>
      <c r="AA761">
        <v>0</v>
      </c>
      <c r="AB761">
        <v>4</v>
      </c>
    </row>
    <row r="762" spans="1:28" x14ac:dyDescent="0.35">
      <c r="A762" s="2">
        <v>53</v>
      </c>
      <c r="B762" s="2" t="str" cm="1">
        <f t="array" ref="B762">_xlfn.IFS(HR_table[[#This Row],[Age]]&lt;=20, "Under 20yrs",HR_table[[#This Row],[Age]]&lt;=30,"(21-30)yrs",HR_table[[#This Row],[Age]]&lt;=40,"(31-40)yrs",HR_table[[#This Row],[Age]]&lt;=50,"(41-50)yrs",HR_table[[#This Row],[Age]]&lt;=60,"(51-60)yrs")</f>
        <v>(51-60)yrs</v>
      </c>
      <c r="C762" t="s">
        <v>43</v>
      </c>
      <c r="D762" t="s">
        <v>44</v>
      </c>
      <c r="E762" t="s">
        <v>37</v>
      </c>
      <c r="F762" t="s">
        <v>59</v>
      </c>
      <c r="G762" t="s">
        <v>40</v>
      </c>
      <c r="H762">
        <v>1050</v>
      </c>
      <c r="I762" s="2">
        <v>2</v>
      </c>
      <c r="J762" s="2">
        <v>3</v>
      </c>
      <c r="K762" t="s">
        <v>39</v>
      </c>
      <c r="L762" s="2">
        <v>3</v>
      </c>
      <c r="M762" s="2">
        <v>2</v>
      </c>
      <c r="N762" t="s">
        <v>48</v>
      </c>
      <c r="O762" s="2">
        <v>7525</v>
      </c>
      <c r="P762" s="2">
        <v>23537</v>
      </c>
      <c r="Q762" s="2">
        <v>2</v>
      </c>
      <c r="R762" t="s">
        <v>43</v>
      </c>
      <c r="S762" s="2">
        <v>3</v>
      </c>
      <c r="T762" s="2">
        <v>1</v>
      </c>
      <c r="U762">
        <v>80</v>
      </c>
      <c r="V762" s="2">
        <v>30</v>
      </c>
      <c r="W762">
        <v>2</v>
      </c>
      <c r="X762">
        <v>3</v>
      </c>
      <c r="Y762">
        <v>15</v>
      </c>
      <c r="Z762">
        <v>7</v>
      </c>
      <c r="AA762">
        <v>6</v>
      </c>
      <c r="AB762">
        <v>12</v>
      </c>
    </row>
    <row r="763" spans="1:28" x14ac:dyDescent="0.35">
      <c r="A763" s="2">
        <v>36</v>
      </c>
      <c r="B763" s="2" t="str" cm="1">
        <f t="array" ref="B763">_xlfn.IFS(HR_table[[#This Row],[Age]]&lt;=20, "Under 20yrs",HR_table[[#This Row],[Age]]&lt;=30,"(21-30)yrs",HR_table[[#This Row],[Age]]&lt;=40,"(31-40)yrs",HR_table[[#This Row],[Age]]&lt;=50,"(41-50)yrs",HR_table[[#This Row],[Age]]&lt;=60,"(51-60)yrs")</f>
        <v>(31-40)yrs</v>
      </c>
      <c r="C763" t="s">
        <v>35</v>
      </c>
      <c r="D763" t="s">
        <v>36</v>
      </c>
      <c r="E763" t="s">
        <v>45</v>
      </c>
      <c r="F763" t="s">
        <v>49</v>
      </c>
      <c r="G763" t="s">
        <v>50</v>
      </c>
      <c r="H763">
        <v>1052</v>
      </c>
      <c r="I763" s="2">
        <v>15</v>
      </c>
      <c r="J763" s="2">
        <v>1</v>
      </c>
      <c r="K763" t="s">
        <v>46</v>
      </c>
      <c r="L763" s="2">
        <v>2</v>
      </c>
      <c r="M763" s="2">
        <v>3</v>
      </c>
      <c r="N763" t="s">
        <v>52</v>
      </c>
      <c r="O763" s="2">
        <v>4834</v>
      </c>
      <c r="P763" s="2">
        <v>7858</v>
      </c>
      <c r="Q763" s="2">
        <v>7</v>
      </c>
      <c r="R763" t="s">
        <v>43</v>
      </c>
      <c r="S763" s="2">
        <v>3</v>
      </c>
      <c r="T763" s="2">
        <v>2</v>
      </c>
      <c r="U763">
        <v>80</v>
      </c>
      <c r="V763" s="2">
        <v>9</v>
      </c>
      <c r="W763">
        <v>3</v>
      </c>
      <c r="X763">
        <v>2</v>
      </c>
      <c r="Y763">
        <v>1</v>
      </c>
      <c r="Z763">
        <v>0</v>
      </c>
      <c r="AA763">
        <v>0</v>
      </c>
      <c r="AB763">
        <v>0</v>
      </c>
    </row>
    <row r="764" spans="1:28" x14ac:dyDescent="0.35">
      <c r="A764" s="2">
        <v>26</v>
      </c>
      <c r="B764" s="2" t="str" cm="1">
        <f t="array" ref="B764">_xlfn.IFS(HR_table[[#This Row],[Age]]&lt;=20, "Under 20yrs",HR_table[[#This Row],[Age]]&lt;=30,"(21-30)yrs",HR_table[[#This Row],[Age]]&lt;=40,"(31-40)yrs",HR_table[[#This Row],[Age]]&lt;=50,"(41-50)yrs",HR_table[[#This Row],[Age]]&lt;=60,"(51-60)yrs")</f>
        <v>(21-30)yrs</v>
      </c>
      <c r="C764" t="s">
        <v>35</v>
      </c>
      <c r="D764" t="s">
        <v>44</v>
      </c>
      <c r="E764" t="s">
        <v>45</v>
      </c>
      <c r="F764" t="s">
        <v>38</v>
      </c>
      <c r="G764" t="s">
        <v>47</v>
      </c>
      <c r="H764">
        <v>1053</v>
      </c>
      <c r="I764" s="2">
        <v>2</v>
      </c>
      <c r="J764" s="2">
        <v>1</v>
      </c>
      <c r="K764" t="s">
        <v>46</v>
      </c>
      <c r="L764" s="2">
        <v>1</v>
      </c>
      <c r="M764" s="2">
        <v>1</v>
      </c>
      <c r="N764" t="s">
        <v>48</v>
      </c>
      <c r="O764" s="2">
        <v>2042</v>
      </c>
      <c r="P764" s="2">
        <v>15346</v>
      </c>
      <c r="Q764" s="2">
        <v>6</v>
      </c>
      <c r="R764" t="s">
        <v>35</v>
      </c>
      <c r="S764" s="2">
        <v>3</v>
      </c>
      <c r="T764" s="2">
        <v>2</v>
      </c>
      <c r="U764">
        <v>80</v>
      </c>
      <c r="V764" s="2">
        <v>6</v>
      </c>
      <c r="W764">
        <v>2</v>
      </c>
      <c r="X764">
        <v>3</v>
      </c>
      <c r="Y764">
        <v>3</v>
      </c>
      <c r="Z764">
        <v>2</v>
      </c>
      <c r="AA764">
        <v>1</v>
      </c>
      <c r="AB764">
        <v>2</v>
      </c>
    </row>
    <row r="765" spans="1:28" x14ac:dyDescent="0.35">
      <c r="A765" s="2">
        <v>34</v>
      </c>
      <c r="B765" s="2" t="str" cm="1">
        <f t="array" ref="B765">_xlfn.IFS(HR_table[[#This Row],[Age]]&lt;=20, "Under 20yrs",HR_table[[#This Row],[Age]]&lt;=30,"(21-30)yrs",HR_table[[#This Row],[Age]]&lt;=40,"(31-40)yrs",HR_table[[#This Row],[Age]]&lt;=50,"(41-50)yrs",HR_table[[#This Row],[Age]]&lt;=60,"(51-60)yrs")</f>
        <v>(31-40)yrs</v>
      </c>
      <c r="C765" t="s">
        <v>43</v>
      </c>
      <c r="D765" t="s">
        <v>36</v>
      </c>
      <c r="E765" t="s">
        <v>37</v>
      </c>
      <c r="F765" t="s">
        <v>38</v>
      </c>
      <c r="G765" t="s">
        <v>57</v>
      </c>
      <c r="H765">
        <v>1055</v>
      </c>
      <c r="I765" s="2">
        <v>10</v>
      </c>
      <c r="J765" s="2">
        <v>3</v>
      </c>
      <c r="K765" t="s">
        <v>39</v>
      </c>
      <c r="L765" s="2">
        <v>1</v>
      </c>
      <c r="M765" s="2">
        <v>3</v>
      </c>
      <c r="N765" t="s">
        <v>48</v>
      </c>
      <c r="O765" s="2">
        <v>2220</v>
      </c>
      <c r="P765" s="2">
        <v>18410</v>
      </c>
      <c r="Q765" s="2">
        <v>1</v>
      </c>
      <c r="R765" t="s">
        <v>35</v>
      </c>
      <c r="S765" s="2">
        <v>3</v>
      </c>
      <c r="T765" s="2">
        <v>4</v>
      </c>
      <c r="U765">
        <v>80</v>
      </c>
      <c r="V765" s="2">
        <v>1</v>
      </c>
      <c r="W765">
        <v>2</v>
      </c>
      <c r="X765">
        <v>3</v>
      </c>
      <c r="Y765">
        <v>1</v>
      </c>
      <c r="Z765">
        <v>1</v>
      </c>
      <c r="AA765">
        <v>0</v>
      </c>
      <c r="AB765">
        <v>0</v>
      </c>
    </row>
    <row r="766" spans="1:28" x14ac:dyDescent="0.35">
      <c r="A766" s="2">
        <v>28</v>
      </c>
      <c r="B766" s="2" t="str" cm="1">
        <f t="array" ref="B766">_xlfn.IFS(HR_table[[#This Row],[Age]]&lt;=20, "Under 20yrs",HR_table[[#This Row],[Age]]&lt;=30,"(21-30)yrs",HR_table[[#This Row],[Age]]&lt;=40,"(31-40)yrs",HR_table[[#This Row],[Age]]&lt;=50,"(41-50)yrs",HR_table[[#This Row],[Age]]&lt;=60,"(51-60)yrs")</f>
        <v>(21-30)yrs</v>
      </c>
      <c r="C766" t="s">
        <v>43</v>
      </c>
      <c r="D766" t="s">
        <v>36</v>
      </c>
      <c r="E766" t="s">
        <v>37</v>
      </c>
      <c r="F766" t="s">
        <v>51</v>
      </c>
      <c r="G766" t="s">
        <v>57</v>
      </c>
      <c r="H766">
        <v>1056</v>
      </c>
      <c r="I766" s="2">
        <v>10</v>
      </c>
      <c r="J766" s="2">
        <v>4</v>
      </c>
      <c r="K766" t="s">
        <v>46</v>
      </c>
      <c r="L766" s="2">
        <v>1</v>
      </c>
      <c r="M766" s="2">
        <v>2</v>
      </c>
      <c r="N766" t="s">
        <v>48</v>
      </c>
      <c r="O766" s="2">
        <v>1052</v>
      </c>
      <c r="P766" s="2">
        <v>23384</v>
      </c>
      <c r="Q766" s="2">
        <v>1</v>
      </c>
      <c r="R766" t="s">
        <v>43</v>
      </c>
      <c r="S766" s="2">
        <v>4</v>
      </c>
      <c r="T766" s="2">
        <v>2</v>
      </c>
      <c r="U766">
        <v>80</v>
      </c>
      <c r="V766" s="2">
        <v>1</v>
      </c>
      <c r="W766">
        <v>5</v>
      </c>
      <c r="X766">
        <v>3</v>
      </c>
      <c r="Y766">
        <v>1</v>
      </c>
      <c r="Z766">
        <v>0</v>
      </c>
      <c r="AA766">
        <v>0</v>
      </c>
      <c r="AB766">
        <v>0</v>
      </c>
    </row>
    <row r="767" spans="1:28" x14ac:dyDescent="0.35">
      <c r="A767" s="2">
        <v>38</v>
      </c>
      <c r="B767" s="2" t="str" cm="1">
        <f t="array" ref="B767">_xlfn.IFS(HR_table[[#This Row],[Age]]&lt;=20, "Under 20yrs",HR_table[[#This Row],[Age]]&lt;=30,"(21-30)yrs",HR_table[[#This Row],[Age]]&lt;=40,"(31-40)yrs",HR_table[[#This Row],[Age]]&lt;=50,"(41-50)yrs",HR_table[[#This Row],[Age]]&lt;=60,"(51-60)yrs")</f>
        <v>(31-40)yrs</v>
      </c>
      <c r="C767" t="s">
        <v>43</v>
      </c>
      <c r="D767" t="s">
        <v>44</v>
      </c>
      <c r="E767" t="s">
        <v>45</v>
      </c>
      <c r="F767" t="s">
        <v>49</v>
      </c>
      <c r="G767" t="s">
        <v>47</v>
      </c>
      <c r="H767">
        <v>1060</v>
      </c>
      <c r="I767" s="2">
        <v>3</v>
      </c>
      <c r="J767" s="2">
        <v>3</v>
      </c>
      <c r="K767" t="s">
        <v>46</v>
      </c>
      <c r="L767" s="2">
        <v>1</v>
      </c>
      <c r="M767" s="2">
        <v>3</v>
      </c>
      <c r="N767" t="s">
        <v>48</v>
      </c>
      <c r="O767" s="2">
        <v>2821</v>
      </c>
      <c r="P767" s="2">
        <v>2997</v>
      </c>
      <c r="Q767" s="2">
        <v>3</v>
      </c>
      <c r="R767" t="s">
        <v>43</v>
      </c>
      <c r="S767" s="2">
        <v>3</v>
      </c>
      <c r="T767" s="2">
        <v>1</v>
      </c>
      <c r="U767">
        <v>80</v>
      </c>
      <c r="V767" s="2">
        <v>8</v>
      </c>
      <c r="W767">
        <v>2</v>
      </c>
      <c r="X767">
        <v>3</v>
      </c>
      <c r="Y767">
        <v>2</v>
      </c>
      <c r="Z767">
        <v>2</v>
      </c>
      <c r="AA767">
        <v>2</v>
      </c>
      <c r="AB767">
        <v>2</v>
      </c>
    </row>
    <row r="768" spans="1:28" x14ac:dyDescent="0.35">
      <c r="A768" s="2">
        <v>50</v>
      </c>
      <c r="B768" s="2" t="str" cm="1">
        <f t="array" ref="B768">_xlfn.IFS(HR_table[[#This Row],[Age]]&lt;=20, "Under 20yrs",HR_table[[#This Row],[Age]]&lt;=30,"(21-30)yrs",HR_table[[#This Row],[Age]]&lt;=40,"(31-40)yrs",HR_table[[#This Row],[Age]]&lt;=50,"(41-50)yrs",HR_table[[#This Row],[Age]]&lt;=60,"(51-60)yrs")</f>
        <v>(41-50)yrs</v>
      </c>
      <c r="C768" t="s">
        <v>43</v>
      </c>
      <c r="D768" t="s">
        <v>36</v>
      </c>
      <c r="E768" t="s">
        <v>45</v>
      </c>
      <c r="F768" t="s">
        <v>51</v>
      </c>
      <c r="G768" t="s">
        <v>58</v>
      </c>
      <c r="H768">
        <v>1061</v>
      </c>
      <c r="I768" s="2">
        <v>2</v>
      </c>
      <c r="J768" s="2">
        <v>2</v>
      </c>
      <c r="K768" t="s">
        <v>46</v>
      </c>
      <c r="L768" s="2">
        <v>5</v>
      </c>
      <c r="M768" s="2">
        <v>3</v>
      </c>
      <c r="N768" t="s">
        <v>48</v>
      </c>
      <c r="O768" s="2">
        <v>19237</v>
      </c>
      <c r="P768" s="2">
        <v>12853</v>
      </c>
      <c r="Q768" s="2">
        <v>2</v>
      </c>
      <c r="R768" t="s">
        <v>35</v>
      </c>
      <c r="S768" s="2">
        <v>3</v>
      </c>
      <c r="T768" s="2">
        <v>4</v>
      </c>
      <c r="U768">
        <v>80</v>
      </c>
      <c r="V768" s="2">
        <v>29</v>
      </c>
      <c r="W768">
        <v>2</v>
      </c>
      <c r="X768">
        <v>2</v>
      </c>
      <c r="Y768">
        <v>8</v>
      </c>
      <c r="Z768">
        <v>1</v>
      </c>
      <c r="AA768">
        <v>7</v>
      </c>
      <c r="AB768">
        <v>7</v>
      </c>
    </row>
    <row r="769" spans="1:28" x14ac:dyDescent="0.35">
      <c r="A769" s="2">
        <v>37</v>
      </c>
      <c r="B769" s="2" t="str" cm="1">
        <f t="array" ref="B769">_xlfn.IFS(HR_table[[#This Row],[Age]]&lt;=20, "Under 20yrs",HR_table[[#This Row],[Age]]&lt;=30,"(21-30)yrs",HR_table[[#This Row],[Age]]&lt;=40,"(31-40)yrs",HR_table[[#This Row],[Age]]&lt;=50,"(41-50)yrs",HR_table[[#This Row],[Age]]&lt;=60,"(51-60)yrs")</f>
        <v>(31-40)yrs</v>
      </c>
      <c r="C769" t="s">
        <v>43</v>
      </c>
      <c r="D769" t="s">
        <v>36</v>
      </c>
      <c r="E769" t="s">
        <v>45</v>
      </c>
      <c r="F769" t="s">
        <v>49</v>
      </c>
      <c r="G769" t="s">
        <v>54</v>
      </c>
      <c r="H769">
        <v>1062</v>
      </c>
      <c r="I769" s="2">
        <v>3</v>
      </c>
      <c r="J769" s="2">
        <v>4</v>
      </c>
      <c r="K769" t="s">
        <v>39</v>
      </c>
      <c r="L769" s="2">
        <v>2</v>
      </c>
      <c r="M769" s="2">
        <v>2</v>
      </c>
      <c r="N769" t="s">
        <v>41</v>
      </c>
      <c r="O769" s="2">
        <v>4107</v>
      </c>
      <c r="P769" s="2">
        <v>13848</v>
      </c>
      <c r="Q769" s="2">
        <v>3</v>
      </c>
      <c r="R769" t="s">
        <v>43</v>
      </c>
      <c r="S769" s="2">
        <v>3</v>
      </c>
      <c r="T769" s="2">
        <v>1</v>
      </c>
      <c r="U769">
        <v>80</v>
      </c>
      <c r="V769" s="2">
        <v>8</v>
      </c>
      <c r="W769">
        <v>3</v>
      </c>
      <c r="X769">
        <v>2</v>
      </c>
      <c r="Y769">
        <v>4</v>
      </c>
      <c r="Z769">
        <v>3</v>
      </c>
      <c r="AA769">
        <v>0</v>
      </c>
      <c r="AB769">
        <v>1</v>
      </c>
    </row>
    <row r="770" spans="1:28" x14ac:dyDescent="0.35">
      <c r="A770" s="2">
        <v>40</v>
      </c>
      <c r="B770" s="2" t="str" cm="1">
        <f t="array" ref="B770">_xlfn.IFS(HR_table[[#This Row],[Age]]&lt;=20, "Under 20yrs",HR_table[[#This Row],[Age]]&lt;=30,"(21-30)yrs",HR_table[[#This Row],[Age]]&lt;=40,"(31-40)yrs",HR_table[[#This Row],[Age]]&lt;=50,"(41-50)yrs",HR_table[[#This Row],[Age]]&lt;=60,"(51-60)yrs")</f>
        <v>(31-40)yrs</v>
      </c>
      <c r="C770" t="s">
        <v>43</v>
      </c>
      <c r="D770" t="s">
        <v>36</v>
      </c>
      <c r="E770" t="s">
        <v>37</v>
      </c>
      <c r="F770" t="s">
        <v>59</v>
      </c>
      <c r="G770" t="s">
        <v>40</v>
      </c>
      <c r="H770">
        <v>1066</v>
      </c>
      <c r="I770" s="2">
        <v>26</v>
      </c>
      <c r="J770" s="2">
        <v>3</v>
      </c>
      <c r="K770" t="s">
        <v>46</v>
      </c>
      <c r="L770" s="2">
        <v>2</v>
      </c>
      <c r="M770" s="2">
        <v>1</v>
      </c>
      <c r="N770" t="s">
        <v>48</v>
      </c>
      <c r="O770" s="2">
        <v>8396</v>
      </c>
      <c r="P770" s="2">
        <v>22217</v>
      </c>
      <c r="Q770" s="2">
        <v>1</v>
      </c>
      <c r="R770" t="s">
        <v>43</v>
      </c>
      <c r="S770" s="2">
        <v>3</v>
      </c>
      <c r="T770" s="2">
        <v>2</v>
      </c>
      <c r="U770">
        <v>80</v>
      </c>
      <c r="V770" s="2">
        <v>8</v>
      </c>
      <c r="W770">
        <v>3</v>
      </c>
      <c r="X770">
        <v>2</v>
      </c>
      <c r="Y770">
        <v>7</v>
      </c>
      <c r="Z770">
        <v>7</v>
      </c>
      <c r="AA770">
        <v>7</v>
      </c>
      <c r="AB770">
        <v>5</v>
      </c>
    </row>
    <row r="771" spans="1:28" x14ac:dyDescent="0.35">
      <c r="A771" s="2">
        <v>26</v>
      </c>
      <c r="B771" s="2" t="str" cm="1">
        <f t="array" ref="B771">_xlfn.IFS(HR_table[[#This Row],[Age]]&lt;=20, "Under 20yrs",HR_table[[#This Row],[Age]]&lt;=30,"(21-30)yrs",HR_table[[#This Row],[Age]]&lt;=40,"(31-40)yrs",HR_table[[#This Row],[Age]]&lt;=50,"(41-50)yrs",HR_table[[#This Row],[Age]]&lt;=60,"(51-60)yrs")</f>
        <v>(21-30)yrs</v>
      </c>
      <c r="C771" t="s">
        <v>43</v>
      </c>
      <c r="D771" t="s">
        <v>44</v>
      </c>
      <c r="E771" t="s">
        <v>45</v>
      </c>
      <c r="F771" t="s">
        <v>51</v>
      </c>
      <c r="G771" t="s">
        <v>47</v>
      </c>
      <c r="H771">
        <v>1068</v>
      </c>
      <c r="I771" s="2">
        <v>1</v>
      </c>
      <c r="J771" s="2">
        <v>1</v>
      </c>
      <c r="K771" t="s">
        <v>39</v>
      </c>
      <c r="L771" s="2">
        <v>1</v>
      </c>
      <c r="M771" s="2">
        <v>3</v>
      </c>
      <c r="N771" t="s">
        <v>52</v>
      </c>
      <c r="O771" s="2">
        <v>2007</v>
      </c>
      <c r="P771" s="2">
        <v>25265</v>
      </c>
      <c r="Q771" s="2">
        <v>1</v>
      </c>
      <c r="R771" t="s">
        <v>43</v>
      </c>
      <c r="S771" s="2">
        <v>3</v>
      </c>
      <c r="T771" s="2">
        <v>3</v>
      </c>
      <c r="U771">
        <v>80</v>
      </c>
      <c r="V771" s="2">
        <v>5</v>
      </c>
      <c r="W771">
        <v>5</v>
      </c>
      <c r="X771">
        <v>3</v>
      </c>
      <c r="Y771">
        <v>5</v>
      </c>
      <c r="Z771">
        <v>3</v>
      </c>
      <c r="AA771">
        <v>1</v>
      </c>
      <c r="AB771">
        <v>3</v>
      </c>
    </row>
    <row r="772" spans="1:28" x14ac:dyDescent="0.35">
      <c r="A772" s="2">
        <v>46</v>
      </c>
      <c r="B772" s="2" t="str" cm="1">
        <f t="array" ref="B772">_xlfn.IFS(HR_table[[#This Row],[Age]]&lt;=20, "Under 20yrs",HR_table[[#This Row],[Age]]&lt;=30,"(21-30)yrs",HR_table[[#This Row],[Age]]&lt;=40,"(31-40)yrs",HR_table[[#This Row],[Age]]&lt;=50,"(41-50)yrs",HR_table[[#This Row],[Age]]&lt;=60,"(51-60)yrs")</f>
        <v>(41-50)yrs</v>
      </c>
      <c r="C772" t="s">
        <v>43</v>
      </c>
      <c r="D772" t="s">
        <v>36</v>
      </c>
      <c r="E772" t="s">
        <v>45</v>
      </c>
      <c r="F772" t="s">
        <v>51</v>
      </c>
      <c r="G772" t="s">
        <v>58</v>
      </c>
      <c r="H772">
        <v>1069</v>
      </c>
      <c r="I772" s="2">
        <v>1</v>
      </c>
      <c r="J772" s="2">
        <v>4</v>
      </c>
      <c r="K772" t="s">
        <v>46</v>
      </c>
      <c r="L772" s="2">
        <v>5</v>
      </c>
      <c r="M772" s="2">
        <v>4</v>
      </c>
      <c r="N772" t="s">
        <v>52</v>
      </c>
      <c r="O772" s="2">
        <v>19627</v>
      </c>
      <c r="P772" s="2">
        <v>21445</v>
      </c>
      <c r="Q772" s="2">
        <v>9</v>
      </c>
      <c r="R772" t="s">
        <v>43</v>
      </c>
      <c r="S772" s="2">
        <v>3</v>
      </c>
      <c r="T772" s="2">
        <v>4</v>
      </c>
      <c r="U772">
        <v>80</v>
      </c>
      <c r="V772" s="2">
        <v>23</v>
      </c>
      <c r="W772">
        <v>0</v>
      </c>
      <c r="X772">
        <v>3</v>
      </c>
      <c r="Y772">
        <v>2</v>
      </c>
      <c r="Z772">
        <v>2</v>
      </c>
      <c r="AA772">
        <v>2</v>
      </c>
      <c r="AB772">
        <v>2</v>
      </c>
    </row>
    <row r="773" spans="1:28" x14ac:dyDescent="0.35">
      <c r="A773" s="2">
        <v>54</v>
      </c>
      <c r="B773" s="2" t="str" cm="1">
        <f t="array" ref="B773">_xlfn.IFS(HR_table[[#This Row],[Age]]&lt;=20, "Under 20yrs",HR_table[[#This Row],[Age]]&lt;=30,"(21-30)yrs",HR_table[[#This Row],[Age]]&lt;=40,"(31-40)yrs",HR_table[[#This Row],[Age]]&lt;=50,"(41-50)yrs",HR_table[[#This Row],[Age]]&lt;=60,"(51-60)yrs")</f>
        <v>(51-60)yrs</v>
      </c>
      <c r="C773" t="s">
        <v>43</v>
      </c>
      <c r="D773" t="s">
        <v>36</v>
      </c>
      <c r="E773" t="s">
        <v>37</v>
      </c>
      <c r="F773" t="s">
        <v>38</v>
      </c>
      <c r="G773" t="s">
        <v>40</v>
      </c>
      <c r="H773">
        <v>1070</v>
      </c>
      <c r="I773" s="2">
        <v>2</v>
      </c>
      <c r="J773" s="2">
        <v>3</v>
      </c>
      <c r="K773" t="s">
        <v>39</v>
      </c>
      <c r="L773" s="2">
        <v>3</v>
      </c>
      <c r="M773" s="2">
        <v>3</v>
      </c>
      <c r="N773" t="s">
        <v>48</v>
      </c>
      <c r="O773" s="2">
        <v>10686</v>
      </c>
      <c r="P773" s="2">
        <v>8392</v>
      </c>
      <c r="Q773" s="2">
        <v>6</v>
      </c>
      <c r="R773" t="s">
        <v>43</v>
      </c>
      <c r="S773" s="2">
        <v>3</v>
      </c>
      <c r="T773" s="2">
        <v>2</v>
      </c>
      <c r="U773">
        <v>80</v>
      </c>
      <c r="V773" s="2">
        <v>13</v>
      </c>
      <c r="W773">
        <v>4</v>
      </c>
      <c r="X773">
        <v>3</v>
      </c>
      <c r="Y773">
        <v>9</v>
      </c>
      <c r="Z773">
        <v>4</v>
      </c>
      <c r="AA773">
        <v>7</v>
      </c>
      <c r="AB773">
        <v>0</v>
      </c>
    </row>
    <row r="774" spans="1:28" x14ac:dyDescent="0.35">
      <c r="A774" s="2">
        <v>56</v>
      </c>
      <c r="B774" s="2" t="str" cm="1">
        <f t="array" ref="B774">_xlfn.IFS(HR_table[[#This Row],[Age]]&lt;=20, "Under 20yrs",HR_table[[#This Row],[Age]]&lt;=30,"(21-30)yrs",HR_table[[#This Row],[Age]]&lt;=40,"(31-40)yrs",HR_table[[#This Row],[Age]]&lt;=50,"(41-50)yrs",HR_table[[#This Row],[Age]]&lt;=60,"(51-60)yrs")</f>
        <v>(51-60)yrs</v>
      </c>
      <c r="C774" t="s">
        <v>43</v>
      </c>
      <c r="D774" t="s">
        <v>44</v>
      </c>
      <c r="E774" t="s">
        <v>45</v>
      </c>
      <c r="F774" t="s">
        <v>51</v>
      </c>
      <c r="G774" t="s">
        <v>47</v>
      </c>
      <c r="H774">
        <v>1071</v>
      </c>
      <c r="I774" s="2">
        <v>9</v>
      </c>
      <c r="J774" s="2">
        <v>1</v>
      </c>
      <c r="K774" t="s">
        <v>39</v>
      </c>
      <c r="L774" s="2">
        <v>1</v>
      </c>
      <c r="M774" s="2">
        <v>3</v>
      </c>
      <c r="N774" t="s">
        <v>48</v>
      </c>
      <c r="O774" s="2">
        <v>2942</v>
      </c>
      <c r="P774" s="2">
        <v>12154</v>
      </c>
      <c r="Q774" s="2">
        <v>2</v>
      </c>
      <c r="R774" t="s">
        <v>43</v>
      </c>
      <c r="S774" s="2">
        <v>3</v>
      </c>
      <c r="T774" s="2">
        <v>2</v>
      </c>
      <c r="U774">
        <v>80</v>
      </c>
      <c r="V774" s="2">
        <v>18</v>
      </c>
      <c r="W774">
        <v>4</v>
      </c>
      <c r="X774">
        <v>3</v>
      </c>
      <c r="Y774">
        <v>5</v>
      </c>
      <c r="Z774">
        <v>4</v>
      </c>
      <c r="AA774">
        <v>0</v>
      </c>
      <c r="AB774">
        <v>3</v>
      </c>
    </row>
    <row r="775" spans="1:28" x14ac:dyDescent="0.35">
      <c r="A775" s="2">
        <v>36</v>
      </c>
      <c r="B775" s="2" t="str" cm="1">
        <f t="array" ref="B775">_xlfn.IFS(HR_table[[#This Row],[Age]]&lt;=20, "Under 20yrs",HR_table[[#This Row],[Age]]&lt;=30,"(21-30)yrs",HR_table[[#This Row],[Age]]&lt;=40,"(31-40)yrs",HR_table[[#This Row],[Age]]&lt;=50,"(41-50)yrs",HR_table[[#This Row],[Age]]&lt;=60,"(51-60)yrs")</f>
        <v>(31-40)yrs</v>
      </c>
      <c r="C775" t="s">
        <v>43</v>
      </c>
      <c r="D775" t="s">
        <v>36</v>
      </c>
      <c r="E775" t="s">
        <v>45</v>
      </c>
      <c r="F775" t="s">
        <v>51</v>
      </c>
      <c r="G775" t="s">
        <v>53</v>
      </c>
      <c r="H775">
        <v>1073</v>
      </c>
      <c r="I775" s="2">
        <v>12</v>
      </c>
      <c r="J775" s="2">
        <v>4</v>
      </c>
      <c r="K775" t="s">
        <v>39</v>
      </c>
      <c r="L775" s="2">
        <v>3</v>
      </c>
      <c r="M775" s="2">
        <v>4</v>
      </c>
      <c r="N775" t="s">
        <v>41</v>
      </c>
      <c r="O775" s="2">
        <v>8858</v>
      </c>
      <c r="P775" s="2">
        <v>15669</v>
      </c>
      <c r="Q775" s="2">
        <v>0</v>
      </c>
      <c r="R775" t="s">
        <v>43</v>
      </c>
      <c r="S775" s="2">
        <v>3</v>
      </c>
      <c r="T775" s="2">
        <v>2</v>
      </c>
      <c r="U775">
        <v>80</v>
      </c>
      <c r="V775" s="2">
        <v>15</v>
      </c>
      <c r="W775">
        <v>2</v>
      </c>
      <c r="X775">
        <v>2</v>
      </c>
      <c r="Y775">
        <v>14</v>
      </c>
      <c r="Z775">
        <v>8</v>
      </c>
      <c r="AA775">
        <v>7</v>
      </c>
      <c r="AB775">
        <v>8</v>
      </c>
    </row>
    <row r="776" spans="1:28" x14ac:dyDescent="0.35">
      <c r="A776" s="2">
        <v>55</v>
      </c>
      <c r="B776" s="2" t="str" cm="1">
        <f t="array" ref="B776">_xlfn.IFS(HR_table[[#This Row],[Age]]&lt;=20, "Under 20yrs",HR_table[[#This Row],[Age]]&lt;=30,"(21-30)yrs",HR_table[[#This Row],[Age]]&lt;=40,"(31-40)yrs",HR_table[[#This Row],[Age]]&lt;=50,"(41-50)yrs",HR_table[[#This Row],[Age]]&lt;=60,"(51-60)yrs")</f>
        <v>(51-60)yrs</v>
      </c>
      <c r="C776" t="s">
        <v>43</v>
      </c>
      <c r="D776" t="s">
        <v>55</v>
      </c>
      <c r="E776" t="s">
        <v>45</v>
      </c>
      <c r="F776" t="s">
        <v>51</v>
      </c>
      <c r="G776" t="s">
        <v>56</v>
      </c>
      <c r="H776">
        <v>1074</v>
      </c>
      <c r="I776" s="2">
        <v>2</v>
      </c>
      <c r="J776" s="2">
        <v>3</v>
      </c>
      <c r="K776" t="s">
        <v>46</v>
      </c>
      <c r="L776" s="2">
        <v>4</v>
      </c>
      <c r="M776" s="2">
        <v>1</v>
      </c>
      <c r="N776" t="s">
        <v>41</v>
      </c>
      <c r="O776" s="2">
        <v>16756</v>
      </c>
      <c r="P776" s="2">
        <v>17323</v>
      </c>
      <c r="Q776" s="2">
        <v>7</v>
      </c>
      <c r="R776" t="s">
        <v>43</v>
      </c>
      <c r="S776" s="2">
        <v>3</v>
      </c>
      <c r="T776" s="2">
        <v>2</v>
      </c>
      <c r="U776">
        <v>80</v>
      </c>
      <c r="V776" s="2">
        <v>31</v>
      </c>
      <c r="W776">
        <v>3</v>
      </c>
      <c r="X776">
        <v>4</v>
      </c>
      <c r="Y776">
        <v>9</v>
      </c>
      <c r="Z776">
        <v>7</v>
      </c>
      <c r="AA776">
        <v>6</v>
      </c>
      <c r="AB776">
        <v>2</v>
      </c>
    </row>
    <row r="777" spans="1:28" x14ac:dyDescent="0.35">
      <c r="A777" s="2">
        <v>43</v>
      </c>
      <c r="B777" s="2" t="str" cm="1">
        <f t="array" ref="B777">_xlfn.IFS(HR_table[[#This Row],[Age]]&lt;=20, "Under 20yrs",HR_table[[#This Row],[Age]]&lt;=30,"(21-30)yrs",HR_table[[#This Row],[Age]]&lt;=40,"(31-40)yrs",HR_table[[#This Row],[Age]]&lt;=50,"(41-50)yrs",HR_table[[#This Row],[Age]]&lt;=60,"(51-60)yrs")</f>
        <v>(41-50)yrs</v>
      </c>
      <c r="C777" t="s">
        <v>43</v>
      </c>
      <c r="D777" t="s">
        <v>36</v>
      </c>
      <c r="E777" t="s">
        <v>37</v>
      </c>
      <c r="F777" t="s">
        <v>51</v>
      </c>
      <c r="G777" t="s">
        <v>40</v>
      </c>
      <c r="H777">
        <v>1076</v>
      </c>
      <c r="I777" s="2">
        <v>25</v>
      </c>
      <c r="J777" s="2">
        <v>3</v>
      </c>
      <c r="K777" t="s">
        <v>46</v>
      </c>
      <c r="L777" s="2">
        <v>3</v>
      </c>
      <c r="M777" s="2">
        <v>4</v>
      </c>
      <c r="N777" t="s">
        <v>52</v>
      </c>
      <c r="O777" s="2">
        <v>10798</v>
      </c>
      <c r="P777" s="2">
        <v>5268</v>
      </c>
      <c r="Q777" s="2">
        <v>5</v>
      </c>
      <c r="R777" t="s">
        <v>43</v>
      </c>
      <c r="S777" s="2">
        <v>3</v>
      </c>
      <c r="T777" s="2">
        <v>3</v>
      </c>
      <c r="U777">
        <v>80</v>
      </c>
      <c r="V777" s="2">
        <v>18</v>
      </c>
      <c r="W777">
        <v>5</v>
      </c>
      <c r="X777">
        <v>3</v>
      </c>
      <c r="Y777">
        <v>1</v>
      </c>
      <c r="Z777">
        <v>0</v>
      </c>
      <c r="AA777">
        <v>0</v>
      </c>
      <c r="AB777">
        <v>0</v>
      </c>
    </row>
    <row r="778" spans="1:28" x14ac:dyDescent="0.35">
      <c r="A778" s="2">
        <v>20</v>
      </c>
      <c r="B778" s="2" t="str" cm="1">
        <f t="array" ref="B778">_xlfn.IFS(HR_table[[#This Row],[Age]]&lt;=20, "Under 20yrs",HR_table[[#This Row],[Age]]&lt;=30,"(21-30)yrs",HR_table[[#This Row],[Age]]&lt;=40,"(31-40)yrs",HR_table[[#This Row],[Age]]&lt;=50,"(41-50)yrs",HR_table[[#This Row],[Age]]&lt;=60,"(51-60)yrs")</f>
        <v>Under 20yrs</v>
      </c>
      <c r="C778" t="s">
        <v>35</v>
      </c>
      <c r="D778" t="s">
        <v>44</v>
      </c>
      <c r="E778" t="s">
        <v>37</v>
      </c>
      <c r="F778" t="s">
        <v>59</v>
      </c>
      <c r="G778" t="s">
        <v>57</v>
      </c>
      <c r="H778">
        <v>1077</v>
      </c>
      <c r="I778" s="2">
        <v>9</v>
      </c>
      <c r="J778" s="2">
        <v>4</v>
      </c>
      <c r="K778" t="s">
        <v>39</v>
      </c>
      <c r="L778" s="2">
        <v>1</v>
      </c>
      <c r="M778" s="2">
        <v>4</v>
      </c>
      <c r="N778" t="s">
        <v>41</v>
      </c>
      <c r="O778" s="2">
        <v>2323</v>
      </c>
      <c r="P778" s="2">
        <v>17205</v>
      </c>
      <c r="Q778" s="2">
        <v>1</v>
      </c>
      <c r="R778" t="s">
        <v>35</v>
      </c>
      <c r="S778" s="2">
        <v>3</v>
      </c>
      <c r="T778" s="2">
        <v>2</v>
      </c>
      <c r="U778">
        <v>80</v>
      </c>
      <c r="V778" s="2">
        <v>2</v>
      </c>
      <c r="W778">
        <v>3</v>
      </c>
      <c r="X778">
        <v>3</v>
      </c>
      <c r="Y778">
        <v>2</v>
      </c>
      <c r="Z778">
        <v>2</v>
      </c>
      <c r="AA778">
        <v>0</v>
      </c>
      <c r="AB778">
        <v>2</v>
      </c>
    </row>
    <row r="779" spans="1:28" x14ac:dyDescent="0.35">
      <c r="A779" s="2">
        <v>21</v>
      </c>
      <c r="B779" s="2" t="str" cm="1">
        <f t="array" ref="B779">_xlfn.IFS(HR_table[[#This Row],[Age]]&lt;=20, "Under 20yrs",HR_table[[#This Row],[Age]]&lt;=30,"(21-30)yrs",HR_table[[#This Row],[Age]]&lt;=40,"(31-40)yrs",HR_table[[#This Row],[Age]]&lt;=50,"(41-50)yrs",HR_table[[#This Row],[Age]]&lt;=60,"(51-60)yrs")</f>
        <v>(21-30)yrs</v>
      </c>
      <c r="C779" t="s">
        <v>35</v>
      </c>
      <c r="D779" t="s">
        <v>36</v>
      </c>
      <c r="E779" t="s">
        <v>45</v>
      </c>
      <c r="F779" t="s">
        <v>38</v>
      </c>
      <c r="G779" t="s">
        <v>50</v>
      </c>
      <c r="H779">
        <v>1079</v>
      </c>
      <c r="I779" s="2">
        <v>10</v>
      </c>
      <c r="J779" s="2">
        <v>3</v>
      </c>
      <c r="K779" t="s">
        <v>39</v>
      </c>
      <c r="L779" s="2">
        <v>1</v>
      </c>
      <c r="M779" s="2">
        <v>1</v>
      </c>
      <c r="N779" t="s">
        <v>41</v>
      </c>
      <c r="O779" s="2">
        <v>1416</v>
      </c>
      <c r="P779" s="2">
        <v>17258</v>
      </c>
      <c r="Q779" s="2">
        <v>1</v>
      </c>
      <c r="R779" t="s">
        <v>43</v>
      </c>
      <c r="S779" s="2">
        <v>3</v>
      </c>
      <c r="T779" s="2">
        <v>1</v>
      </c>
      <c r="U779">
        <v>80</v>
      </c>
      <c r="V779" s="2">
        <v>1</v>
      </c>
      <c r="W779">
        <v>6</v>
      </c>
      <c r="X779">
        <v>2</v>
      </c>
      <c r="Y779">
        <v>1</v>
      </c>
      <c r="Z779">
        <v>0</v>
      </c>
      <c r="AA779">
        <v>1</v>
      </c>
      <c r="AB779">
        <v>0</v>
      </c>
    </row>
    <row r="780" spans="1:28" x14ac:dyDescent="0.35">
      <c r="A780" s="2">
        <v>46</v>
      </c>
      <c r="B780" s="2" t="str" cm="1">
        <f t="array" ref="B780">_xlfn.IFS(HR_table[[#This Row],[Age]]&lt;=20, "Under 20yrs",HR_table[[#This Row],[Age]]&lt;=30,"(21-30)yrs",HR_table[[#This Row],[Age]]&lt;=40,"(31-40)yrs",HR_table[[#This Row],[Age]]&lt;=50,"(41-50)yrs",HR_table[[#This Row],[Age]]&lt;=60,"(51-60)yrs")</f>
        <v>(41-50)yrs</v>
      </c>
      <c r="C780" t="s">
        <v>43</v>
      </c>
      <c r="D780" t="s">
        <v>36</v>
      </c>
      <c r="E780" t="s">
        <v>45</v>
      </c>
      <c r="F780" t="s">
        <v>38</v>
      </c>
      <c r="G780" t="s">
        <v>47</v>
      </c>
      <c r="H780">
        <v>1080</v>
      </c>
      <c r="I780" s="2">
        <v>8</v>
      </c>
      <c r="J780" s="2">
        <v>4</v>
      </c>
      <c r="K780" t="s">
        <v>39</v>
      </c>
      <c r="L780" s="2">
        <v>2</v>
      </c>
      <c r="M780" s="2">
        <v>1</v>
      </c>
      <c r="N780" t="s">
        <v>52</v>
      </c>
      <c r="O780" s="2">
        <v>4615</v>
      </c>
      <c r="P780" s="2">
        <v>21029</v>
      </c>
      <c r="Q780" s="2">
        <v>8</v>
      </c>
      <c r="R780" t="s">
        <v>35</v>
      </c>
      <c r="S780" s="2">
        <v>4</v>
      </c>
      <c r="T780" s="2">
        <v>1</v>
      </c>
      <c r="U780">
        <v>80</v>
      </c>
      <c r="V780" s="2">
        <v>19</v>
      </c>
      <c r="W780">
        <v>2</v>
      </c>
      <c r="X780">
        <v>3</v>
      </c>
      <c r="Y780">
        <v>16</v>
      </c>
      <c r="Z780">
        <v>13</v>
      </c>
      <c r="AA780">
        <v>1</v>
      </c>
      <c r="AB780">
        <v>7</v>
      </c>
    </row>
    <row r="781" spans="1:28" x14ac:dyDescent="0.35">
      <c r="A781" s="2">
        <v>51</v>
      </c>
      <c r="B781" s="2" t="str" cm="1">
        <f t="array" ref="B781">_xlfn.IFS(HR_table[[#This Row],[Age]]&lt;=20, "Under 20yrs",HR_table[[#This Row],[Age]]&lt;=30,"(21-30)yrs",HR_table[[#This Row],[Age]]&lt;=40,"(31-40)yrs",HR_table[[#This Row],[Age]]&lt;=50,"(41-50)yrs",HR_table[[#This Row],[Age]]&lt;=60,"(51-60)yrs")</f>
        <v>(51-60)yrs</v>
      </c>
      <c r="C781" t="s">
        <v>35</v>
      </c>
      <c r="D781" t="s">
        <v>36</v>
      </c>
      <c r="E781" t="s">
        <v>45</v>
      </c>
      <c r="F781" t="s">
        <v>38</v>
      </c>
      <c r="G781" t="s">
        <v>47</v>
      </c>
      <c r="H781">
        <v>1081</v>
      </c>
      <c r="I781" s="2">
        <v>4</v>
      </c>
      <c r="J781" s="2">
        <v>1</v>
      </c>
      <c r="K781" t="s">
        <v>46</v>
      </c>
      <c r="L781" s="2">
        <v>1</v>
      </c>
      <c r="M781" s="2">
        <v>3</v>
      </c>
      <c r="N781" t="s">
        <v>48</v>
      </c>
      <c r="O781" s="2">
        <v>2461</v>
      </c>
      <c r="P781" s="2">
        <v>10332</v>
      </c>
      <c r="Q781" s="2">
        <v>9</v>
      </c>
      <c r="R781" t="s">
        <v>35</v>
      </c>
      <c r="S781" s="2">
        <v>3</v>
      </c>
      <c r="T781" s="2">
        <v>3</v>
      </c>
      <c r="U781">
        <v>80</v>
      </c>
      <c r="V781" s="2">
        <v>18</v>
      </c>
      <c r="W781">
        <v>2</v>
      </c>
      <c r="X781">
        <v>4</v>
      </c>
      <c r="Y781">
        <v>10</v>
      </c>
      <c r="Z781">
        <v>0</v>
      </c>
      <c r="AA781">
        <v>2</v>
      </c>
      <c r="AB781">
        <v>7</v>
      </c>
    </row>
    <row r="782" spans="1:28" x14ac:dyDescent="0.35">
      <c r="A782" s="2">
        <v>28</v>
      </c>
      <c r="B782" s="2" t="str" cm="1">
        <f t="array" ref="B782">_xlfn.IFS(HR_table[[#This Row],[Age]]&lt;=20, "Under 20yrs",HR_table[[#This Row],[Age]]&lt;=30,"(21-30)yrs",HR_table[[#This Row],[Age]]&lt;=40,"(31-40)yrs",HR_table[[#This Row],[Age]]&lt;=50,"(41-50)yrs",HR_table[[#This Row],[Age]]&lt;=60,"(51-60)yrs")</f>
        <v>(21-30)yrs</v>
      </c>
      <c r="C782" t="s">
        <v>35</v>
      </c>
      <c r="D782" t="s">
        <v>55</v>
      </c>
      <c r="E782" t="s">
        <v>45</v>
      </c>
      <c r="F782" t="s">
        <v>60</v>
      </c>
      <c r="G782" t="s">
        <v>54</v>
      </c>
      <c r="H782">
        <v>1082</v>
      </c>
      <c r="I782" s="2">
        <v>24</v>
      </c>
      <c r="J782" s="2">
        <v>2</v>
      </c>
      <c r="K782" t="s">
        <v>46</v>
      </c>
      <c r="L782" s="2">
        <v>3</v>
      </c>
      <c r="M782" s="2">
        <v>1</v>
      </c>
      <c r="N782" t="s">
        <v>41</v>
      </c>
      <c r="O782" s="2">
        <v>8722</v>
      </c>
      <c r="P782" s="2">
        <v>12355</v>
      </c>
      <c r="Q782" s="2">
        <v>1</v>
      </c>
      <c r="R782" t="s">
        <v>43</v>
      </c>
      <c r="S782" s="2">
        <v>3</v>
      </c>
      <c r="T782" s="2">
        <v>1</v>
      </c>
      <c r="U782">
        <v>80</v>
      </c>
      <c r="V782" s="2">
        <v>10</v>
      </c>
      <c r="W782">
        <v>2</v>
      </c>
      <c r="X782">
        <v>2</v>
      </c>
      <c r="Y782">
        <v>10</v>
      </c>
      <c r="Z782">
        <v>7</v>
      </c>
      <c r="AA782">
        <v>1</v>
      </c>
      <c r="AB782">
        <v>9</v>
      </c>
    </row>
    <row r="783" spans="1:28" x14ac:dyDescent="0.35">
      <c r="A783" s="2">
        <v>26</v>
      </c>
      <c r="B783" s="2" t="str" cm="1">
        <f t="array" ref="B783">_xlfn.IFS(HR_table[[#This Row],[Age]]&lt;=20, "Under 20yrs",HR_table[[#This Row],[Age]]&lt;=30,"(21-30)yrs",HR_table[[#This Row],[Age]]&lt;=40,"(31-40)yrs",HR_table[[#This Row],[Age]]&lt;=50,"(41-50)yrs",HR_table[[#This Row],[Age]]&lt;=60,"(51-60)yrs")</f>
        <v>(21-30)yrs</v>
      </c>
      <c r="C783" t="s">
        <v>43</v>
      </c>
      <c r="D783" t="s">
        <v>36</v>
      </c>
      <c r="E783" t="s">
        <v>45</v>
      </c>
      <c r="F783" t="s">
        <v>51</v>
      </c>
      <c r="G783" t="s">
        <v>50</v>
      </c>
      <c r="H783">
        <v>1083</v>
      </c>
      <c r="I783" s="2">
        <v>1</v>
      </c>
      <c r="J783" s="2">
        <v>1</v>
      </c>
      <c r="K783" t="s">
        <v>46</v>
      </c>
      <c r="L783" s="2">
        <v>1</v>
      </c>
      <c r="M783" s="2">
        <v>1</v>
      </c>
      <c r="N783" t="s">
        <v>48</v>
      </c>
      <c r="O783" s="2">
        <v>3955</v>
      </c>
      <c r="P783" s="2">
        <v>11141</v>
      </c>
      <c r="Q783" s="2">
        <v>1</v>
      </c>
      <c r="R783" t="s">
        <v>43</v>
      </c>
      <c r="S783" s="2">
        <v>3</v>
      </c>
      <c r="T783" s="2">
        <v>1</v>
      </c>
      <c r="U783">
        <v>80</v>
      </c>
      <c r="V783" s="2">
        <v>6</v>
      </c>
      <c r="W783">
        <v>2</v>
      </c>
      <c r="X783">
        <v>3</v>
      </c>
      <c r="Y783">
        <v>5</v>
      </c>
      <c r="Z783">
        <v>3</v>
      </c>
      <c r="AA783">
        <v>1</v>
      </c>
      <c r="AB783">
        <v>3</v>
      </c>
    </row>
    <row r="784" spans="1:28" x14ac:dyDescent="0.35">
      <c r="A784" s="2">
        <v>30</v>
      </c>
      <c r="B784" s="2" t="str" cm="1">
        <f t="array" ref="B784">_xlfn.IFS(HR_table[[#This Row],[Age]]&lt;=20, "Under 20yrs",HR_table[[#This Row],[Age]]&lt;=30,"(21-30)yrs",HR_table[[#This Row],[Age]]&lt;=40,"(31-40)yrs",HR_table[[#This Row],[Age]]&lt;=50,"(41-50)yrs",HR_table[[#This Row],[Age]]&lt;=60,"(51-60)yrs")</f>
        <v>(21-30)yrs</v>
      </c>
      <c r="C784" t="s">
        <v>43</v>
      </c>
      <c r="D784" t="s">
        <v>36</v>
      </c>
      <c r="E784" t="s">
        <v>45</v>
      </c>
      <c r="F784" t="s">
        <v>49</v>
      </c>
      <c r="G784" t="s">
        <v>53</v>
      </c>
      <c r="H784">
        <v>1084</v>
      </c>
      <c r="I784" s="2">
        <v>20</v>
      </c>
      <c r="J784" s="2">
        <v>3</v>
      </c>
      <c r="K784" t="s">
        <v>46</v>
      </c>
      <c r="L784" s="2">
        <v>2</v>
      </c>
      <c r="M784" s="2">
        <v>1</v>
      </c>
      <c r="N784" t="s">
        <v>48</v>
      </c>
      <c r="O784" s="2">
        <v>9957</v>
      </c>
      <c r="P784" s="2">
        <v>9096</v>
      </c>
      <c r="Q784" s="2">
        <v>0</v>
      </c>
      <c r="R784" t="s">
        <v>43</v>
      </c>
      <c r="S784" s="2">
        <v>3</v>
      </c>
      <c r="T784" s="2">
        <v>3</v>
      </c>
      <c r="U784">
        <v>80</v>
      </c>
      <c r="V784" s="2">
        <v>7</v>
      </c>
      <c r="W784">
        <v>1</v>
      </c>
      <c r="X784">
        <v>2</v>
      </c>
      <c r="Y784">
        <v>6</v>
      </c>
      <c r="Z784">
        <v>2</v>
      </c>
      <c r="AA784">
        <v>0</v>
      </c>
      <c r="AB784">
        <v>2</v>
      </c>
    </row>
    <row r="785" spans="1:28" x14ac:dyDescent="0.35">
      <c r="A785" s="2">
        <v>41</v>
      </c>
      <c r="B785" s="2" t="str" cm="1">
        <f t="array" ref="B785">_xlfn.IFS(HR_table[[#This Row],[Age]]&lt;=20, "Under 20yrs",HR_table[[#This Row],[Age]]&lt;=30,"(21-30)yrs",HR_table[[#This Row],[Age]]&lt;=40,"(31-40)yrs",HR_table[[#This Row],[Age]]&lt;=50,"(41-50)yrs",HR_table[[#This Row],[Age]]&lt;=60,"(51-60)yrs")</f>
        <v>(41-50)yrs</v>
      </c>
      <c r="C785" t="s">
        <v>43</v>
      </c>
      <c r="D785" t="s">
        <v>36</v>
      </c>
      <c r="E785" t="s">
        <v>45</v>
      </c>
      <c r="F785" t="s">
        <v>60</v>
      </c>
      <c r="G785" t="s">
        <v>47</v>
      </c>
      <c r="H785">
        <v>1085</v>
      </c>
      <c r="I785" s="2">
        <v>7</v>
      </c>
      <c r="J785" s="2">
        <v>2</v>
      </c>
      <c r="K785" t="s">
        <v>39</v>
      </c>
      <c r="L785" s="2">
        <v>1</v>
      </c>
      <c r="M785" s="2">
        <v>3</v>
      </c>
      <c r="N785" t="s">
        <v>48</v>
      </c>
      <c r="O785" s="2">
        <v>3376</v>
      </c>
      <c r="P785" s="2">
        <v>18863</v>
      </c>
      <c r="Q785" s="2">
        <v>1</v>
      </c>
      <c r="R785" t="s">
        <v>43</v>
      </c>
      <c r="S785" s="2">
        <v>3</v>
      </c>
      <c r="T785" s="2">
        <v>3</v>
      </c>
      <c r="U785">
        <v>80</v>
      </c>
      <c r="V785" s="2">
        <v>10</v>
      </c>
      <c r="W785">
        <v>3</v>
      </c>
      <c r="X785">
        <v>3</v>
      </c>
      <c r="Y785">
        <v>10</v>
      </c>
      <c r="Z785">
        <v>6</v>
      </c>
      <c r="AA785">
        <v>0</v>
      </c>
      <c r="AB785">
        <v>8</v>
      </c>
    </row>
    <row r="786" spans="1:28" x14ac:dyDescent="0.35">
      <c r="A786" s="2">
        <v>38</v>
      </c>
      <c r="B786" s="2" t="str" cm="1">
        <f t="array" ref="B786">_xlfn.IFS(HR_table[[#This Row],[Age]]&lt;=20, "Under 20yrs",HR_table[[#This Row],[Age]]&lt;=30,"(21-30)yrs",HR_table[[#This Row],[Age]]&lt;=40,"(31-40)yrs",HR_table[[#This Row],[Age]]&lt;=50,"(41-50)yrs",HR_table[[#This Row],[Age]]&lt;=60,"(51-60)yrs")</f>
        <v>(31-40)yrs</v>
      </c>
      <c r="C786" t="s">
        <v>43</v>
      </c>
      <c r="D786" t="s">
        <v>36</v>
      </c>
      <c r="E786" t="s">
        <v>45</v>
      </c>
      <c r="F786" t="s">
        <v>38</v>
      </c>
      <c r="G786" t="s">
        <v>54</v>
      </c>
      <c r="H786">
        <v>1088</v>
      </c>
      <c r="I786" s="2">
        <v>17</v>
      </c>
      <c r="J786" s="2">
        <v>3</v>
      </c>
      <c r="K786" t="s">
        <v>39</v>
      </c>
      <c r="L786" s="2">
        <v>3</v>
      </c>
      <c r="M786" s="2">
        <v>3</v>
      </c>
      <c r="N786" t="s">
        <v>48</v>
      </c>
      <c r="O786" s="2">
        <v>8823</v>
      </c>
      <c r="P786" s="2">
        <v>24608</v>
      </c>
      <c r="Q786" s="2">
        <v>0</v>
      </c>
      <c r="R786" t="s">
        <v>43</v>
      </c>
      <c r="S786" s="2">
        <v>3</v>
      </c>
      <c r="T786" s="2">
        <v>1</v>
      </c>
      <c r="U786">
        <v>80</v>
      </c>
      <c r="V786" s="2">
        <v>20</v>
      </c>
      <c r="W786">
        <v>4</v>
      </c>
      <c r="X786">
        <v>2</v>
      </c>
      <c r="Y786">
        <v>19</v>
      </c>
      <c r="Z786">
        <v>9</v>
      </c>
      <c r="AA786">
        <v>1</v>
      </c>
      <c r="AB786">
        <v>9</v>
      </c>
    </row>
    <row r="787" spans="1:28" x14ac:dyDescent="0.35">
      <c r="A787" s="2">
        <v>40</v>
      </c>
      <c r="B787" s="2" t="str" cm="1">
        <f t="array" ref="B787">_xlfn.IFS(HR_table[[#This Row],[Age]]&lt;=20, "Under 20yrs",HR_table[[#This Row],[Age]]&lt;=30,"(21-30)yrs",HR_table[[#This Row],[Age]]&lt;=40,"(31-40)yrs",HR_table[[#This Row],[Age]]&lt;=50,"(41-50)yrs",HR_table[[#This Row],[Age]]&lt;=60,"(51-60)yrs")</f>
        <v>(31-40)yrs</v>
      </c>
      <c r="C787" t="s">
        <v>43</v>
      </c>
      <c r="D787" t="s">
        <v>36</v>
      </c>
      <c r="E787" t="s">
        <v>45</v>
      </c>
      <c r="F787" t="s">
        <v>60</v>
      </c>
      <c r="G787" t="s">
        <v>54</v>
      </c>
      <c r="H787">
        <v>1092</v>
      </c>
      <c r="I787" s="2">
        <v>20</v>
      </c>
      <c r="J787" s="2">
        <v>1</v>
      </c>
      <c r="K787" t="s">
        <v>46</v>
      </c>
      <c r="L787" s="2">
        <v>3</v>
      </c>
      <c r="M787" s="2">
        <v>4</v>
      </c>
      <c r="N787" t="s">
        <v>48</v>
      </c>
      <c r="O787" s="2">
        <v>10322</v>
      </c>
      <c r="P787" s="2">
        <v>26542</v>
      </c>
      <c r="Q787" s="2">
        <v>4</v>
      </c>
      <c r="R787" t="s">
        <v>43</v>
      </c>
      <c r="S787" s="2">
        <v>4</v>
      </c>
      <c r="T787" s="2">
        <v>4</v>
      </c>
      <c r="U787">
        <v>80</v>
      </c>
      <c r="V787" s="2">
        <v>14</v>
      </c>
      <c r="W787">
        <v>6</v>
      </c>
      <c r="X787">
        <v>3</v>
      </c>
      <c r="Y787">
        <v>11</v>
      </c>
      <c r="Z787">
        <v>10</v>
      </c>
      <c r="AA787">
        <v>11</v>
      </c>
      <c r="AB787">
        <v>1</v>
      </c>
    </row>
    <row r="788" spans="1:28" x14ac:dyDescent="0.35">
      <c r="A788" s="2">
        <v>27</v>
      </c>
      <c r="B788" s="2" t="str" cm="1">
        <f t="array" ref="B788">_xlfn.IFS(HR_table[[#This Row],[Age]]&lt;=20, "Under 20yrs",HR_table[[#This Row],[Age]]&lt;=30,"(21-30)yrs",HR_table[[#This Row],[Age]]&lt;=40,"(31-40)yrs",HR_table[[#This Row],[Age]]&lt;=50,"(41-50)yrs",HR_table[[#This Row],[Age]]&lt;=60,"(51-60)yrs")</f>
        <v>(21-30)yrs</v>
      </c>
      <c r="C788" t="s">
        <v>43</v>
      </c>
      <c r="D788" t="s">
        <v>55</v>
      </c>
      <c r="E788" t="s">
        <v>45</v>
      </c>
      <c r="F788" t="s">
        <v>38</v>
      </c>
      <c r="G788" t="s">
        <v>50</v>
      </c>
      <c r="H788">
        <v>1094</v>
      </c>
      <c r="I788" s="2">
        <v>8</v>
      </c>
      <c r="J788" s="2">
        <v>1</v>
      </c>
      <c r="K788" t="s">
        <v>46</v>
      </c>
      <c r="L788" s="2">
        <v>1</v>
      </c>
      <c r="M788" s="2">
        <v>3</v>
      </c>
      <c r="N788" t="s">
        <v>48</v>
      </c>
      <c r="O788" s="2">
        <v>4621</v>
      </c>
      <c r="P788" s="2">
        <v>5869</v>
      </c>
      <c r="Q788" s="2">
        <v>1</v>
      </c>
      <c r="R788" t="s">
        <v>43</v>
      </c>
      <c r="S788" s="2">
        <v>3</v>
      </c>
      <c r="T788" s="2">
        <v>4</v>
      </c>
      <c r="U788">
        <v>80</v>
      </c>
      <c r="V788" s="2">
        <v>3</v>
      </c>
      <c r="W788">
        <v>4</v>
      </c>
      <c r="X788">
        <v>3</v>
      </c>
      <c r="Y788">
        <v>3</v>
      </c>
      <c r="Z788">
        <v>2</v>
      </c>
      <c r="AA788">
        <v>1</v>
      </c>
      <c r="AB788">
        <v>2</v>
      </c>
    </row>
    <row r="789" spans="1:28" x14ac:dyDescent="0.35">
      <c r="A789" s="2">
        <v>55</v>
      </c>
      <c r="B789" s="2" t="str" cm="1">
        <f t="array" ref="B789">_xlfn.IFS(HR_table[[#This Row],[Age]]&lt;=20, "Under 20yrs",HR_table[[#This Row],[Age]]&lt;=30,"(21-30)yrs",HR_table[[#This Row],[Age]]&lt;=40,"(31-40)yrs",HR_table[[#This Row],[Age]]&lt;=50,"(41-50)yrs",HR_table[[#This Row],[Age]]&lt;=60,"(51-60)yrs")</f>
        <v>(51-60)yrs</v>
      </c>
      <c r="C789" t="s">
        <v>43</v>
      </c>
      <c r="D789" t="s">
        <v>44</v>
      </c>
      <c r="E789" t="s">
        <v>45</v>
      </c>
      <c r="F789" t="s">
        <v>38</v>
      </c>
      <c r="G789" t="s">
        <v>53</v>
      </c>
      <c r="H789">
        <v>1096</v>
      </c>
      <c r="I789" s="2">
        <v>2</v>
      </c>
      <c r="J789" s="2">
        <v>4</v>
      </c>
      <c r="K789" t="s">
        <v>46</v>
      </c>
      <c r="L789" s="2">
        <v>3</v>
      </c>
      <c r="M789" s="2">
        <v>2</v>
      </c>
      <c r="N789" t="s">
        <v>48</v>
      </c>
      <c r="O789" s="2">
        <v>10976</v>
      </c>
      <c r="P789" s="2">
        <v>15813</v>
      </c>
      <c r="Q789" s="2">
        <v>3</v>
      </c>
      <c r="R789" t="s">
        <v>43</v>
      </c>
      <c r="S789" s="2">
        <v>3</v>
      </c>
      <c r="T789" s="2">
        <v>2</v>
      </c>
      <c r="U789">
        <v>80</v>
      </c>
      <c r="V789" s="2">
        <v>23</v>
      </c>
      <c r="W789">
        <v>4</v>
      </c>
      <c r="X789">
        <v>3</v>
      </c>
      <c r="Y789">
        <v>3</v>
      </c>
      <c r="Z789">
        <v>2</v>
      </c>
      <c r="AA789">
        <v>1</v>
      </c>
      <c r="AB789">
        <v>2</v>
      </c>
    </row>
    <row r="790" spans="1:28" x14ac:dyDescent="0.35">
      <c r="A790" s="2">
        <v>28</v>
      </c>
      <c r="B790" s="2" t="str" cm="1">
        <f t="array" ref="B790">_xlfn.IFS(HR_table[[#This Row],[Age]]&lt;=20, "Under 20yrs",HR_table[[#This Row],[Age]]&lt;=30,"(21-30)yrs",HR_table[[#This Row],[Age]]&lt;=40,"(31-40)yrs",HR_table[[#This Row],[Age]]&lt;=50,"(41-50)yrs",HR_table[[#This Row],[Age]]&lt;=60,"(51-60)yrs")</f>
        <v>(21-30)yrs</v>
      </c>
      <c r="C790" t="s">
        <v>43</v>
      </c>
      <c r="D790" t="s">
        <v>36</v>
      </c>
      <c r="E790" t="s">
        <v>45</v>
      </c>
      <c r="F790" t="s">
        <v>49</v>
      </c>
      <c r="G790" t="s">
        <v>47</v>
      </c>
      <c r="H790">
        <v>1097</v>
      </c>
      <c r="I790" s="2">
        <v>10</v>
      </c>
      <c r="J790" s="2">
        <v>3</v>
      </c>
      <c r="K790" t="s">
        <v>39</v>
      </c>
      <c r="L790" s="2">
        <v>2</v>
      </c>
      <c r="M790" s="2">
        <v>3</v>
      </c>
      <c r="N790" t="s">
        <v>41</v>
      </c>
      <c r="O790" s="2">
        <v>3660</v>
      </c>
      <c r="P790" s="2">
        <v>7909</v>
      </c>
      <c r="Q790" s="2">
        <v>3</v>
      </c>
      <c r="R790" t="s">
        <v>43</v>
      </c>
      <c r="S790" s="2">
        <v>3</v>
      </c>
      <c r="T790" s="2">
        <v>4</v>
      </c>
      <c r="U790">
        <v>80</v>
      </c>
      <c r="V790" s="2">
        <v>10</v>
      </c>
      <c r="W790">
        <v>4</v>
      </c>
      <c r="X790">
        <v>4</v>
      </c>
      <c r="Y790">
        <v>8</v>
      </c>
      <c r="Z790">
        <v>7</v>
      </c>
      <c r="AA790">
        <v>1</v>
      </c>
      <c r="AB790">
        <v>7</v>
      </c>
    </row>
    <row r="791" spans="1:28" x14ac:dyDescent="0.35">
      <c r="A791" s="2">
        <v>44</v>
      </c>
      <c r="B791" s="2" t="str" cm="1">
        <f t="array" ref="B791">_xlfn.IFS(HR_table[[#This Row],[Age]]&lt;=20, "Under 20yrs",HR_table[[#This Row],[Age]]&lt;=30,"(21-30)yrs",HR_table[[#This Row],[Age]]&lt;=40,"(31-40)yrs",HR_table[[#This Row],[Age]]&lt;=50,"(41-50)yrs",HR_table[[#This Row],[Age]]&lt;=60,"(51-60)yrs")</f>
        <v>(41-50)yrs</v>
      </c>
      <c r="C791" t="s">
        <v>35</v>
      </c>
      <c r="D791" t="s">
        <v>36</v>
      </c>
      <c r="E791" t="s">
        <v>61</v>
      </c>
      <c r="F791" t="s">
        <v>51</v>
      </c>
      <c r="G791" t="s">
        <v>61</v>
      </c>
      <c r="H791">
        <v>1098</v>
      </c>
      <c r="I791" s="2">
        <v>1</v>
      </c>
      <c r="J791" s="2">
        <v>2</v>
      </c>
      <c r="K791" t="s">
        <v>46</v>
      </c>
      <c r="L791" s="2">
        <v>3</v>
      </c>
      <c r="M791" s="2">
        <v>1</v>
      </c>
      <c r="N791" t="s">
        <v>48</v>
      </c>
      <c r="O791" s="2">
        <v>10482</v>
      </c>
      <c r="P791" s="2">
        <v>2326</v>
      </c>
      <c r="Q791" s="2">
        <v>9</v>
      </c>
      <c r="R791" t="s">
        <v>43</v>
      </c>
      <c r="S791" s="2">
        <v>3</v>
      </c>
      <c r="T791" s="2">
        <v>4</v>
      </c>
      <c r="U791">
        <v>80</v>
      </c>
      <c r="V791" s="2">
        <v>24</v>
      </c>
      <c r="W791">
        <v>1</v>
      </c>
      <c r="X791">
        <v>3</v>
      </c>
      <c r="Y791">
        <v>20</v>
      </c>
      <c r="Z791">
        <v>6</v>
      </c>
      <c r="AA791">
        <v>3</v>
      </c>
      <c r="AB791">
        <v>6</v>
      </c>
    </row>
    <row r="792" spans="1:28" x14ac:dyDescent="0.35">
      <c r="A792" s="2">
        <v>33</v>
      </c>
      <c r="B792" s="2" t="str" cm="1">
        <f t="array" ref="B792">_xlfn.IFS(HR_table[[#This Row],[Age]]&lt;=20, "Under 20yrs",HR_table[[#This Row],[Age]]&lt;=30,"(21-30)yrs",HR_table[[#This Row],[Age]]&lt;=40,"(31-40)yrs",HR_table[[#This Row],[Age]]&lt;=50,"(41-50)yrs",HR_table[[#This Row],[Age]]&lt;=60,"(51-60)yrs")</f>
        <v>(31-40)yrs</v>
      </c>
      <c r="C792" t="s">
        <v>43</v>
      </c>
      <c r="D792" t="s">
        <v>36</v>
      </c>
      <c r="E792" t="s">
        <v>45</v>
      </c>
      <c r="F792" t="s">
        <v>38</v>
      </c>
      <c r="G792" t="s">
        <v>54</v>
      </c>
      <c r="H792">
        <v>1099</v>
      </c>
      <c r="I792" s="2">
        <v>5</v>
      </c>
      <c r="J792" s="2">
        <v>4</v>
      </c>
      <c r="K792" t="s">
        <v>46</v>
      </c>
      <c r="L792" s="2">
        <v>3</v>
      </c>
      <c r="M792" s="2">
        <v>4</v>
      </c>
      <c r="N792" t="s">
        <v>52</v>
      </c>
      <c r="O792" s="2">
        <v>7119</v>
      </c>
      <c r="P792" s="2">
        <v>21214</v>
      </c>
      <c r="Q792" s="2">
        <v>4</v>
      </c>
      <c r="R792" t="s">
        <v>43</v>
      </c>
      <c r="S792" s="2">
        <v>3</v>
      </c>
      <c r="T792" s="2">
        <v>3</v>
      </c>
      <c r="U792">
        <v>80</v>
      </c>
      <c r="V792" s="2">
        <v>9</v>
      </c>
      <c r="W792">
        <v>2</v>
      </c>
      <c r="X792">
        <v>3</v>
      </c>
      <c r="Y792">
        <v>3</v>
      </c>
      <c r="Z792">
        <v>2</v>
      </c>
      <c r="AA792">
        <v>1</v>
      </c>
      <c r="AB792">
        <v>2</v>
      </c>
    </row>
    <row r="793" spans="1:28" x14ac:dyDescent="0.35">
      <c r="A793" s="2">
        <v>35</v>
      </c>
      <c r="B793" s="2" t="str" cm="1">
        <f t="array" ref="B793">_xlfn.IFS(HR_table[[#This Row],[Age]]&lt;=20, "Under 20yrs",HR_table[[#This Row],[Age]]&lt;=30,"(21-30)yrs",HR_table[[#This Row],[Age]]&lt;=40,"(31-40)yrs",HR_table[[#This Row],[Age]]&lt;=50,"(41-50)yrs",HR_table[[#This Row],[Age]]&lt;=60,"(51-60)yrs")</f>
        <v>(31-40)yrs</v>
      </c>
      <c r="C793" t="s">
        <v>35</v>
      </c>
      <c r="D793" t="s">
        <v>36</v>
      </c>
      <c r="E793" t="s">
        <v>37</v>
      </c>
      <c r="F793" t="s">
        <v>60</v>
      </c>
      <c r="G793" t="s">
        <v>40</v>
      </c>
      <c r="H793">
        <v>1100</v>
      </c>
      <c r="I793" s="2">
        <v>4</v>
      </c>
      <c r="J793" s="2">
        <v>4</v>
      </c>
      <c r="K793" t="s">
        <v>46</v>
      </c>
      <c r="L793" s="2">
        <v>3</v>
      </c>
      <c r="M793" s="2">
        <v>1</v>
      </c>
      <c r="N793" t="s">
        <v>41</v>
      </c>
      <c r="O793" s="2">
        <v>9582</v>
      </c>
      <c r="P793" s="2">
        <v>10333</v>
      </c>
      <c r="Q793" s="2">
        <v>0</v>
      </c>
      <c r="R793" t="s">
        <v>35</v>
      </c>
      <c r="S793" s="2">
        <v>4</v>
      </c>
      <c r="T793" s="2">
        <v>1</v>
      </c>
      <c r="U793">
        <v>80</v>
      </c>
      <c r="V793" s="2">
        <v>9</v>
      </c>
      <c r="W793">
        <v>2</v>
      </c>
      <c r="X793">
        <v>3</v>
      </c>
      <c r="Y793">
        <v>8</v>
      </c>
      <c r="Z793">
        <v>7</v>
      </c>
      <c r="AA793">
        <v>4</v>
      </c>
      <c r="AB793">
        <v>7</v>
      </c>
    </row>
    <row r="794" spans="1:28" x14ac:dyDescent="0.35">
      <c r="A794" s="2">
        <v>33</v>
      </c>
      <c r="B794" s="2" t="str" cm="1">
        <f t="array" ref="B794">_xlfn.IFS(HR_table[[#This Row],[Age]]&lt;=20, "Under 20yrs",HR_table[[#This Row],[Age]]&lt;=30,"(21-30)yrs",HR_table[[#This Row],[Age]]&lt;=40,"(31-40)yrs",HR_table[[#This Row],[Age]]&lt;=50,"(41-50)yrs",HR_table[[#This Row],[Age]]&lt;=60,"(51-60)yrs")</f>
        <v>(31-40)yrs</v>
      </c>
      <c r="C794" t="s">
        <v>35</v>
      </c>
      <c r="D794" t="s">
        <v>44</v>
      </c>
      <c r="E794" t="s">
        <v>45</v>
      </c>
      <c r="F794" t="s">
        <v>51</v>
      </c>
      <c r="G794" t="s">
        <v>47</v>
      </c>
      <c r="H794">
        <v>1101</v>
      </c>
      <c r="I794" s="2">
        <v>29</v>
      </c>
      <c r="J794" s="2">
        <v>1</v>
      </c>
      <c r="K794" t="s">
        <v>39</v>
      </c>
      <c r="L794" s="2">
        <v>2</v>
      </c>
      <c r="M794" s="2">
        <v>3</v>
      </c>
      <c r="N794" t="s">
        <v>41</v>
      </c>
      <c r="O794" s="2">
        <v>4508</v>
      </c>
      <c r="P794" s="2">
        <v>3129</v>
      </c>
      <c r="Q794" s="2">
        <v>1</v>
      </c>
      <c r="R794" t="s">
        <v>43</v>
      </c>
      <c r="S794" s="2">
        <v>4</v>
      </c>
      <c r="T794" s="2">
        <v>2</v>
      </c>
      <c r="U794">
        <v>80</v>
      </c>
      <c r="V794" s="2">
        <v>14</v>
      </c>
      <c r="W794">
        <v>4</v>
      </c>
      <c r="X794">
        <v>3</v>
      </c>
      <c r="Y794">
        <v>13</v>
      </c>
      <c r="Z794">
        <v>7</v>
      </c>
      <c r="AA794">
        <v>3</v>
      </c>
      <c r="AB794">
        <v>8</v>
      </c>
    </row>
    <row r="795" spans="1:28" x14ac:dyDescent="0.35">
      <c r="A795" s="2">
        <v>28</v>
      </c>
      <c r="B795" s="2" t="str" cm="1">
        <f t="array" ref="B795">_xlfn.IFS(HR_table[[#This Row],[Age]]&lt;=20, "Under 20yrs",HR_table[[#This Row],[Age]]&lt;=30,"(21-30)yrs",HR_table[[#This Row],[Age]]&lt;=40,"(31-40)yrs",HR_table[[#This Row],[Age]]&lt;=50,"(41-50)yrs",HR_table[[#This Row],[Age]]&lt;=60,"(51-60)yrs")</f>
        <v>(21-30)yrs</v>
      </c>
      <c r="C795" t="s">
        <v>43</v>
      </c>
      <c r="D795" t="s">
        <v>36</v>
      </c>
      <c r="E795" t="s">
        <v>45</v>
      </c>
      <c r="F795" t="s">
        <v>38</v>
      </c>
      <c r="G795" t="s">
        <v>50</v>
      </c>
      <c r="H795">
        <v>1102</v>
      </c>
      <c r="I795" s="2">
        <v>15</v>
      </c>
      <c r="J795" s="2">
        <v>1</v>
      </c>
      <c r="K795" t="s">
        <v>46</v>
      </c>
      <c r="L795" s="2">
        <v>1</v>
      </c>
      <c r="M795" s="2">
        <v>3</v>
      </c>
      <c r="N795" t="s">
        <v>52</v>
      </c>
      <c r="O795" s="2">
        <v>2207</v>
      </c>
      <c r="P795" s="2">
        <v>22482</v>
      </c>
      <c r="Q795" s="2">
        <v>1</v>
      </c>
      <c r="R795" t="s">
        <v>43</v>
      </c>
      <c r="S795" s="2">
        <v>3</v>
      </c>
      <c r="T795" s="2">
        <v>4</v>
      </c>
      <c r="U795">
        <v>80</v>
      </c>
      <c r="V795" s="2">
        <v>4</v>
      </c>
      <c r="W795">
        <v>5</v>
      </c>
      <c r="X795">
        <v>2</v>
      </c>
      <c r="Y795">
        <v>4</v>
      </c>
      <c r="Z795">
        <v>2</v>
      </c>
      <c r="AA795">
        <v>2</v>
      </c>
      <c r="AB795">
        <v>2</v>
      </c>
    </row>
    <row r="796" spans="1:28" x14ac:dyDescent="0.35">
      <c r="A796" s="2">
        <v>34</v>
      </c>
      <c r="B796" s="2" t="str" cm="1">
        <f t="array" ref="B796">_xlfn.IFS(HR_table[[#This Row],[Age]]&lt;=20, "Under 20yrs",HR_table[[#This Row],[Age]]&lt;=30,"(21-30)yrs",HR_table[[#This Row],[Age]]&lt;=40,"(31-40)yrs",HR_table[[#This Row],[Age]]&lt;=50,"(41-50)yrs",HR_table[[#This Row],[Age]]&lt;=60,"(51-60)yrs")</f>
        <v>(31-40)yrs</v>
      </c>
      <c r="C796" t="s">
        <v>43</v>
      </c>
      <c r="D796" t="s">
        <v>44</v>
      </c>
      <c r="E796" t="s">
        <v>45</v>
      </c>
      <c r="F796" t="s">
        <v>38</v>
      </c>
      <c r="G796" t="s">
        <v>54</v>
      </c>
      <c r="H796">
        <v>1103</v>
      </c>
      <c r="I796" s="2">
        <v>3</v>
      </c>
      <c r="J796" s="2">
        <v>1</v>
      </c>
      <c r="K796" t="s">
        <v>46</v>
      </c>
      <c r="L796" s="2">
        <v>2</v>
      </c>
      <c r="M796" s="2">
        <v>4</v>
      </c>
      <c r="N796" t="s">
        <v>41</v>
      </c>
      <c r="O796" s="2">
        <v>7756</v>
      </c>
      <c r="P796" s="2">
        <v>22266</v>
      </c>
      <c r="Q796" s="2">
        <v>0</v>
      </c>
      <c r="R796" t="s">
        <v>43</v>
      </c>
      <c r="S796" s="2">
        <v>3</v>
      </c>
      <c r="T796" s="2">
        <v>3</v>
      </c>
      <c r="U796">
        <v>80</v>
      </c>
      <c r="V796" s="2">
        <v>7</v>
      </c>
      <c r="W796">
        <v>1</v>
      </c>
      <c r="X796">
        <v>2</v>
      </c>
      <c r="Y796">
        <v>6</v>
      </c>
      <c r="Z796">
        <v>2</v>
      </c>
      <c r="AA796">
        <v>0</v>
      </c>
      <c r="AB796">
        <v>4</v>
      </c>
    </row>
    <row r="797" spans="1:28" x14ac:dyDescent="0.35">
      <c r="A797" s="2">
        <v>37</v>
      </c>
      <c r="B797" s="2" t="str" cm="1">
        <f t="array" ref="B797">_xlfn.IFS(HR_table[[#This Row],[Age]]&lt;=20, "Under 20yrs",HR_table[[#This Row],[Age]]&lt;=30,"(21-30)yrs",HR_table[[#This Row],[Age]]&lt;=40,"(31-40)yrs",HR_table[[#This Row],[Age]]&lt;=50,"(41-50)yrs",HR_table[[#This Row],[Age]]&lt;=60,"(51-60)yrs")</f>
        <v>(31-40)yrs</v>
      </c>
      <c r="C797" t="s">
        <v>43</v>
      </c>
      <c r="D797" t="s">
        <v>36</v>
      </c>
      <c r="E797" t="s">
        <v>37</v>
      </c>
      <c r="F797" t="s">
        <v>38</v>
      </c>
      <c r="G797" t="s">
        <v>40</v>
      </c>
      <c r="H797">
        <v>1105</v>
      </c>
      <c r="I797" s="2">
        <v>10</v>
      </c>
      <c r="J797" s="2">
        <v>4</v>
      </c>
      <c r="K797" t="s">
        <v>39</v>
      </c>
      <c r="L797" s="2">
        <v>2</v>
      </c>
      <c r="M797" s="2">
        <v>4</v>
      </c>
      <c r="N797" t="s">
        <v>52</v>
      </c>
      <c r="O797" s="2">
        <v>6694</v>
      </c>
      <c r="P797" s="2">
        <v>24223</v>
      </c>
      <c r="Q797" s="2">
        <v>2</v>
      </c>
      <c r="R797" t="s">
        <v>35</v>
      </c>
      <c r="S797" s="2">
        <v>3</v>
      </c>
      <c r="T797" s="2">
        <v>3</v>
      </c>
      <c r="U797">
        <v>80</v>
      </c>
      <c r="V797" s="2">
        <v>8</v>
      </c>
      <c r="W797">
        <v>5</v>
      </c>
      <c r="X797">
        <v>3</v>
      </c>
      <c r="Y797">
        <v>1</v>
      </c>
      <c r="Z797">
        <v>0</v>
      </c>
      <c r="AA797">
        <v>0</v>
      </c>
      <c r="AB797">
        <v>0</v>
      </c>
    </row>
    <row r="798" spans="1:28" x14ac:dyDescent="0.35">
      <c r="A798" s="2">
        <v>25</v>
      </c>
      <c r="B798" s="2" t="str" cm="1">
        <f t="array" ref="B798">_xlfn.IFS(HR_table[[#This Row],[Age]]&lt;=20, "Under 20yrs",HR_table[[#This Row],[Age]]&lt;=30,"(21-30)yrs",HR_table[[#This Row],[Age]]&lt;=40,"(31-40)yrs",HR_table[[#This Row],[Age]]&lt;=50,"(41-50)yrs",HR_table[[#This Row],[Age]]&lt;=60,"(51-60)yrs")</f>
        <v>(21-30)yrs</v>
      </c>
      <c r="C798" t="s">
        <v>35</v>
      </c>
      <c r="D798" t="s">
        <v>36</v>
      </c>
      <c r="E798" t="s">
        <v>45</v>
      </c>
      <c r="F798" t="s">
        <v>60</v>
      </c>
      <c r="G798" t="s">
        <v>50</v>
      </c>
      <c r="H798">
        <v>1106</v>
      </c>
      <c r="I798" s="2">
        <v>4</v>
      </c>
      <c r="J798" s="2">
        <v>4</v>
      </c>
      <c r="K798" t="s">
        <v>46</v>
      </c>
      <c r="L798" s="2">
        <v>1</v>
      </c>
      <c r="M798" s="2">
        <v>4</v>
      </c>
      <c r="N798" t="s">
        <v>48</v>
      </c>
      <c r="O798" s="2">
        <v>3691</v>
      </c>
      <c r="P798" s="2">
        <v>4605</v>
      </c>
      <c r="Q798" s="2">
        <v>1</v>
      </c>
      <c r="R798" t="s">
        <v>35</v>
      </c>
      <c r="S798" s="2">
        <v>3</v>
      </c>
      <c r="T798" s="2">
        <v>2</v>
      </c>
      <c r="U798">
        <v>80</v>
      </c>
      <c r="V798" s="2">
        <v>7</v>
      </c>
      <c r="W798">
        <v>3</v>
      </c>
      <c r="X798">
        <v>4</v>
      </c>
      <c r="Y798">
        <v>7</v>
      </c>
      <c r="Z798">
        <v>7</v>
      </c>
      <c r="AA798">
        <v>5</v>
      </c>
      <c r="AB798">
        <v>6</v>
      </c>
    </row>
    <row r="799" spans="1:28" x14ac:dyDescent="0.35">
      <c r="A799" s="2">
        <v>26</v>
      </c>
      <c r="B799" s="2" t="str" cm="1">
        <f t="array" ref="B799">_xlfn.IFS(HR_table[[#This Row],[Age]]&lt;=20, "Under 20yrs",HR_table[[#This Row],[Age]]&lt;=30,"(21-30)yrs",HR_table[[#This Row],[Age]]&lt;=40,"(31-40)yrs",HR_table[[#This Row],[Age]]&lt;=50,"(41-50)yrs",HR_table[[#This Row],[Age]]&lt;=60,"(51-60)yrs")</f>
        <v>(21-30)yrs</v>
      </c>
      <c r="C799" t="s">
        <v>35</v>
      </c>
      <c r="D799" t="s">
        <v>36</v>
      </c>
      <c r="E799" t="s">
        <v>45</v>
      </c>
      <c r="F799" t="s">
        <v>51</v>
      </c>
      <c r="G799" t="s">
        <v>50</v>
      </c>
      <c r="H799">
        <v>1107</v>
      </c>
      <c r="I799" s="2">
        <v>21</v>
      </c>
      <c r="J799" s="2">
        <v>1</v>
      </c>
      <c r="K799" t="s">
        <v>46</v>
      </c>
      <c r="L799" s="2">
        <v>1</v>
      </c>
      <c r="M799" s="2">
        <v>3</v>
      </c>
      <c r="N799" t="s">
        <v>52</v>
      </c>
      <c r="O799" s="2">
        <v>2377</v>
      </c>
      <c r="P799" s="2">
        <v>19373</v>
      </c>
      <c r="Q799" s="2">
        <v>1</v>
      </c>
      <c r="R799" t="s">
        <v>43</v>
      </c>
      <c r="S799" s="2">
        <v>4</v>
      </c>
      <c r="T799" s="2">
        <v>3</v>
      </c>
      <c r="U799">
        <v>80</v>
      </c>
      <c r="V799" s="2">
        <v>1</v>
      </c>
      <c r="W799">
        <v>0</v>
      </c>
      <c r="X799">
        <v>2</v>
      </c>
      <c r="Y799">
        <v>1</v>
      </c>
      <c r="Z799">
        <v>1</v>
      </c>
      <c r="AA799">
        <v>0</v>
      </c>
      <c r="AB799">
        <v>0</v>
      </c>
    </row>
    <row r="800" spans="1:28" x14ac:dyDescent="0.35">
      <c r="A800" s="2">
        <v>33</v>
      </c>
      <c r="B800" s="2" t="str" cm="1">
        <f t="array" ref="B800">_xlfn.IFS(HR_table[[#This Row],[Age]]&lt;=20, "Under 20yrs",HR_table[[#This Row],[Age]]&lt;=30,"(21-30)yrs",HR_table[[#This Row],[Age]]&lt;=40,"(31-40)yrs",HR_table[[#This Row],[Age]]&lt;=50,"(41-50)yrs",HR_table[[#This Row],[Age]]&lt;=60,"(51-60)yrs")</f>
        <v>(31-40)yrs</v>
      </c>
      <c r="C800" t="s">
        <v>35</v>
      </c>
      <c r="D800" t="s">
        <v>36</v>
      </c>
      <c r="E800" t="s">
        <v>45</v>
      </c>
      <c r="F800" t="s">
        <v>51</v>
      </c>
      <c r="G800" t="s">
        <v>47</v>
      </c>
      <c r="H800">
        <v>1108</v>
      </c>
      <c r="I800" s="2">
        <v>25</v>
      </c>
      <c r="J800" s="2">
        <v>1</v>
      </c>
      <c r="K800" t="s">
        <v>46</v>
      </c>
      <c r="L800" s="2">
        <v>1</v>
      </c>
      <c r="M800" s="2">
        <v>2</v>
      </c>
      <c r="N800" t="s">
        <v>41</v>
      </c>
      <c r="O800" s="2">
        <v>2313</v>
      </c>
      <c r="P800" s="2">
        <v>2993</v>
      </c>
      <c r="Q800" s="2">
        <v>4</v>
      </c>
      <c r="R800" t="s">
        <v>35</v>
      </c>
      <c r="S800" s="2">
        <v>4</v>
      </c>
      <c r="T800" s="2">
        <v>2</v>
      </c>
      <c r="U800">
        <v>80</v>
      </c>
      <c r="V800" s="2">
        <v>5</v>
      </c>
      <c r="W800">
        <v>0</v>
      </c>
      <c r="X800">
        <v>3</v>
      </c>
      <c r="Y800">
        <v>2</v>
      </c>
      <c r="Z800">
        <v>2</v>
      </c>
      <c r="AA800">
        <v>2</v>
      </c>
      <c r="AB800">
        <v>2</v>
      </c>
    </row>
    <row r="801" spans="1:28" x14ac:dyDescent="0.35">
      <c r="A801" s="2">
        <v>42</v>
      </c>
      <c r="B801" s="2" t="str" cm="1">
        <f t="array" ref="B801">_xlfn.IFS(HR_table[[#This Row],[Age]]&lt;=20, "Under 20yrs",HR_table[[#This Row],[Age]]&lt;=30,"(21-30)yrs",HR_table[[#This Row],[Age]]&lt;=40,"(31-40)yrs",HR_table[[#This Row],[Age]]&lt;=50,"(41-50)yrs",HR_table[[#This Row],[Age]]&lt;=60,"(51-60)yrs")</f>
        <v>(41-50)yrs</v>
      </c>
      <c r="C801" t="s">
        <v>43</v>
      </c>
      <c r="D801" t="s">
        <v>36</v>
      </c>
      <c r="E801" t="s">
        <v>45</v>
      </c>
      <c r="F801" t="s">
        <v>51</v>
      </c>
      <c r="G801" t="s">
        <v>56</v>
      </c>
      <c r="H801">
        <v>1109</v>
      </c>
      <c r="I801" s="2">
        <v>2</v>
      </c>
      <c r="J801" s="2">
        <v>4</v>
      </c>
      <c r="K801" t="s">
        <v>46</v>
      </c>
      <c r="L801" s="2">
        <v>4</v>
      </c>
      <c r="M801" s="2">
        <v>1</v>
      </c>
      <c r="N801" t="s">
        <v>48</v>
      </c>
      <c r="O801" s="2">
        <v>17665</v>
      </c>
      <c r="P801" s="2">
        <v>14399</v>
      </c>
      <c r="Q801" s="2">
        <v>0</v>
      </c>
      <c r="R801" t="s">
        <v>43</v>
      </c>
      <c r="S801" s="2">
        <v>3</v>
      </c>
      <c r="T801" s="2">
        <v>4</v>
      </c>
      <c r="U801">
        <v>80</v>
      </c>
      <c r="V801" s="2">
        <v>23</v>
      </c>
      <c r="W801">
        <v>3</v>
      </c>
      <c r="X801">
        <v>3</v>
      </c>
      <c r="Y801">
        <v>22</v>
      </c>
      <c r="Z801">
        <v>6</v>
      </c>
      <c r="AA801">
        <v>13</v>
      </c>
      <c r="AB801">
        <v>7</v>
      </c>
    </row>
    <row r="802" spans="1:28" x14ac:dyDescent="0.35">
      <c r="A802" s="2">
        <v>28</v>
      </c>
      <c r="B802" s="2" t="str" cm="1">
        <f t="array" ref="B802">_xlfn.IFS(HR_table[[#This Row],[Age]]&lt;=20, "Under 20yrs",HR_table[[#This Row],[Age]]&lt;=30,"(21-30)yrs",HR_table[[#This Row],[Age]]&lt;=40,"(31-40)yrs",HR_table[[#This Row],[Age]]&lt;=50,"(41-50)yrs",HR_table[[#This Row],[Age]]&lt;=60,"(51-60)yrs")</f>
        <v>(21-30)yrs</v>
      </c>
      <c r="C802" t="s">
        <v>35</v>
      </c>
      <c r="D802" t="s">
        <v>44</v>
      </c>
      <c r="E802" t="s">
        <v>45</v>
      </c>
      <c r="F802" t="s">
        <v>51</v>
      </c>
      <c r="G802" t="s">
        <v>50</v>
      </c>
      <c r="H802">
        <v>1111</v>
      </c>
      <c r="I802" s="2">
        <v>1</v>
      </c>
      <c r="J802" s="2">
        <v>1</v>
      </c>
      <c r="K802" t="s">
        <v>46</v>
      </c>
      <c r="L802" s="2">
        <v>1</v>
      </c>
      <c r="M802" s="2">
        <v>2</v>
      </c>
      <c r="N802" t="s">
        <v>52</v>
      </c>
      <c r="O802" s="2">
        <v>2596</v>
      </c>
      <c r="P802" s="2">
        <v>7160</v>
      </c>
      <c r="Q802" s="2">
        <v>1</v>
      </c>
      <c r="R802" t="s">
        <v>43</v>
      </c>
      <c r="S802" s="2">
        <v>3</v>
      </c>
      <c r="T802" s="2">
        <v>1</v>
      </c>
      <c r="U802">
        <v>80</v>
      </c>
      <c r="V802" s="2">
        <v>1</v>
      </c>
      <c r="W802">
        <v>2</v>
      </c>
      <c r="X802">
        <v>3</v>
      </c>
      <c r="Y802">
        <v>1</v>
      </c>
      <c r="Z802">
        <v>0</v>
      </c>
      <c r="AA802">
        <v>0</v>
      </c>
      <c r="AB802">
        <v>0</v>
      </c>
    </row>
    <row r="803" spans="1:28" x14ac:dyDescent="0.35">
      <c r="A803" s="2">
        <v>50</v>
      </c>
      <c r="B803" s="2" t="str" cm="1">
        <f t="array" ref="B803">_xlfn.IFS(HR_table[[#This Row],[Age]]&lt;=20, "Under 20yrs",HR_table[[#This Row],[Age]]&lt;=30,"(21-30)yrs",HR_table[[#This Row],[Age]]&lt;=40,"(31-40)yrs",HR_table[[#This Row],[Age]]&lt;=50,"(41-50)yrs",HR_table[[#This Row],[Age]]&lt;=60,"(51-60)yrs")</f>
        <v>(41-50)yrs</v>
      </c>
      <c r="C803" t="s">
        <v>35</v>
      </c>
      <c r="D803" t="s">
        <v>44</v>
      </c>
      <c r="E803" t="s">
        <v>37</v>
      </c>
      <c r="F803" t="s">
        <v>49</v>
      </c>
      <c r="G803" t="s">
        <v>40</v>
      </c>
      <c r="H803">
        <v>1113</v>
      </c>
      <c r="I803" s="2">
        <v>1</v>
      </c>
      <c r="J803" s="2">
        <v>4</v>
      </c>
      <c r="K803" t="s">
        <v>46</v>
      </c>
      <c r="L803" s="2">
        <v>2</v>
      </c>
      <c r="M803" s="2">
        <v>3</v>
      </c>
      <c r="N803" t="s">
        <v>41</v>
      </c>
      <c r="O803" s="2">
        <v>4728</v>
      </c>
      <c r="P803" s="2">
        <v>17251</v>
      </c>
      <c r="Q803" s="2">
        <v>3</v>
      </c>
      <c r="R803" t="s">
        <v>35</v>
      </c>
      <c r="S803" s="2">
        <v>3</v>
      </c>
      <c r="T803" s="2">
        <v>4</v>
      </c>
      <c r="U803">
        <v>80</v>
      </c>
      <c r="V803" s="2">
        <v>5</v>
      </c>
      <c r="W803">
        <v>4</v>
      </c>
      <c r="X803">
        <v>3</v>
      </c>
      <c r="Y803">
        <v>0</v>
      </c>
      <c r="Z803">
        <v>0</v>
      </c>
      <c r="AA803">
        <v>0</v>
      </c>
      <c r="AB803">
        <v>0</v>
      </c>
    </row>
    <row r="804" spans="1:28" x14ac:dyDescent="0.35">
      <c r="A804" s="2">
        <v>33</v>
      </c>
      <c r="B804" s="2" t="str" cm="1">
        <f t="array" ref="B804">_xlfn.IFS(HR_table[[#This Row],[Age]]&lt;=20, "Under 20yrs",HR_table[[#This Row],[Age]]&lt;=30,"(21-30)yrs",HR_table[[#This Row],[Age]]&lt;=40,"(31-40)yrs",HR_table[[#This Row],[Age]]&lt;=50,"(41-50)yrs",HR_table[[#This Row],[Age]]&lt;=60,"(51-60)yrs")</f>
        <v>(31-40)yrs</v>
      </c>
      <c r="C804" t="s">
        <v>43</v>
      </c>
      <c r="D804" t="s">
        <v>44</v>
      </c>
      <c r="E804" t="s">
        <v>37</v>
      </c>
      <c r="F804" t="s">
        <v>38</v>
      </c>
      <c r="G804" t="s">
        <v>40</v>
      </c>
      <c r="H804">
        <v>1114</v>
      </c>
      <c r="I804" s="2">
        <v>7</v>
      </c>
      <c r="J804" s="2">
        <v>4</v>
      </c>
      <c r="K804" t="s">
        <v>39</v>
      </c>
      <c r="L804" s="2">
        <v>2</v>
      </c>
      <c r="M804" s="2">
        <v>2</v>
      </c>
      <c r="N804" t="s">
        <v>48</v>
      </c>
      <c r="O804" s="2">
        <v>4302</v>
      </c>
      <c r="P804" s="2">
        <v>13401</v>
      </c>
      <c r="Q804" s="2">
        <v>0</v>
      </c>
      <c r="R804" t="s">
        <v>43</v>
      </c>
      <c r="S804" s="2">
        <v>3</v>
      </c>
      <c r="T804" s="2">
        <v>3</v>
      </c>
      <c r="U804">
        <v>80</v>
      </c>
      <c r="V804" s="2">
        <v>4</v>
      </c>
      <c r="W804">
        <v>3</v>
      </c>
      <c r="X804">
        <v>3</v>
      </c>
      <c r="Y804">
        <v>3</v>
      </c>
      <c r="Z804">
        <v>2</v>
      </c>
      <c r="AA804">
        <v>0</v>
      </c>
      <c r="AB804">
        <v>2</v>
      </c>
    </row>
    <row r="805" spans="1:28" x14ac:dyDescent="0.35">
      <c r="A805" s="2">
        <v>34</v>
      </c>
      <c r="B805" s="2" t="str" cm="1">
        <f t="array" ref="B805">_xlfn.IFS(HR_table[[#This Row],[Age]]&lt;=20, "Under 20yrs",HR_table[[#This Row],[Age]]&lt;=30,"(21-30)yrs",HR_table[[#This Row],[Age]]&lt;=40,"(31-40)yrs",HR_table[[#This Row],[Age]]&lt;=50,"(41-50)yrs",HR_table[[#This Row],[Age]]&lt;=60,"(51-60)yrs")</f>
        <v>(31-40)yrs</v>
      </c>
      <c r="C805" t="s">
        <v>43</v>
      </c>
      <c r="D805" t="s">
        <v>55</v>
      </c>
      <c r="E805" t="s">
        <v>45</v>
      </c>
      <c r="F805" t="s">
        <v>38</v>
      </c>
      <c r="G805" t="s">
        <v>47</v>
      </c>
      <c r="H805">
        <v>1115</v>
      </c>
      <c r="I805" s="2">
        <v>3</v>
      </c>
      <c r="J805" s="2">
        <v>3</v>
      </c>
      <c r="K805" t="s">
        <v>46</v>
      </c>
      <c r="L805" s="2">
        <v>1</v>
      </c>
      <c r="M805" s="2">
        <v>4</v>
      </c>
      <c r="N805" t="s">
        <v>48</v>
      </c>
      <c r="O805" s="2">
        <v>2979</v>
      </c>
      <c r="P805" s="2">
        <v>22478</v>
      </c>
      <c r="Q805" s="2">
        <v>3</v>
      </c>
      <c r="R805" t="s">
        <v>43</v>
      </c>
      <c r="S805" s="2">
        <v>3</v>
      </c>
      <c r="T805" s="2">
        <v>4</v>
      </c>
      <c r="U805">
        <v>80</v>
      </c>
      <c r="V805" s="2">
        <v>6</v>
      </c>
      <c r="W805">
        <v>2</v>
      </c>
      <c r="X805">
        <v>3</v>
      </c>
      <c r="Y805">
        <v>0</v>
      </c>
      <c r="Z805">
        <v>0</v>
      </c>
      <c r="AA805">
        <v>0</v>
      </c>
      <c r="AB805">
        <v>0</v>
      </c>
    </row>
    <row r="806" spans="1:28" x14ac:dyDescent="0.35">
      <c r="A806" s="2">
        <v>48</v>
      </c>
      <c r="B806" s="2" t="str" cm="1">
        <f t="array" ref="B806">_xlfn.IFS(HR_table[[#This Row],[Age]]&lt;=20, "Under 20yrs",HR_table[[#This Row],[Age]]&lt;=30,"(21-30)yrs",HR_table[[#This Row],[Age]]&lt;=40,"(31-40)yrs",HR_table[[#This Row],[Age]]&lt;=50,"(41-50)yrs",HR_table[[#This Row],[Age]]&lt;=60,"(51-60)yrs")</f>
        <v>(41-50)yrs</v>
      </c>
      <c r="C806" t="s">
        <v>43</v>
      </c>
      <c r="D806" t="s">
        <v>55</v>
      </c>
      <c r="E806" t="s">
        <v>45</v>
      </c>
      <c r="F806" t="s">
        <v>51</v>
      </c>
      <c r="G806" t="s">
        <v>56</v>
      </c>
      <c r="H806">
        <v>1116</v>
      </c>
      <c r="I806" s="2">
        <v>1</v>
      </c>
      <c r="J806" s="2">
        <v>1</v>
      </c>
      <c r="K806" t="s">
        <v>46</v>
      </c>
      <c r="L806" s="2">
        <v>4</v>
      </c>
      <c r="M806" s="2">
        <v>4</v>
      </c>
      <c r="N806" t="s">
        <v>41</v>
      </c>
      <c r="O806" s="2">
        <v>16885</v>
      </c>
      <c r="P806" s="2">
        <v>16154</v>
      </c>
      <c r="Q806" s="2">
        <v>2</v>
      </c>
      <c r="R806" t="s">
        <v>43</v>
      </c>
      <c r="S806" s="2">
        <v>4</v>
      </c>
      <c r="T806" s="2">
        <v>3</v>
      </c>
      <c r="U806">
        <v>80</v>
      </c>
      <c r="V806" s="2">
        <v>27</v>
      </c>
      <c r="W806">
        <v>3</v>
      </c>
      <c r="X806">
        <v>2</v>
      </c>
      <c r="Y806">
        <v>5</v>
      </c>
      <c r="Z806">
        <v>4</v>
      </c>
      <c r="AA806">
        <v>2</v>
      </c>
      <c r="AB806">
        <v>1</v>
      </c>
    </row>
    <row r="807" spans="1:28" x14ac:dyDescent="0.35">
      <c r="A807" s="2">
        <v>45</v>
      </c>
      <c r="B807" s="2" t="str" cm="1">
        <f t="array" ref="B807">_xlfn.IFS(HR_table[[#This Row],[Age]]&lt;=20, "Under 20yrs",HR_table[[#This Row],[Age]]&lt;=30,"(21-30)yrs",HR_table[[#This Row],[Age]]&lt;=40,"(31-40)yrs",HR_table[[#This Row],[Age]]&lt;=50,"(41-50)yrs",HR_table[[#This Row],[Age]]&lt;=60,"(51-60)yrs")</f>
        <v>(41-50)yrs</v>
      </c>
      <c r="C807" t="s">
        <v>43</v>
      </c>
      <c r="D807" t="s">
        <v>55</v>
      </c>
      <c r="E807" t="s">
        <v>37</v>
      </c>
      <c r="F807" t="s">
        <v>38</v>
      </c>
      <c r="G807" t="s">
        <v>40</v>
      </c>
      <c r="H807">
        <v>1117</v>
      </c>
      <c r="I807" s="2">
        <v>9</v>
      </c>
      <c r="J807" s="2">
        <v>2</v>
      </c>
      <c r="K807" t="s">
        <v>39</v>
      </c>
      <c r="L807" s="2">
        <v>2</v>
      </c>
      <c r="M807" s="2">
        <v>3</v>
      </c>
      <c r="N807" t="s">
        <v>48</v>
      </c>
      <c r="O807" s="2">
        <v>5593</v>
      </c>
      <c r="P807" s="2">
        <v>17970</v>
      </c>
      <c r="Q807" s="2">
        <v>1</v>
      </c>
      <c r="R807" t="s">
        <v>43</v>
      </c>
      <c r="S807" s="2">
        <v>3</v>
      </c>
      <c r="T807" s="2">
        <v>4</v>
      </c>
      <c r="U807">
        <v>80</v>
      </c>
      <c r="V807" s="2">
        <v>15</v>
      </c>
      <c r="W807">
        <v>2</v>
      </c>
      <c r="X807">
        <v>3</v>
      </c>
      <c r="Y807">
        <v>15</v>
      </c>
      <c r="Z807">
        <v>10</v>
      </c>
      <c r="AA807">
        <v>4</v>
      </c>
      <c r="AB807">
        <v>12</v>
      </c>
    </row>
    <row r="808" spans="1:28" x14ac:dyDescent="0.35">
      <c r="A808" s="2">
        <v>52</v>
      </c>
      <c r="B808" s="2" t="str" cm="1">
        <f t="array" ref="B808">_xlfn.IFS(HR_table[[#This Row],[Age]]&lt;=20, "Under 20yrs",HR_table[[#This Row],[Age]]&lt;=30,"(21-30)yrs",HR_table[[#This Row],[Age]]&lt;=40,"(31-40)yrs",HR_table[[#This Row],[Age]]&lt;=50,"(41-50)yrs",HR_table[[#This Row],[Age]]&lt;=60,"(51-60)yrs")</f>
        <v>(51-60)yrs</v>
      </c>
      <c r="C808" t="s">
        <v>43</v>
      </c>
      <c r="D808" t="s">
        <v>36</v>
      </c>
      <c r="E808" t="s">
        <v>45</v>
      </c>
      <c r="F808" t="s">
        <v>38</v>
      </c>
      <c r="G808" t="s">
        <v>54</v>
      </c>
      <c r="H808">
        <v>1118</v>
      </c>
      <c r="I808" s="2">
        <v>7</v>
      </c>
      <c r="J808" s="2">
        <v>2</v>
      </c>
      <c r="K808" t="s">
        <v>46</v>
      </c>
      <c r="L808" s="2">
        <v>3</v>
      </c>
      <c r="M808" s="2">
        <v>2</v>
      </c>
      <c r="N808" t="s">
        <v>41</v>
      </c>
      <c r="O808" s="2">
        <v>10445</v>
      </c>
      <c r="P808" s="2">
        <v>15322</v>
      </c>
      <c r="Q808" s="2">
        <v>7</v>
      </c>
      <c r="R808" t="s">
        <v>43</v>
      </c>
      <c r="S808" s="2">
        <v>3</v>
      </c>
      <c r="T808" s="2">
        <v>4</v>
      </c>
      <c r="U808">
        <v>80</v>
      </c>
      <c r="V808" s="2">
        <v>18</v>
      </c>
      <c r="W808">
        <v>4</v>
      </c>
      <c r="X808">
        <v>3</v>
      </c>
      <c r="Y808">
        <v>8</v>
      </c>
      <c r="Z808">
        <v>6</v>
      </c>
      <c r="AA808">
        <v>4</v>
      </c>
      <c r="AB808">
        <v>0</v>
      </c>
    </row>
    <row r="809" spans="1:28" x14ac:dyDescent="0.35">
      <c r="A809" s="2">
        <v>38</v>
      </c>
      <c r="B809" s="2" t="str" cm="1">
        <f t="array" ref="B809">_xlfn.IFS(HR_table[[#This Row],[Age]]&lt;=20, "Under 20yrs",HR_table[[#This Row],[Age]]&lt;=30,"(21-30)yrs",HR_table[[#This Row],[Age]]&lt;=40,"(31-40)yrs",HR_table[[#This Row],[Age]]&lt;=50,"(41-50)yrs",HR_table[[#This Row],[Age]]&lt;=60,"(51-60)yrs")</f>
        <v>(31-40)yrs</v>
      </c>
      <c r="C809" t="s">
        <v>43</v>
      </c>
      <c r="D809" t="s">
        <v>36</v>
      </c>
      <c r="E809" t="s">
        <v>37</v>
      </c>
      <c r="F809" t="s">
        <v>59</v>
      </c>
      <c r="G809" t="s">
        <v>40</v>
      </c>
      <c r="H809">
        <v>1119</v>
      </c>
      <c r="I809" s="2">
        <v>10</v>
      </c>
      <c r="J809" s="2">
        <v>3</v>
      </c>
      <c r="K809" t="s">
        <v>46</v>
      </c>
      <c r="L809" s="2">
        <v>3</v>
      </c>
      <c r="M809" s="2">
        <v>3</v>
      </c>
      <c r="N809" t="s">
        <v>52</v>
      </c>
      <c r="O809" s="2">
        <v>8740</v>
      </c>
      <c r="P809" s="2">
        <v>5569</v>
      </c>
      <c r="Q809" s="2">
        <v>0</v>
      </c>
      <c r="R809" t="s">
        <v>35</v>
      </c>
      <c r="S809" s="2">
        <v>3</v>
      </c>
      <c r="T809" s="2">
        <v>2</v>
      </c>
      <c r="U809">
        <v>80</v>
      </c>
      <c r="V809" s="2">
        <v>9</v>
      </c>
      <c r="W809">
        <v>2</v>
      </c>
      <c r="X809">
        <v>3</v>
      </c>
      <c r="Y809">
        <v>8</v>
      </c>
      <c r="Z809">
        <v>7</v>
      </c>
      <c r="AA809">
        <v>2</v>
      </c>
      <c r="AB809">
        <v>7</v>
      </c>
    </row>
    <row r="810" spans="1:28" x14ac:dyDescent="0.35">
      <c r="A810" s="2">
        <v>29</v>
      </c>
      <c r="B810" s="2" t="str" cm="1">
        <f t="array" ref="B810">_xlfn.IFS(HR_table[[#This Row],[Age]]&lt;=20, "Under 20yrs",HR_table[[#This Row],[Age]]&lt;=30,"(21-30)yrs",HR_table[[#This Row],[Age]]&lt;=40,"(31-40)yrs",HR_table[[#This Row],[Age]]&lt;=50,"(41-50)yrs",HR_table[[#This Row],[Age]]&lt;=60,"(51-60)yrs")</f>
        <v>(21-30)yrs</v>
      </c>
      <c r="C810" t="s">
        <v>43</v>
      </c>
      <c r="D810" t="s">
        <v>36</v>
      </c>
      <c r="E810" t="s">
        <v>45</v>
      </c>
      <c r="F810" t="s">
        <v>38</v>
      </c>
      <c r="G810" t="s">
        <v>47</v>
      </c>
      <c r="H810">
        <v>1120</v>
      </c>
      <c r="I810" s="2">
        <v>28</v>
      </c>
      <c r="J810" s="2">
        <v>3</v>
      </c>
      <c r="K810" t="s">
        <v>39</v>
      </c>
      <c r="L810" s="2">
        <v>1</v>
      </c>
      <c r="M810" s="2">
        <v>4</v>
      </c>
      <c r="N810" t="s">
        <v>52</v>
      </c>
      <c r="O810" s="2">
        <v>2514</v>
      </c>
      <c r="P810" s="2">
        <v>26968</v>
      </c>
      <c r="Q810" s="2">
        <v>4</v>
      </c>
      <c r="R810" t="s">
        <v>43</v>
      </c>
      <c r="S810" s="2">
        <v>4</v>
      </c>
      <c r="T810" s="2">
        <v>1</v>
      </c>
      <c r="U810">
        <v>80</v>
      </c>
      <c r="V810" s="2">
        <v>11</v>
      </c>
      <c r="W810">
        <v>1</v>
      </c>
      <c r="X810">
        <v>3</v>
      </c>
      <c r="Y810">
        <v>7</v>
      </c>
      <c r="Z810">
        <v>5</v>
      </c>
      <c r="AA810">
        <v>1</v>
      </c>
      <c r="AB810">
        <v>7</v>
      </c>
    </row>
    <row r="811" spans="1:28" x14ac:dyDescent="0.35">
      <c r="A811" s="2">
        <v>28</v>
      </c>
      <c r="B811" s="2" t="str" cm="1">
        <f t="array" ref="B811">_xlfn.IFS(HR_table[[#This Row],[Age]]&lt;=20, "Under 20yrs",HR_table[[#This Row],[Age]]&lt;=30,"(21-30)yrs",HR_table[[#This Row],[Age]]&lt;=40,"(31-40)yrs",HR_table[[#This Row],[Age]]&lt;=50,"(41-50)yrs",HR_table[[#This Row],[Age]]&lt;=60,"(51-60)yrs")</f>
        <v>(21-30)yrs</v>
      </c>
      <c r="C811" t="s">
        <v>43</v>
      </c>
      <c r="D811" t="s">
        <v>36</v>
      </c>
      <c r="E811" t="s">
        <v>45</v>
      </c>
      <c r="F811" t="s">
        <v>51</v>
      </c>
      <c r="G811" t="s">
        <v>53</v>
      </c>
      <c r="H811">
        <v>1121</v>
      </c>
      <c r="I811" s="2">
        <v>3</v>
      </c>
      <c r="J811" s="2">
        <v>4</v>
      </c>
      <c r="K811" t="s">
        <v>39</v>
      </c>
      <c r="L811" s="2">
        <v>3</v>
      </c>
      <c r="M811" s="2">
        <v>2</v>
      </c>
      <c r="N811" t="s">
        <v>52</v>
      </c>
      <c r="O811" s="2">
        <v>7655</v>
      </c>
      <c r="P811" s="2">
        <v>8039</v>
      </c>
      <c r="Q811" s="2">
        <v>0</v>
      </c>
      <c r="R811" t="s">
        <v>43</v>
      </c>
      <c r="S811" s="2">
        <v>3</v>
      </c>
      <c r="T811" s="2">
        <v>2</v>
      </c>
      <c r="U811">
        <v>80</v>
      </c>
      <c r="V811" s="2">
        <v>10</v>
      </c>
      <c r="W811">
        <v>3</v>
      </c>
      <c r="X811">
        <v>2</v>
      </c>
      <c r="Y811">
        <v>9</v>
      </c>
      <c r="Z811">
        <v>7</v>
      </c>
      <c r="AA811">
        <v>1</v>
      </c>
      <c r="AB811">
        <v>7</v>
      </c>
    </row>
    <row r="812" spans="1:28" x14ac:dyDescent="0.35">
      <c r="A812" s="2">
        <v>46</v>
      </c>
      <c r="B812" s="2" t="str" cm="1">
        <f t="array" ref="B812">_xlfn.IFS(HR_table[[#This Row],[Age]]&lt;=20, "Under 20yrs",HR_table[[#This Row],[Age]]&lt;=30,"(21-30)yrs",HR_table[[#This Row],[Age]]&lt;=40,"(31-40)yrs",HR_table[[#This Row],[Age]]&lt;=50,"(41-50)yrs",HR_table[[#This Row],[Age]]&lt;=60,"(51-60)yrs")</f>
        <v>(41-50)yrs</v>
      </c>
      <c r="C812" t="s">
        <v>43</v>
      </c>
      <c r="D812" t="s">
        <v>36</v>
      </c>
      <c r="E812" t="s">
        <v>37</v>
      </c>
      <c r="F812" t="s">
        <v>59</v>
      </c>
      <c r="G812" t="s">
        <v>56</v>
      </c>
      <c r="H812">
        <v>1124</v>
      </c>
      <c r="I812" s="2">
        <v>3</v>
      </c>
      <c r="J812" s="2">
        <v>1</v>
      </c>
      <c r="K812" t="s">
        <v>46</v>
      </c>
      <c r="L812" s="2">
        <v>4</v>
      </c>
      <c r="M812" s="2">
        <v>3</v>
      </c>
      <c r="N812" t="s">
        <v>48</v>
      </c>
      <c r="O812" s="2">
        <v>17465</v>
      </c>
      <c r="P812" s="2">
        <v>15596</v>
      </c>
      <c r="Q812" s="2">
        <v>3</v>
      </c>
      <c r="R812" t="s">
        <v>43</v>
      </c>
      <c r="S812" s="2">
        <v>3</v>
      </c>
      <c r="T812" s="2">
        <v>4</v>
      </c>
      <c r="U812">
        <v>80</v>
      </c>
      <c r="V812" s="2">
        <v>23</v>
      </c>
      <c r="W812">
        <v>3</v>
      </c>
      <c r="X812">
        <v>3</v>
      </c>
      <c r="Y812">
        <v>12</v>
      </c>
      <c r="Z812">
        <v>9</v>
      </c>
      <c r="AA812">
        <v>4</v>
      </c>
      <c r="AB812">
        <v>9</v>
      </c>
    </row>
    <row r="813" spans="1:28" x14ac:dyDescent="0.35">
      <c r="A813" s="2">
        <v>38</v>
      </c>
      <c r="B813" s="2" t="str" cm="1">
        <f t="array" ref="B813">_xlfn.IFS(HR_table[[#This Row],[Age]]&lt;=20, "Under 20yrs",HR_table[[#This Row],[Age]]&lt;=30,"(21-30)yrs",HR_table[[#This Row],[Age]]&lt;=40,"(31-40)yrs",HR_table[[#This Row],[Age]]&lt;=50,"(41-50)yrs",HR_table[[#This Row],[Age]]&lt;=60,"(51-60)yrs")</f>
        <v>(31-40)yrs</v>
      </c>
      <c r="C813" t="s">
        <v>43</v>
      </c>
      <c r="D813" t="s">
        <v>36</v>
      </c>
      <c r="E813" t="s">
        <v>37</v>
      </c>
      <c r="F813" t="s">
        <v>59</v>
      </c>
      <c r="G813" t="s">
        <v>40</v>
      </c>
      <c r="H813">
        <v>1125</v>
      </c>
      <c r="I813" s="2">
        <v>2</v>
      </c>
      <c r="J813" s="2">
        <v>4</v>
      </c>
      <c r="K813" t="s">
        <v>46</v>
      </c>
      <c r="L813" s="2">
        <v>3</v>
      </c>
      <c r="M813" s="2">
        <v>2</v>
      </c>
      <c r="N813" t="s">
        <v>41</v>
      </c>
      <c r="O813" s="2">
        <v>7351</v>
      </c>
      <c r="P813" s="2">
        <v>20619</v>
      </c>
      <c r="Q813" s="2">
        <v>7</v>
      </c>
      <c r="R813" t="s">
        <v>43</v>
      </c>
      <c r="S813" s="2">
        <v>3</v>
      </c>
      <c r="T813" s="2">
        <v>3</v>
      </c>
      <c r="U813">
        <v>80</v>
      </c>
      <c r="V813" s="2">
        <v>10</v>
      </c>
      <c r="W813">
        <v>2</v>
      </c>
      <c r="X813">
        <v>3</v>
      </c>
      <c r="Y813">
        <v>1</v>
      </c>
      <c r="Z813">
        <v>0</v>
      </c>
      <c r="AA813">
        <v>0</v>
      </c>
      <c r="AB813">
        <v>0</v>
      </c>
    </row>
    <row r="814" spans="1:28" x14ac:dyDescent="0.35">
      <c r="A814" s="2">
        <v>43</v>
      </c>
      <c r="B814" s="2" t="str" cm="1">
        <f t="array" ref="B814">_xlfn.IFS(HR_table[[#This Row],[Age]]&lt;=20, "Under 20yrs",HR_table[[#This Row],[Age]]&lt;=30,"(21-30)yrs",HR_table[[#This Row],[Age]]&lt;=40,"(31-40)yrs",HR_table[[#This Row],[Age]]&lt;=50,"(41-50)yrs",HR_table[[#This Row],[Age]]&lt;=60,"(51-60)yrs")</f>
        <v>(41-50)yrs</v>
      </c>
      <c r="C814" t="s">
        <v>43</v>
      </c>
      <c r="D814" t="s">
        <v>44</v>
      </c>
      <c r="E814" t="s">
        <v>45</v>
      </c>
      <c r="F814" t="s">
        <v>38</v>
      </c>
      <c r="G814" t="s">
        <v>53</v>
      </c>
      <c r="H814">
        <v>1126</v>
      </c>
      <c r="I814" s="2">
        <v>27</v>
      </c>
      <c r="J814" s="2">
        <v>3</v>
      </c>
      <c r="K814" t="s">
        <v>39</v>
      </c>
      <c r="L814" s="2">
        <v>3</v>
      </c>
      <c r="M814" s="2">
        <v>1</v>
      </c>
      <c r="N814" t="s">
        <v>48</v>
      </c>
      <c r="O814" s="2">
        <v>10820</v>
      </c>
      <c r="P814" s="2">
        <v>11535</v>
      </c>
      <c r="Q814" s="2">
        <v>8</v>
      </c>
      <c r="R814" t="s">
        <v>43</v>
      </c>
      <c r="S814" s="2">
        <v>3</v>
      </c>
      <c r="T814" s="2">
        <v>3</v>
      </c>
      <c r="U814">
        <v>80</v>
      </c>
      <c r="V814" s="2">
        <v>18</v>
      </c>
      <c r="W814">
        <v>1</v>
      </c>
      <c r="X814">
        <v>3</v>
      </c>
      <c r="Y814">
        <v>8</v>
      </c>
      <c r="Z814">
        <v>7</v>
      </c>
      <c r="AA814">
        <v>0</v>
      </c>
      <c r="AB814">
        <v>1</v>
      </c>
    </row>
    <row r="815" spans="1:28" x14ac:dyDescent="0.35">
      <c r="A815" s="2">
        <v>39</v>
      </c>
      <c r="B815" s="2" t="str" cm="1">
        <f t="array" ref="B815">_xlfn.IFS(HR_table[[#This Row],[Age]]&lt;=20, "Under 20yrs",HR_table[[#This Row],[Age]]&lt;=30,"(21-30)yrs",HR_table[[#This Row],[Age]]&lt;=40,"(31-40)yrs",HR_table[[#This Row],[Age]]&lt;=50,"(41-50)yrs",HR_table[[#This Row],[Age]]&lt;=60,"(51-60)yrs")</f>
        <v>(31-40)yrs</v>
      </c>
      <c r="C815" t="s">
        <v>35</v>
      </c>
      <c r="D815" t="s">
        <v>44</v>
      </c>
      <c r="E815" t="s">
        <v>45</v>
      </c>
      <c r="F815" t="s">
        <v>38</v>
      </c>
      <c r="G815" t="s">
        <v>54</v>
      </c>
      <c r="H815">
        <v>1127</v>
      </c>
      <c r="I815" s="2">
        <v>2</v>
      </c>
      <c r="J815" s="2">
        <v>1</v>
      </c>
      <c r="K815" t="s">
        <v>46</v>
      </c>
      <c r="L815" s="2">
        <v>4</v>
      </c>
      <c r="M815" s="2">
        <v>4</v>
      </c>
      <c r="N815" t="s">
        <v>52</v>
      </c>
      <c r="O815" s="2">
        <v>12169</v>
      </c>
      <c r="P815" s="2">
        <v>13547</v>
      </c>
      <c r="Q815" s="2">
        <v>7</v>
      </c>
      <c r="R815" t="s">
        <v>43</v>
      </c>
      <c r="S815" s="2">
        <v>3</v>
      </c>
      <c r="T815" s="2">
        <v>4</v>
      </c>
      <c r="U815">
        <v>80</v>
      </c>
      <c r="V815" s="2">
        <v>21</v>
      </c>
      <c r="W815">
        <v>4</v>
      </c>
      <c r="X815">
        <v>3</v>
      </c>
      <c r="Y815">
        <v>18</v>
      </c>
      <c r="Z815">
        <v>7</v>
      </c>
      <c r="AA815">
        <v>11</v>
      </c>
      <c r="AB815">
        <v>5</v>
      </c>
    </row>
    <row r="816" spans="1:28" x14ac:dyDescent="0.35">
      <c r="A816" s="2">
        <v>40</v>
      </c>
      <c r="B816" s="2" t="str" cm="1">
        <f t="array" ref="B816">_xlfn.IFS(HR_table[[#This Row],[Age]]&lt;=20, "Under 20yrs",HR_table[[#This Row],[Age]]&lt;=30,"(21-30)yrs",HR_table[[#This Row],[Age]]&lt;=40,"(31-40)yrs",HR_table[[#This Row],[Age]]&lt;=50,"(41-50)yrs",HR_table[[#This Row],[Age]]&lt;=60,"(51-60)yrs")</f>
        <v>(31-40)yrs</v>
      </c>
      <c r="C816" t="s">
        <v>43</v>
      </c>
      <c r="D816" t="s">
        <v>36</v>
      </c>
      <c r="E816" t="s">
        <v>45</v>
      </c>
      <c r="F816" t="s">
        <v>51</v>
      </c>
      <c r="G816" t="s">
        <v>58</v>
      </c>
      <c r="H816">
        <v>1128</v>
      </c>
      <c r="I816" s="2">
        <v>14</v>
      </c>
      <c r="J816" s="2">
        <v>3</v>
      </c>
      <c r="K816" t="s">
        <v>46</v>
      </c>
      <c r="L816" s="2">
        <v>5</v>
      </c>
      <c r="M816" s="2">
        <v>3</v>
      </c>
      <c r="N816" t="s">
        <v>41</v>
      </c>
      <c r="O816" s="2">
        <v>19626</v>
      </c>
      <c r="P816" s="2">
        <v>17544</v>
      </c>
      <c r="Q816" s="2">
        <v>1</v>
      </c>
      <c r="R816" t="s">
        <v>43</v>
      </c>
      <c r="S816" s="2">
        <v>3</v>
      </c>
      <c r="T816" s="2">
        <v>1</v>
      </c>
      <c r="U816">
        <v>80</v>
      </c>
      <c r="V816" s="2">
        <v>21</v>
      </c>
      <c r="W816">
        <v>2</v>
      </c>
      <c r="X816">
        <v>4</v>
      </c>
      <c r="Y816">
        <v>20</v>
      </c>
      <c r="Z816">
        <v>7</v>
      </c>
      <c r="AA816">
        <v>4</v>
      </c>
      <c r="AB816">
        <v>9</v>
      </c>
    </row>
    <row r="817" spans="1:28" x14ac:dyDescent="0.35">
      <c r="A817" s="2">
        <v>21</v>
      </c>
      <c r="B817" s="2" t="str" cm="1">
        <f t="array" ref="B817">_xlfn.IFS(HR_table[[#This Row],[Age]]&lt;=20, "Under 20yrs",HR_table[[#This Row],[Age]]&lt;=30,"(21-30)yrs",HR_table[[#This Row],[Age]]&lt;=40,"(31-40)yrs",HR_table[[#This Row],[Age]]&lt;=50,"(41-50)yrs",HR_table[[#This Row],[Age]]&lt;=60,"(51-60)yrs")</f>
        <v>(21-30)yrs</v>
      </c>
      <c r="C817" t="s">
        <v>43</v>
      </c>
      <c r="D817" t="s">
        <v>36</v>
      </c>
      <c r="E817" t="s">
        <v>45</v>
      </c>
      <c r="F817" t="s">
        <v>60</v>
      </c>
      <c r="G817" t="s">
        <v>47</v>
      </c>
      <c r="H817">
        <v>1131</v>
      </c>
      <c r="I817" s="2">
        <v>1</v>
      </c>
      <c r="J817" s="2">
        <v>4</v>
      </c>
      <c r="K817" t="s">
        <v>39</v>
      </c>
      <c r="L817" s="2">
        <v>1</v>
      </c>
      <c r="M817" s="2">
        <v>2</v>
      </c>
      <c r="N817" t="s">
        <v>41</v>
      </c>
      <c r="O817" s="2">
        <v>2070</v>
      </c>
      <c r="P817" s="2">
        <v>25326</v>
      </c>
      <c r="Q817" s="2">
        <v>1</v>
      </c>
      <c r="R817" t="s">
        <v>35</v>
      </c>
      <c r="S817" s="2">
        <v>3</v>
      </c>
      <c r="T817" s="2">
        <v>3</v>
      </c>
      <c r="U817">
        <v>80</v>
      </c>
      <c r="V817" s="2">
        <v>2</v>
      </c>
      <c r="W817">
        <v>6</v>
      </c>
      <c r="X817">
        <v>4</v>
      </c>
      <c r="Y817">
        <v>2</v>
      </c>
      <c r="Z817">
        <v>2</v>
      </c>
      <c r="AA817">
        <v>2</v>
      </c>
      <c r="AB817">
        <v>2</v>
      </c>
    </row>
    <row r="818" spans="1:28" x14ac:dyDescent="0.35">
      <c r="A818" s="2">
        <v>39</v>
      </c>
      <c r="B818" s="2" t="str" cm="1">
        <f t="array" ref="B818">_xlfn.IFS(HR_table[[#This Row],[Age]]&lt;=20, "Under 20yrs",HR_table[[#This Row],[Age]]&lt;=30,"(21-30)yrs",HR_table[[#This Row],[Age]]&lt;=40,"(31-40)yrs",HR_table[[#This Row],[Age]]&lt;=50,"(41-50)yrs",HR_table[[#This Row],[Age]]&lt;=60,"(51-60)yrs")</f>
        <v>(31-40)yrs</v>
      </c>
      <c r="C818" t="s">
        <v>43</v>
      </c>
      <c r="D818" t="s">
        <v>55</v>
      </c>
      <c r="E818" t="s">
        <v>45</v>
      </c>
      <c r="F818" t="s">
        <v>38</v>
      </c>
      <c r="G818" t="s">
        <v>50</v>
      </c>
      <c r="H818">
        <v>1132</v>
      </c>
      <c r="I818" s="2">
        <v>9</v>
      </c>
      <c r="J818" s="2">
        <v>3</v>
      </c>
      <c r="K818" t="s">
        <v>46</v>
      </c>
      <c r="L818" s="2">
        <v>2</v>
      </c>
      <c r="M818" s="2">
        <v>2</v>
      </c>
      <c r="N818" t="s">
        <v>41</v>
      </c>
      <c r="O818" s="2">
        <v>6782</v>
      </c>
      <c r="P818" s="2">
        <v>8770</v>
      </c>
      <c r="Q818" s="2">
        <v>9</v>
      </c>
      <c r="R818" t="s">
        <v>43</v>
      </c>
      <c r="S818" s="2">
        <v>3</v>
      </c>
      <c r="T818" s="2">
        <v>3</v>
      </c>
      <c r="U818">
        <v>80</v>
      </c>
      <c r="V818" s="2">
        <v>9</v>
      </c>
      <c r="W818">
        <v>2</v>
      </c>
      <c r="X818">
        <v>2</v>
      </c>
      <c r="Y818">
        <v>5</v>
      </c>
      <c r="Z818">
        <v>4</v>
      </c>
      <c r="AA818">
        <v>0</v>
      </c>
      <c r="AB818">
        <v>3</v>
      </c>
    </row>
    <row r="819" spans="1:28" x14ac:dyDescent="0.35">
      <c r="A819" s="2">
        <v>36</v>
      </c>
      <c r="B819" s="2" t="str" cm="1">
        <f t="array" ref="B819">_xlfn.IFS(HR_table[[#This Row],[Age]]&lt;=20, "Under 20yrs",HR_table[[#This Row],[Age]]&lt;=30,"(21-30)yrs",HR_table[[#This Row],[Age]]&lt;=40,"(31-40)yrs",HR_table[[#This Row],[Age]]&lt;=50,"(41-50)yrs",HR_table[[#This Row],[Age]]&lt;=60,"(51-60)yrs")</f>
        <v>(31-40)yrs</v>
      </c>
      <c r="C819" t="s">
        <v>43</v>
      </c>
      <c r="D819" t="s">
        <v>55</v>
      </c>
      <c r="E819" t="s">
        <v>45</v>
      </c>
      <c r="F819" t="s">
        <v>38</v>
      </c>
      <c r="G819" t="s">
        <v>53</v>
      </c>
      <c r="H819">
        <v>1133</v>
      </c>
      <c r="I819" s="2">
        <v>18</v>
      </c>
      <c r="J819" s="2">
        <v>1</v>
      </c>
      <c r="K819" t="s">
        <v>46</v>
      </c>
      <c r="L819" s="2">
        <v>2</v>
      </c>
      <c r="M819" s="2">
        <v>4</v>
      </c>
      <c r="N819" t="s">
        <v>41</v>
      </c>
      <c r="O819" s="2">
        <v>7779</v>
      </c>
      <c r="P819" s="2">
        <v>23238</v>
      </c>
      <c r="Q819" s="2">
        <v>2</v>
      </c>
      <c r="R819" t="s">
        <v>43</v>
      </c>
      <c r="S819" s="2">
        <v>4</v>
      </c>
      <c r="T819" s="2">
        <v>1</v>
      </c>
      <c r="U819">
        <v>80</v>
      </c>
      <c r="V819" s="2">
        <v>18</v>
      </c>
      <c r="W819">
        <v>0</v>
      </c>
      <c r="X819">
        <v>3</v>
      </c>
      <c r="Y819">
        <v>11</v>
      </c>
      <c r="Z819">
        <v>9</v>
      </c>
      <c r="AA819">
        <v>0</v>
      </c>
      <c r="AB819">
        <v>9</v>
      </c>
    </row>
    <row r="820" spans="1:28" x14ac:dyDescent="0.35">
      <c r="A820" s="2">
        <v>31</v>
      </c>
      <c r="B820" s="2" t="str" cm="1">
        <f t="array" ref="B820">_xlfn.IFS(HR_table[[#This Row],[Age]]&lt;=20, "Under 20yrs",HR_table[[#This Row],[Age]]&lt;=30,"(21-30)yrs",HR_table[[#This Row],[Age]]&lt;=40,"(31-40)yrs",HR_table[[#This Row],[Age]]&lt;=50,"(41-50)yrs",HR_table[[#This Row],[Age]]&lt;=60,"(51-60)yrs")</f>
        <v>(31-40)yrs</v>
      </c>
      <c r="C820" t="s">
        <v>43</v>
      </c>
      <c r="D820" t="s">
        <v>44</v>
      </c>
      <c r="E820" t="s">
        <v>37</v>
      </c>
      <c r="F820" t="s">
        <v>38</v>
      </c>
      <c r="G820" t="s">
        <v>57</v>
      </c>
      <c r="H820">
        <v>1135</v>
      </c>
      <c r="I820" s="2">
        <v>20</v>
      </c>
      <c r="J820" s="2">
        <v>3</v>
      </c>
      <c r="K820" t="s">
        <v>46</v>
      </c>
      <c r="L820" s="2">
        <v>1</v>
      </c>
      <c r="M820" s="2">
        <v>4</v>
      </c>
      <c r="N820" t="s">
        <v>48</v>
      </c>
      <c r="O820" s="2">
        <v>2791</v>
      </c>
      <c r="P820" s="2">
        <v>21981</v>
      </c>
      <c r="Q820" s="2">
        <v>0</v>
      </c>
      <c r="R820" t="s">
        <v>43</v>
      </c>
      <c r="S820" s="2">
        <v>3</v>
      </c>
      <c r="T820" s="2">
        <v>1</v>
      </c>
      <c r="U820">
        <v>80</v>
      </c>
      <c r="V820" s="2">
        <v>3</v>
      </c>
      <c r="W820">
        <v>4</v>
      </c>
      <c r="X820">
        <v>3</v>
      </c>
      <c r="Y820">
        <v>2</v>
      </c>
      <c r="Z820">
        <v>2</v>
      </c>
      <c r="AA820">
        <v>2</v>
      </c>
      <c r="AB820">
        <v>2</v>
      </c>
    </row>
    <row r="821" spans="1:28" x14ac:dyDescent="0.35">
      <c r="A821" s="2">
        <v>28</v>
      </c>
      <c r="B821" s="2" t="str" cm="1">
        <f t="array" ref="B821">_xlfn.IFS(HR_table[[#This Row],[Age]]&lt;=20, "Under 20yrs",HR_table[[#This Row],[Age]]&lt;=30,"(21-30)yrs",HR_table[[#This Row],[Age]]&lt;=40,"(31-40)yrs",HR_table[[#This Row],[Age]]&lt;=50,"(41-50)yrs",HR_table[[#This Row],[Age]]&lt;=60,"(51-60)yrs")</f>
        <v>(21-30)yrs</v>
      </c>
      <c r="C821" t="s">
        <v>43</v>
      </c>
      <c r="D821" t="s">
        <v>36</v>
      </c>
      <c r="E821" t="s">
        <v>45</v>
      </c>
      <c r="F821" t="s">
        <v>38</v>
      </c>
      <c r="G821" t="s">
        <v>47</v>
      </c>
      <c r="H821">
        <v>1136</v>
      </c>
      <c r="I821" s="2">
        <v>2</v>
      </c>
      <c r="J821" s="2">
        <v>1</v>
      </c>
      <c r="K821" t="s">
        <v>46</v>
      </c>
      <c r="L821" s="2">
        <v>1</v>
      </c>
      <c r="M821" s="2">
        <v>2</v>
      </c>
      <c r="N821" t="s">
        <v>48</v>
      </c>
      <c r="O821" s="2">
        <v>3201</v>
      </c>
      <c r="P821" s="2">
        <v>19911</v>
      </c>
      <c r="Q821" s="2">
        <v>0</v>
      </c>
      <c r="R821" t="s">
        <v>43</v>
      </c>
      <c r="S821" s="2">
        <v>3</v>
      </c>
      <c r="T821" s="2">
        <v>1</v>
      </c>
      <c r="U821">
        <v>80</v>
      </c>
      <c r="V821" s="2">
        <v>6</v>
      </c>
      <c r="W821">
        <v>2</v>
      </c>
      <c r="X821">
        <v>1</v>
      </c>
      <c r="Y821">
        <v>5</v>
      </c>
      <c r="Z821">
        <v>3</v>
      </c>
      <c r="AA821">
        <v>0</v>
      </c>
      <c r="AB821">
        <v>4</v>
      </c>
    </row>
    <row r="822" spans="1:28" x14ac:dyDescent="0.35">
      <c r="A822" s="2">
        <v>35</v>
      </c>
      <c r="B822" s="2" t="str" cm="1">
        <f t="array" ref="B822">_xlfn.IFS(HR_table[[#This Row],[Age]]&lt;=20, "Under 20yrs",HR_table[[#This Row],[Age]]&lt;=30,"(21-30)yrs",HR_table[[#This Row],[Age]]&lt;=40,"(31-40)yrs",HR_table[[#This Row],[Age]]&lt;=50,"(41-50)yrs",HR_table[[#This Row],[Age]]&lt;=60,"(51-60)yrs")</f>
        <v>(31-40)yrs</v>
      </c>
      <c r="C822" t="s">
        <v>43</v>
      </c>
      <c r="D822" t="s">
        <v>44</v>
      </c>
      <c r="E822" t="s">
        <v>37</v>
      </c>
      <c r="F822" t="s">
        <v>59</v>
      </c>
      <c r="G822" t="s">
        <v>40</v>
      </c>
      <c r="H822">
        <v>1137</v>
      </c>
      <c r="I822" s="2">
        <v>11</v>
      </c>
      <c r="J822" s="2">
        <v>4</v>
      </c>
      <c r="K822" t="s">
        <v>46</v>
      </c>
      <c r="L822" s="2">
        <v>2</v>
      </c>
      <c r="M822" s="2">
        <v>4</v>
      </c>
      <c r="N822" t="s">
        <v>52</v>
      </c>
      <c r="O822" s="2">
        <v>4968</v>
      </c>
      <c r="P822" s="2">
        <v>18500</v>
      </c>
      <c r="Q822" s="2">
        <v>1</v>
      </c>
      <c r="R822" t="s">
        <v>43</v>
      </c>
      <c r="S822" s="2">
        <v>3</v>
      </c>
      <c r="T822" s="2">
        <v>4</v>
      </c>
      <c r="U822">
        <v>80</v>
      </c>
      <c r="V822" s="2">
        <v>5</v>
      </c>
      <c r="W822">
        <v>3</v>
      </c>
      <c r="X822">
        <v>3</v>
      </c>
      <c r="Y822">
        <v>5</v>
      </c>
      <c r="Z822">
        <v>2</v>
      </c>
      <c r="AA822">
        <v>0</v>
      </c>
      <c r="AB822">
        <v>2</v>
      </c>
    </row>
    <row r="823" spans="1:28" x14ac:dyDescent="0.35">
      <c r="A823" s="2">
        <v>49</v>
      </c>
      <c r="B823" s="2" t="str" cm="1">
        <f t="array" ref="B823">_xlfn.IFS(HR_table[[#This Row],[Age]]&lt;=20, "Under 20yrs",HR_table[[#This Row],[Age]]&lt;=30,"(21-30)yrs",HR_table[[#This Row],[Age]]&lt;=40,"(31-40)yrs",HR_table[[#This Row],[Age]]&lt;=50,"(41-50)yrs",HR_table[[#This Row],[Age]]&lt;=60,"(51-60)yrs")</f>
        <v>(41-50)yrs</v>
      </c>
      <c r="C823" t="s">
        <v>43</v>
      </c>
      <c r="D823" t="s">
        <v>36</v>
      </c>
      <c r="E823" t="s">
        <v>37</v>
      </c>
      <c r="F823" t="s">
        <v>60</v>
      </c>
      <c r="G823" t="s">
        <v>40</v>
      </c>
      <c r="H823">
        <v>1138</v>
      </c>
      <c r="I823" s="2">
        <v>8</v>
      </c>
      <c r="J823" s="2">
        <v>4</v>
      </c>
      <c r="K823" t="s">
        <v>46</v>
      </c>
      <c r="L823" s="2">
        <v>4</v>
      </c>
      <c r="M823" s="2">
        <v>2</v>
      </c>
      <c r="N823" t="s">
        <v>48</v>
      </c>
      <c r="O823" s="2">
        <v>13120</v>
      </c>
      <c r="P823" s="2">
        <v>11879</v>
      </c>
      <c r="Q823" s="2">
        <v>6</v>
      </c>
      <c r="R823" t="s">
        <v>43</v>
      </c>
      <c r="S823" s="2">
        <v>3</v>
      </c>
      <c r="T823" s="2">
        <v>2</v>
      </c>
      <c r="U823">
        <v>80</v>
      </c>
      <c r="V823" s="2">
        <v>22</v>
      </c>
      <c r="W823">
        <v>3</v>
      </c>
      <c r="X823">
        <v>3</v>
      </c>
      <c r="Y823">
        <v>9</v>
      </c>
      <c r="Z823">
        <v>8</v>
      </c>
      <c r="AA823">
        <v>2</v>
      </c>
      <c r="AB823">
        <v>3</v>
      </c>
    </row>
    <row r="824" spans="1:28" x14ac:dyDescent="0.35">
      <c r="A824" s="2">
        <v>34</v>
      </c>
      <c r="B824" s="2" t="str" cm="1">
        <f t="array" ref="B824">_xlfn.IFS(HR_table[[#This Row],[Age]]&lt;=20, "Under 20yrs",HR_table[[#This Row],[Age]]&lt;=30,"(21-30)yrs",HR_table[[#This Row],[Age]]&lt;=40,"(31-40)yrs",HR_table[[#This Row],[Age]]&lt;=50,"(41-50)yrs",HR_table[[#This Row],[Age]]&lt;=60,"(51-60)yrs")</f>
        <v>(31-40)yrs</v>
      </c>
      <c r="C824" t="s">
        <v>43</v>
      </c>
      <c r="D824" t="s">
        <v>44</v>
      </c>
      <c r="E824" t="s">
        <v>45</v>
      </c>
      <c r="F824" t="s">
        <v>38</v>
      </c>
      <c r="G824" t="s">
        <v>53</v>
      </c>
      <c r="H824">
        <v>1140</v>
      </c>
      <c r="I824" s="2">
        <v>2</v>
      </c>
      <c r="J824" s="2">
        <v>4</v>
      </c>
      <c r="K824" t="s">
        <v>46</v>
      </c>
      <c r="L824" s="2">
        <v>2</v>
      </c>
      <c r="M824" s="2">
        <v>3</v>
      </c>
      <c r="N824" t="s">
        <v>41</v>
      </c>
      <c r="O824" s="2">
        <v>4033</v>
      </c>
      <c r="P824" s="2">
        <v>15834</v>
      </c>
      <c r="Q824" s="2">
        <v>2</v>
      </c>
      <c r="R824" t="s">
        <v>43</v>
      </c>
      <c r="S824" s="2">
        <v>3</v>
      </c>
      <c r="T824" s="2">
        <v>4</v>
      </c>
      <c r="U824">
        <v>80</v>
      </c>
      <c r="V824" s="2">
        <v>5</v>
      </c>
      <c r="W824">
        <v>3</v>
      </c>
      <c r="X824">
        <v>2</v>
      </c>
      <c r="Y824">
        <v>3</v>
      </c>
      <c r="Z824">
        <v>2</v>
      </c>
      <c r="AA824">
        <v>0</v>
      </c>
      <c r="AB824">
        <v>2</v>
      </c>
    </row>
    <row r="825" spans="1:28" x14ac:dyDescent="0.35">
      <c r="A825" s="2">
        <v>29</v>
      </c>
      <c r="B825" s="2" t="str" cm="1">
        <f t="array" ref="B825">_xlfn.IFS(HR_table[[#This Row],[Age]]&lt;=20, "Under 20yrs",HR_table[[#This Row],[Age]]&lt;=30,"(21-30)yrs",HR_table[[#This Row],[Age]]&lt;=40,"(31-40)yrs",HR_table[[#This Row],[Age]]&lt;=50,"(41-50)yrs",HR_table[[#This Row],[Age]]&lt;=60,"(51-60)yrs")</f>
        <v>(21-30)yrs</v>
      </c>
      <c r="C825" t="s">
        <v>43</v>
      </c>
      <c r="D825" t="s">
        <v>44</v>
      </c>
      <c r="E825" t="s">
        <v>45</v>
      </c>
      <c r="F825" t="s">
        <v>38</v>
      </c>
      <c r="G825" t="s">
        <v>47</v>
      </c>
      <c r="H825">
        <v>1143</v>
      </c>
      <c r="I825" s="2">
        <v>10</v>
      </c>
      <c r="J825" s="2">
        <v>4</v>
      </c>
      <c r="K825" t="s">
        <v>39</v>
      </c>
      <c r="L825" s="2">
        <v>1</v>
      </c>
      <c r="M825" s="2">
        <v>2</v>
      </c>
      <c r="N825" t="s">
        <v>52</v>
      </c>
      <c r="O825" s="2">
        <v>3291</v>
      </c>
      <c r="P825" s="2">
        <v>17940</v>
      </c>
      <c r="Q825" s="2">
        <v>0</v>
      </c>
      <c r="R825" t="s">
        <v>43</v>
      </c>
      <c r="S825" s="2">
        <v>3</v>
      </c>
      <c r="T825" s="2">
        <v>4</v>
      </c>
      <c r="U825">
        <v>80</v>
      </c>
      <c r="V825" s="2">
        <v>8</v>
      </c>
      <c r="W825">
        <v>2</v>
      </c>
      <c r="X825">
        <v>2</v>
      </c>
      <c r="Y825">
        <v>7</v>
      </c>
      <c r="Z825">
        <v>5</v>
      </c>
      <c r="AA825">
        <v>1</v>
      </c>
      <c r="AB825">
        <v>1</v>
      </c>
    </row>
    <row r="826" spans="1:28" x14ac:dyDescent="0.35">
      <c r="A826" s="2">
        <v>42</v>
      </c>
      <c r="B826" s="2" t="str" cm="1">
        <f t="array" ref="B826">_xlfn.IFS(HR_table[[#This Row],[Age]]&lt;=20, "Under 20yrs",HR_table[[#This Row],[Age]]&lt;=30,"(21-30)yrs",HR_table[[#This Row],[Age]]&lt;=40,"(31-40)yrs",HR_table[[#This Row],[Age]]&lt;=50,"(41-50)yrs",HR_table[[#This Row],[Age]]&lt;=60,"(51-60)yrs")</f>
        <v>(41-50)yrs</v>
      </c>
      <c r="C826" t="s">
        <v>43</v>
      </c>
      <c r="D826" t="s">
        <v>36</v>
      </c>
      <c r="E826" t="s">
        <v>45</v>
      </c>
      <c r="F826" t="s">
        <v>51</v>
      </c>
      <c r="G826" t="s">
        <v>50</v>
      </c>
      <c r="H826">
        <v>1148</v>
      </c>
      <c r="I826" s="2">
        <v>29</v>
      </c>
      <c r="J826" s="2">
        <v>2</v>
      </c>
      <c r="K826" t="s">
        <v>46</v>
      </c>
      <c r="L826" s="2">
        <v>2</v>
      </c>
      <c r="M826" s="2">
        <v>4</v>
      </c>
      <c r="N826" t="s">
        <v>41</v>
      </c>
      <c r="O826" s="2">
        <v>4272</v>
      </c>
      <c r="P826" s="2">
        <v>9558</v>
      </c>
      <c r="Q826" s="2">
        <v>4</v>
      </c>
      <c r="R826" t="s">
        <v>43</v>
      </c>
      <c r="S826" s="2">
        <v>3</v>
      </c>
      <c r="T826" s="2">
        <v>1</v>
      </c>
      <c r="U826">
        <v>80</v>
      </c>
      <c r="V826" s="2">
        <v>16</v>
      </c>
      <c r="W826">
        <v>3</v>
      </c>
      <c r="X826">
        <v>3</v>
      </c>
      <c r="Y826">
        <v>1</v>
      </c>
      <c r="Z826">
        <v>0</v>
      </c>
      <c r="AA826">
        <v>0</v>
      </c>
      <c r="AB826">
        <v>0</v>
      </c>
    </row>
    <row r="827" spans="1:28" x14ac:dyDescent="0.35">
      <c r="A827" s="2">
        <v>29</v>
      </c>
      <c r="B827" s="2" t="str" cm="1">
        <f t="array" ref="B827">_xlfn.IFS(HR_table[[#This Row],[Age]]&lt;=20, "Under 20yrs",HR_table[[#This Row],[Age]]&lt;=30,"(21-30)yrs",HR_table[[#This Row],[Age]]&lt;=40,"(31-40)yrs",HR_table[[#This Row],[Age]]&lt;=50,"(41-50)yrs",HR_table[[#This Row],[Age]]&lt;=60,"(51-60)yrs")</f>
        <v>(21-30)yrs</v>
      </c>
      <c r="C827" t="s">
        <v>43</v>
      </c>
      <c r="D827" t="s">
        <v>36</v>
      </c>
      <c r="E827" t="s">
        <v>45</v>
      </c>
      <c r="F827" t="s">
        <v>51</v>
      </c>
      <c r="G827" t="s">
        <v>53</v>
      </c>
      <c r="H827">
        <v>1150</v>
      </c>
      <c r="I827" s="2">
        <v>8</v>
      </c>
      <c r="J827" s="2">
        <v>2</v>
      </c>
      <c r="K827" t="s">
        <v>46</v>
      </c>
      <c r="L827" s="2">
        <v>2</v>
      </c>
      <c r="M827" s="2">
        <v>4</v>
      </c>
      <c r="N827" t="s">
        <v>48</v>
      </c>
      <c r="O827" s="2">
        <v>5056</v>
      </c>
      <c r="P827" s="2">
        <v>17689</v>
      </c>
      <c r="Q827" s="2">
        <v>1</v>
      </c>
      <c r="R827" t="s">
        <v>35</v>
      </c>
      <c r="S827" s="2">
        <v>3</v>
      </c>
      <c r="T827" s="2">
        <v>3</v>
      </c>
      <c r="U827">
        <v>80</v>
      </c>
      <c r="V827" s="2">
        <v>10</v>
      </c>
      <c r="W827">
        <v>2</v>
      </c>
      <c r="X827">
        <v>2</v>
      </c>
      <c r="Y827">
        <v>10</v>
      </c>
      <c r="Z827">
        <v>7</v>
      </c>
      <c r="AA827">
        <v>1</v>
      </c>
      <c r="AB827">
        <v>2</v>
      </c>
    </row>
    <row r="828" spans="1:28" x14ac:dyDescent="0.35">
      <c r="A828" s="2">
        <v>38</v>
      </c>
      <c r="B828" s="2" t="str" cm="1">
        <f t="array" ref="B828">_xlfn.IFS(HR_table[[#This Row],[Age]]&lt;=20, "Under 20yrs",HR_table[[#This Row],[Age]]&lt;=30,"(21-30)yrs",HR_table[[#This Row],[Age]]&lt;=40,"(31-40)yrs",HR_table[[#This Row],[Age]]&lt;=50,"(41-50)yrs",HR_table[[#This Row],[Age]]&lt;=60,"(51-60)yrs")</f>
        <v>(31-40)yrs</v>
      </c>
      <c r="C828" t="s">
        <v>43</v>
      </c>
      <c r="D828" t="s">
        <v>36</v>
      </c>
      <c r="E828" t="s">
        <v>61</v>
      </c>
      <c r="F828" t="s">
        <v>61</v>
      </c>
      <c r="G828" t="s">
        <v>61</v>
      </c>
      <c r="H828">
        <v>1152</v>
      </c>
      <c r="I828" s="2">
        <v>1</v>
      </c>
      <c r="J828" s="2">
        <v>3</v>
      </c>
      <c r="K828" t="s">
        <v>46</v>
      </c>
      <c r="L828" s="2">
        <v>1</v>
      </c>
      <c r="M828" s="2">
        <v>3</v>
      </c>
      <c r="N828" t="s">
        <v>48</v>
      </c>
      <c r="O828" s="2">
        <v>2844</v>
      </c>
      <c r="P828" s="2">
        <v>6004</v>
      </c>
      <c r="Q828" s="2">
        <v>1</v>
      </c>
      <c r="R828" t="s">
        <v>43</v>
      </c>
      <c r="S828" s="2">
        <v>3</v>
      </c>
      <c r="T828" s="2">
        <v>4</v>
      </c>
      <c r="U828">
        <v>80</v>
      </c>
      <c r="V828" s="2">
        <v>7</v>
      </c>
      <c r="W828">
        <v>2</v>
      </c>
      <c r="X828">
        <v>4</v>
      </c>
      <c r="Y828">
        <v>7</v>
      </c>
      <c r="Z828">
        <v>6</v>
      </c>
      <c r="AA828">
        <v>5</v>
      </c>
      <c r="AB828">
        <v>0</v>
      </c>
    </row>
    <row r="829" spans="1:28" x14ac:dyDescent="0.35">
      <c r="A829" s="2">
        <v>28</v>
      </c>
      <c r="B829" s="2" t="str" cm="1">
        <f t="array" ref="B829">_xlfn.IFS(HR_table[[#This Row],[Age]]&lt;=20, "Under 20yrs",HR_table[[#This Row],[Age]]&lt;=30,"(21-30)yrs",HR_table[[#This Row],[Age]]&lt;=40,"(31-40)yrs",HR_table[[#This Row],[Age]]&lt;=50,"(41-50)yrs",HR_table[[#This Row],[Age]]&lt;=60,"(51-60)yrs")</f>
        <v>(21-30)yrs</v>
      </c>
      <c r="C829" t="s">
        <v>43</v>
      </c>
      <c r="D829" t="s">
        <v>44</v>
      </c>
      <c r="E829" t="s">
        <v>45</v>
      </c>
      <c r="F829" t="s">
        <v>38</v>
      </c>
      <c r="G829" t="s">
        <v>47</v>
      </c>
      <c r="H829">
        <v>1154</v>
      </c>
      <c r="I829" s="2">
        <v>6</v>
      </c>
      <c r="J829" s="2">
        <v>3</v>
      </c>
      <c r="K829" t="s">
        <v>46</v>
      </c>
      <c r="L829" s="2">
        <v>1</v>
      </c>
      <c r="M829" s="2">
        <v>3</v>
      </c>
      <c r="N829" t="s">
        <v>52</v>
      </c>
      <c r="O829" s="2">
        <v>2703</v>
      </c>
      <c r="P829" s="2">
        <v>22088</v>
      </c>
      <c r="Q829" s="2">
        <v>1</v>
      </c>
      <c r="R829" t="s">
        <v>35</v>
      </c>
      <c r="S829" s="2">
        <v>3</v>
      </c>
      <c r="T829" s="2">
        <v>4</v>
      </c>
      <c r="U829">
        <v>80</v>
      </c>
      <c r="V829" s="2">
        <v>3</v>
      </c>
      <c r="W829">
        <v>2</v>
      </c>
      <c r="X829">
        <v>3</v>
      </c>
      <c r="Y829">
        <v>3</v>
      </c>
      <c r="Z829">
        <v>1</v>
      </c>
      <c r="AA829">
        <v>0</v>
      </c>
      <c r="AB829">
        <v>2</v>
      </c>
    </row>
    <row r="830" spans="1:28" x14ac:dyDescent="0.35">
      <c r="A830" s="2">
        <v>18</v>
      </c>
      <c r="B830" s="2" t="str" cm="1">
        <f t="array" ref="B830">_xlfn.IFS(HR_table[[#This Row],[Age]]&lt;=20, "Under 20yrs",HR_table[[#This Row],[Age]]&lt;=30,"(21-30)yrs",HR_table[[#This Row],[Age]]&lt;=40,"(31-40)yrs",HR_table[[#This Row],[Age]]&lt;=50,"(41-50)yrs",HR_table[[#This Row],[Age]]&lt;=60,"(51-60)yrs")</f>
        <v>Under 20yrs</v>
      </c>
      <c r="C830" t="s">
        <v>35</v>
      </c>
      <c r="D830" t="s">
        <v>55</v>
      </c>
      <c r="E830" t="s">
        <v>45</v>
      </c>
      <c r="F830" t="s">
        <v>51</v>
      </c>
      <c r="G830" t="s">
        <v>50</v>
      </c>
      <c r="H830">
        <v>1156</v>
      </c>
      <c r="I830" s="2">
        <v>8</v>
      </c>
      <c r="J830" s="2">
        <v>3</v>
      </c>
      <c r="K830" t="s">
        <v>46</v>
      </c>
      <c r="L830" s="2">
        <v>1</v>
      </c>
      <c r="M830" s="2">
        <v>3</v>
      </c>
      <c r="N830" t="s">
        <v>41</v>
      </c>
      <c r="O830" s="2">
        <v>1904</v>
      </c>
      <c r="P830" s="2">
        <v>13556</v>
      </c>
      <c r="Q830" s="2">
        <v>1</v>
      </c>
      <c r="R830" t="s">
        <v>43</v>
      </c>
      <c r="S830" s="2">
        <v>3</v>
      </c>
      <c r="T830" s="2">
        <v>4</v>
      </c>
      <c r="U830">
        <v>80</v>
      </c>
      <c r="V830" s="2">
        <v>0</v>
      </c>
      <c r="W830">
        <v>0</v>
      </c>
      <c r="X830">
        <v>3</v>
      </c>
      <c r="Y830">
        <v>0</v>
      </c>
      <c r="Z830">
        <v>0</v>
      </c>
      <c r="AA830">
        <v>0</v>
      </c>
      <c r="AB830">
        <v>0</v>
      </c>
    </row>
    <row r="831" spans="1:28" x14ac:dyDescent="0.35">
      <c r="A831" s="2">
        <v>33</v>
      </c>
      <c r="B831" s="2" t="str" cm="1">
        <f t="array" ref="B831">_xlfn.IFS(HR_table[[#This Row],[Age]]&lt;=20, "Under 20yrs",HR_table[[#This Row],[Age]]&lt;=30,"(21-30)yrs",HR_table[[#This Row],[Age]]&lt;=40,"(31-40)yrs",HR_table[[#This Row],[Age]]&lt;=50,"(41-50)yrs",HR_table[[#This Row],[Age]]&lt;=60,"(51-60)yrs")</f>
        <v>(31-40)yrs</v>
      </c>
      <c r="C831" t="s">
        <v>35</v>
      </c>
      <c r="D831" t="s">
        <v>36</v>
      </c>
      <c r="E831" t="s">
        <v>37</v>
      </c>
      <c r="F831" t="s">
        <v>59</v>
      </c>
      <c r="G831" t="s">
        <v>40</v>
      </c>
      <c r="H831">
        <v>1157</v>
      </c>
      <c r="I831" s="2">
        <v>9</v>
      </c>
      <c r="J831" s="2">
        <v>1</v>
      </c>
      <c r="K831" t="s">
        <v>39</v>
      </c>
      <c r="L831" s="2">
        <v>2</v>
      </c>
      <c r="M831" s="2">
        <v>1</v>
      </c>
      <c r="N831" t="s">
        <v>41</v>
      </c>
      <c r="O831" s="2">
        <v>8224</v>
      </c>
      <c r="P831" s="2">
        <v>18385</v>
      </c>
      <c r="Q831" s="2">
        <v>0</v>
      </c>
      <c r="R831" t="s">
        <v>35</v>
      </c>
      <c r="S831" s="2">
        <v>3</v>
      </c>
      <c r="T831" s="2">
        <v>1</v>
      </c>
      <c r="U831">
        <v>80</v>
      </c>
      <c r="V831" s="2">
        <v>6</v>
      </c>
      <c r="W831">
        <v>3</v>
      </c>
      <c r="X831">
        <v>3</v>
      </c>
      <c r="Y831">
        <v>5</v>
      </c>
      <c r="Z831">
        <v>2</v>
      </c>
      <c r="AA831">
        <v>0</v>
      </c>
      <c r="AB831">
        <v>3</v>
      </c>
    </row>
    <row r="832" spans="1:28" x14ac:dyDescent="0.35">
      <c r="A832" s="2">
        <v>41</v>
      </c>
      <c r="B832" s="2" t="str" cm="1">
        <f t="array" ref="B832">_xlfn.IFS(HR_table[[#This Row],[Age]]&lt;=20, "Under 20yrs",HR_table[[#This Row],[Age]]&lt;=30,"(21-30)yrs",HR_table[[#This Row],[Age]]&lt;=40,"(31-40)yrs",HR_table[[#This Row],[Age]]&lt;=50,"(41-50)yrs",HR_table[[#This Row],[Age]]&lt;=60,"(51-60)yrs")</f>
        <v>(41-50)yrs</v>
      </c>
      <c r="C832" t="s">
        <v>43</v>
      </c>
      <c r="D832" t="s">
        <v>36</v>
      </c>
      <c r="E832" t="s">
        <v>45</v>
      </c>
      <c r="F832" t="s">
        <v>38</v>
      </c>
      <c r="G832" t="s">
        <v>50</v>
      </c>
      <c r="H832">
        <v>1158</v>
      </c>
      <c r="I832" s="2">
        <v>12</v>
      </c>
      <c r="J832" s="2">
        <v>2</v>
      </c>
      <c r="K832" t="s">
        <v>46</v>
      </c>
      <c r="L832" s="2">
        <v>1</v>
      </c>
      <c r="M832" s="2">
        <v>4</v>
      </c>
      <c r="N832" t="s">
        <v>48</v>
      </c>
      <c r="O832" s="2">
        <v>4766</v>
      </c>
      <c r="P832" s="2">
        <v>9051</v>
      </c>
      <c r="Q832" s="2">
        <v>3</v>
      </c>
      <c r="R832" t="s">
        <v>35</v>
      </c>
      <c r="S832" s="2">
        <v>3</v>
      </c>
      <c r="T832" s="2">
        <v>1</v>
      </c>
      <c r="U832">
        <v>80</v>
      </c>
      <c r="V832" s="2">
        <v>6</v>
      </c>
      <c r="W832">
        <v>4</v>
      </c>
      <c r="X832">
        <v>3</v>
      </c>
      <c r="Y832">
        <v>1</v>
      </c>
      <c r="Z832">
        <v>0</v>
      </c>
      <c r="AA832">
        <v>0</v>
      </c>
      <c r="AB832">
        <v>0</v>
      </c>
    </row>
    <row r="833" spans="1:28" x14ac:dyDescent="0.35">
      <c r="A833" s="2">
        <v>31</v>
      </c>
      <c r="B833" s="2" t="str" cm="1">
        <f t="array" ref="B833">_xlfn.IFS(HR_table[[#This Row],[Age]]&lt;=20, "Under 20yrs",HR_table[[#This Row],[Age]]&lt;=30,"(21-30)yrs",HR_table[[#This Row],[Age]]&lt;=40,"(31-40)yrs",HR_table[[#This Row],[Age]]&lt;=50,"(41-50)yrs",HR_table[[#This Row],[Age]]&lt;=60,"(51-60)yrs")</f>
        <v>(31-40)yrs</v>
      </c>
      <c r="C833" t="s">
        <v>35</v>
      </c>
      <c r="D833" t="s">
        <v>44</v>
      </c>
      <c r="E833" t="s">
        <v>45</v>
      </c>
      <c r="F833" t="s">
        <v>51</v>
      </c>
      <c r="G833" t="s">
        <v>50</v>
      </c>
      <c r="H833">
        <v>1160</v>
      </c>
      <c r="I833" s="2">
        <v>15</v>
      </c>
      <c r="J833" s="2">
        <v>3</v>
      </c>
      <c r="K833" t="s">
        <v>46</v>
      </c>
      <c r="L833" s="2">
        <v>1</v>
      </c>
      <c r="M833" s="2">
        <v>3</v>
      </c>
      <c r="N833" t="s">
        <v>48</v>
      </c>
      <c r="O833" s="2">
        <v>2610</v>
      </c>
      <c r="P833" s="2">
        <v>6233</v>
      </c>
      <c r="Q833" s="2">
        <v>1</v>
      </c>
      <c r="R833" t="s">
        <v>43</v>
      </c>
      <c r="S833" s="2">
        <v>3</v>
      </c>
      <c r="T833" s="2">
        <v>3</v>
      </c>
      <c r="U833">
        <v>80</v>
      </c>
      <c r="V833" s="2">
        <v>2</v>
      </c>
      <c r="W833">
        <v>5</v>
      </c>
      <c r="X833">
        <v>2</v>
      </c>
      <c r="Y833">
        <v>2</v>
      </c>
      <c r="Z833">
        <v>2</v>
      </c>
      <c r="AA833">
        <v>2</v>
      </c>
      <c r="AB833">
        <v>2</v>
      </c>
    </row>
    <row r="834" spans="1:28" x14ac:dyDescent="0.35">
      <c r="A834" s="2">
        <v>37</v>
      </c>
      <c r="B834" s="2" t="str" cm="1">
        <f t="array" ref="B834">_xlfn.IFS(HR_table[[#This Row],[Age]]&lt;=20, "Under 20yrs",HR_table[[#This Row],[Age]]&lt;=30,"(21-30)yrs",HR_table[[#This Row],[Age]]&lt;=40,"(31-40)yrs",HR_table[[#This Row],[Age]]&lt;=50,"(41-50)yrs",HR_table[[#This Row],[Age]]&lt;=60,"(51-60)yrs")</f>
        <v>(31-40)yrs</v>
      </c>
      <c r="C834" t="s">
        <v>43</v>
      </c>
      <c r="D834" t="s">
        <v>36</v>
      </c>
      <c r="E834" t="s">
        <v>45</v>
      </c>
      <c r="F834" t="s">
        <v>51</v>
      </c>
      <c r="G834" t="s">
        <v>54</v>
      </c>
      <c r="H834">
        <v>1161</v>
      </c>
      <c r="I834" s="2">
        <v>25</v>
      </c>
      <c r="J834" s="2">
        <v>3</v>
      </c>
      <c r="K834" t="s">
        <v>39</v>
      </c>
      <c r="L834" s="2">
        <v>2</v>
      </c>
      <c r="M834" s="2">
        <v>4</v>
      </c>
      <c r="N834" t="s">
        <v>52</v>
      </c>
      <c r="O834" s="2">
        <v>5731</v>
      </c>
      <c r="P834" s="2">
        <v>17171</v>
      </c>
      <c r="Q834" s="2">
        <v>7</v>
      </c>
      <c r="R834" t="s">
        <v>43</v>
      </c>
      <c r="S834" s="2">
        <v>3</v>
      </c>
      <c r="T834" s="2">
        <v>3</v>
      </c>
      <c r="U834">
        <v>80</v>
      </c>
      <c r="V834" s="2">
        <v>9</v>
      </c>
      <c r="W834">
        <v>2</v>
      </c>
      <c r="X834">
        <v>3</v>
      </c>
      <c r="Y834">
        <v>6</v>
      </c>
      <c r="Z834">
        <v>2</v>
      </c>
      <c r="AA834">
        <v>1</v>
      </c>
      <c r="AB834">
        <v>3</v>
      </c>
    </row>
    <row r="835" spans="1:28" x14ac:dyDescent="0.35">
      <c r="A835" s="2">
        <v>27</v>
      </c>
      <c r="B835" s="2" t="str" cm="1">
        <f t="array" ref="B835">_xlfn.IFS(HR_table[[#This Row],[Age]]&lt;=20, "Under 20yrs",HR_table[[#This Row],[Age]]&lt;=30,"(21-30)yrs",HR_table[[#This Row],[Age]]&lt;=40,"(31-40)yrs",HR_table[[#This Row],[Age]]&lt;=50,"(41-50)yrs",HR_table[[#This Row],[Age]]&lt;=60,"(51-60)yrs")</f>
        <v>(21-30)yrs</v>
      </c>
      <c r="C835" t="s">
        <v>43</v>
      </c>
      <c r="D835" t="s">
        <v>36</v>
      </c>
      <c r="E835" t="s">
        <v>45</v>
      </c>
      <c r="F835" t="s">
        <v>38</v>
      </c>
      <c r="G835" t="s">
        <v>47</v>
      </c>
      <c r="H835">
        <v>1162</v>
      </c>
      <c r="I835" s="2">
        <v>6</v>
      </c>
      <c r="J835" s="2">
        <v>4</v>
      </c>
      <c r="K835" t="s">
        <v>46</v>
      </c>
      <c r="L835" s="2">
        <v>1</v>
      </c>
      <c r="M835" s="2">
        <v>3</v>
      </c>
      <c r="N835" t="s">
        <v>48</v>
      </c>
      <c r="O835" s="2">
        <v>2539</v>
      </c>
      <c r="P835" s="2">
        <v>7950</v>
      </c>
      <c r="Q835" s="2">
        <v>1</v>
      </c>
      <c r="R835" t="s">
        <v>43</v>
      </c>
      <c r="S835" s="2">
        <v>3</v>
      </c>
      <c r="T835" s="2">
        <v>3</v>
      </c>
      <c r="U835">
        <v>80</v>
      </c>
      <c r="V835" s="2">
        <v>4</v>
      </c>
      <c r="W835">
        <v>0</v>
      </c>
      <c r="X835">
        <v>3</v>
      </c>
      <c r="Y835">
        <v>4</v>
      </c>
      <c r="Z835">
        <v>2</v>
      </c>
      <c r="AA835">
        <v>2</v>
      </c>
      <c r="AB835">
        <v>2</v>
      </c>
    </row>
    <row r="836" spans="1:28" x14ac:dyDescent="0.35">
      <c r="A836" s="2">
        <v>34</v>
      </c>
      <c r="B836" s="2" t="str" cm="1">
        <f t="array" ref="B836">_xlfn.IFS(HR_table[[#This Row],[Age]]&lt;=20, "Under 20yrs",HR_table[[#This Row],[Age]]&lt;=30,"(21-30)yrs",HR_table[[#This Row],[Age]]&lt;=40,"(31-40)yrs",HR_table[[#This Row],[Age]]&lt;=50,"(41-50)yrs",HR_table[[#This Row],[Age]]&lt;=60,"(51-60)yrs")</f>
        <v>(31-40)yrs</v>
      </c>
      <c r="C836" t="s">
        <v>43</v>
      </c>
      <c r="D836" t="s">
        <v>36</v>
      </c>
      <c r="E836" t="s">
        <v>37</v>
      </c>
      <c r="F836" t="s">
        <v>38</v>
      </c>
      <c r="G836" t="s">
        <v>40</v>
      </c>
      <c r="H836">
        <v>1163</v>
      </c>
      <c r="I836" s="2">
        <v>9</v>
      </c>
      <c r="J836" s="2">
        <v>2</v>
      </c>
      <c r="K836" t="s">
        <v>39</v>
      </c>
      <c r="L836" s="2">
        <v>2</v>
      </c>
      <c r="M836" s="2">
        <v>3</v>
      </c>
      <c r="N836" t="s">
        <v>48</v>
      </c>
      <c r="O836" s="2">
        <v>5714</v>
      </c>
      <c r="P836" s="2">
        <v>5829</v>
      </c>
      <c r="Q836" s="2">
        <v>1</v>
      </c>
      <c r="R836" t="s">
        <v>43</v>
      </c>
      <c r="S836" s="2">
        <v>4</v>
      </c>
      <c r="T836" s="2">
        <v>1</v>
      </c>
      <c r="U836">
        <v>80</v>
      </c>
      <c r="V836" s="2">
        <v>6</v>
      </c>
      <c r="W836">
        <v>3</v>
      </c>
      <c r="X836">
        <v>2</v>
      </c>
      <c r="Y836">
        <v>6</v>
      </c>
      <c r="Z836">
        <v>5</v>
      </c>
      <c r="AA836">
        <v>1</v>
      </c>
      <c r="AB836">
        <v>3</v>
      </c>
    </row>
    <row r="837" spans="1:28" x14ac:dyDescent="0.35">
      <c r="A837" s="2">
        <v>35</v>
      </c>
      <c r="B837" s="2" t="str" cm="1">
        <f t="array" ref="B837">_xlfn.IFS(HR_table[[#This Row],[Age]]&lt;=20, "Under 20yrs",HR_table[[#This Row],[Age]]&lt;=30,"(21-30)yrs",HR_table[[#This Row],[Age]]&lt;=40,"(31-40)yrs",HR_table[[#This Row],[Age]]&lt;=50,"(41-50)yrs",HR_table[[#This Row],[Age]]&lt;=60,"(51-60)yrs")</f>
        <v>(31-40)yrs</v>
      </c>
      <c r="C837" t="s">
        <v>43</v>
      </c>
      <c r="D837" t="s">
        <v>36</v>
      </c>
      <c r="E837" t="s">
        <v>61</v>
      </c>
      <c r="F837" t="s">
        <v>60</v>
      </c>
      <c r="G837" t="s">
        <v>61</v>
      </c>
      <c r="H837">
        <v>1164</v>
      </c>
      <c r="I837" s="2">
        <v>8</v>
      </c>
      <c r="J837" s="2">
        <v>3</v>
      </c>
      <c r="K837" t="s">
        <v>46</v>
      </c>
      <c r="L837" s="2">
        <v>1</v>
      </c>
      <c r="M837" s="2">
        <v>3</v>
      </c>
      <c r="N837" t="s">
        <v>41</v>
      </c>
      <c r="O837" s="2">
        <v>4323</v>
      </c>
      <c r="P837" s="2">
        <v>7108</v>
      </c>
      <c r="Q837" s="2">
        <v>1</v>
      </c>
      <c r="R837" t="s">
        <v>43</v>
      </c>
      <c r="S837" s="2">
        <v>3</v>
      </c>
      <c r="T837" s="2">
        <v>2</v>
      </c>
      <c r="U837">
        <v>80</v>
      </c>
      <c r="V837" s="2">
        <v>6</v>
      </c>
      <c r="W837">
        <v>2</v>
      </c>
      <c r="X837">
        <v>1</v>
      </c>
      <c r="Y837">
        <v>5</v>
      </c>
      <c r="Z837">
        <v>4</v>
      </c>
      <c r="AA837">
        <v>1</v>
      </c>
      <c r="AB837">
        <v>4</v>
      </c>
    </row>
    <row r="838" spans="1:28" x14ac:dyDescent="0.35">
      <c r="A838" s="2">
        <v>29</v>
      </c>
      <c r="B838" s="2" t="str" cm="1">
        <f t="array" ref="B838">_xlfn.IFS(HR_table[[#This Row],[Age]]&lt;=20, "Under 20yrs",HR_table[[#This Row],[Age]]&lt;=30,"(21-30)yrs",HR_table[[#This Row],[Age]]&lt;=40,"(31-40)yrs",HR_table[[#This Row],[Age]]&lt;=50,"(41-50)yrs",HR_table[[#This Row],[Age]]&lt;=60,"(51-60)yrs")</f>
        <v>(21-30)yrs</v>
      </c>
      <c r="C838" t="s">
        <v>35</v>
      </c>
      <c r="D838" t="s">
        <v>36</v>
      </c>
      <c r="E838" t="s">
        <v>37</v>
      </c>
      <c r="F838" t="s">
        <v>38</v>
      </c>
      <c r="G838" t="s">
        <v>40</v>
      </c>
      <c r="H838">
        <v>1165</v>
      </c>
      <c r="I838" s="2">
        <v>23</v>
      </c>
      <c r="J838" s="2">
        <v>4</v>
      </c>
      <c r="K838" t="s">
        <v>39</v>
      </c>
      <c r="L838" s="2">
        <v>3</v>
      </c>
      <c r="M838" s="2">
        <v>1</v>
      </c>
      <c r="N838" t="s">
        <v>48</v>
      </c>
      <c r="O838" s="2">
        <v>7336</v>
      </c>
      <c r="P838" s="2">
        <v>11162</v>
      </c>
      <c r="Q838" s="2">
        <v>1</v>
      </c>
      <c r="R838" t="s">
        <v>43</v>
      </c>
      <c r="S838" s="2">
        <v>3</v>
      </c>
      <c r="T838" s="2">
        <v>1</v>
      </c>
      <c r="U838">
        <v>80</v>
      </c>
      <c r="V838" s="2">
        <v>11</v>
      </c>
      <c r="W838">
        <v>3</v>
      </c>
      <c r="X838">
        <v>1</v>
      </c>
      <c r="Y838">
        <v>11</v>
      </c>
      <c r="Z838">
        <v>8</v>
      </c>
      <c r="AA838">
        <v>3</v>
      </c>
      <c r="AB838">
        <v>10</v>
      </c>
    </row>
    <row r="839" spans="1:28" x14ac:dyDescent="0.35">
      <c r="A839" s="2">
        <v>40</v>
      </c>
      <c r="B839" s="2" t="str" cm="1">
        <f t="array" ref="B839">_xlfn.IFS(HR_table[[#This Row],[Age]]&lt;=20, "Under 20yrs",HR_table[[#This Row],[Age]]&lt;=30,"(21-30)yrs",HR_table[[#This Row],[Age]]&lt;=40,"(31-40)yrs",HR_table[[#This Row],[Age]]&lt;=50,"(41-50)yrs",HR_table[[#This Row],[Age]]&lt;=60,"(51-60)yrs")</f>
        <v>(31-40)yrs</v>
      </c>
      <c r="C839" t="s">
        <v>43</v>
      </c>
      <c r="D839" t="s">
        <v>44</v>
      </c>
      <c r="E839" t="s">
        <v>45</v>
      </c>
      <c r="F839" t="s">
        <v>51</v>
      </c>
      <c r="G839" t="s">
        <v>58</v>
      </c>
      <c r="H839">
        <v>1166</v>
      </c>
      <c r="I839" s="2">
        <v>9</v>
      </c>
      <c r="J839" s="2">
        <v>2</v>
      </c>
      <c r="K839" t="s">
        <v>39</v>
      </c>
      <c r="L839" s="2">
        <v>3</v>
      </c>
      <c r="M839" s="2">
        <v>3</v>
      </c>
      <c r="N839" t="s">
        <v>41</v>
      </c>
      <c r="O839" s="2">
        <v>13499</v>
      </c>
      <c r="P839" s="2">
        <v>13782</v>
      </c>
      <c r="Q839" s="2">
        <v>9</v>
      </c>
      <c r="R839" t="s">
        <v>43</v>
      </c>
      <c r="S839" s="2">
        <v>3</v>
      </c>
      <c r="T839" s="2">
        <v>3</v>
      </c>
      <c r="U839">
        <v>80</v>
      </c>
      <c r="V839" s="2">
        <v>20</v>
      </c>
      <c r="W839">
        <v>3</v>
      </c>
      <c r="X839">
        <v>2</v>
      </c>
      <c r="Y839">
        <v>18</v>
      </c>
      <c r="Z839">
        <v>7</v>
      </c>
      <c r="AA839">
        <v>2</v>
      </c>
      <c r="AB839">
        <v>13</v>
      </c>
    </row>
    <row r="840" spans="1:28" x14ac:dyDescent="0.35">
      <c r="A840" s="2">
        <v>42</v>
      </c>
      <c r="B840" s="2" t="str" cm="1">
        <f t="array" ref="B840">_xlfn.IFS(HR_table[[#This Row],[Age]]&lt;=20, "Under 20yrs",HR_table[[#This Row],[Age]]&lt;=30,"(21-30)yrs",HR_table[[#This Row],[Age]]&lt;=40,"(31-40)yrs",HR_table[[#This Row],[Age]]&lt;=50,"(41-50)yrs",HR_table[[#This Row],[Age]]&lt;=60,"(51-60)yrs")</f>
        <v>(41-50)yrs</v>
      </c>
      <c r="C840" t="s">
        <v>35</v>
      </c>
      <c r="D840" t="s">
        <v>44</v>
      </c>
      <c r="E840" t="s">
        <v>37</v>
      </c>
      <c r="F840" t="s">
        <v>38</v>
      </c>
      <c r="G840" t="s">
        <v>40</v>
      </c>
      <c r="H840">
        <v>1167</v>
      </c>
      <c r="I840" s="2">
        <v>12</v>
      </c>
      <c r="J840" s="2">
        <v>3</v>
      </c>
      <c r="K840" t="s">
        <v>46</v>
      </c>
      <c r="L840" s="2">
        <v>4</v>
      </c>
      <c r="M840" s="2">
        <v>1</v>
      </c>
      <c r="N840" t="s">
        <v>41</v>
      </c>
      <c r="O840" s="2">
        <v>13758</v>
      </c>
      <c r="P840" s="2">
        <v>2447</v>
      </c>
      <c r="Q840" s="2">
        <v>0</v>
      </c>
      <c r="R840" t="s">
        <v>35</v>
      </c>
      <c r="S840" s="2">
        <v>3</v>
      </c>
      <c r="T840" s="2">
        <v>2</v>
      </c>
      <c r="U840">
        <v>80</v>
      </c>
      <c r="V840" s="2">
        <v>22</v>
      </c>
      <c r="W840">
        <v>2</v>
      </c>
      <c r="X840">
        <v>2</v>
      </c>
      <c r="Y840">
        <v>21</v>
      </c>
      <c r="Z840">
        <v>9</v>
      </c>
      <c r="AA840">
        <v>13</v>
      </c>
      <c r="AB840">
        <v>14</v>
      </c>
    </row>
    <row r="841" spans="1:28" x14ac:dyDescent="0.35">
      <c r="A841" s="2">
        <v>42</v>
      </c>
      <c r="B841" s="2" t="str" cm="1">
        <f t="array" ref="B841">_xlfn.IFS(HR_table[[#This Row],[Age]]&lt;=20, "Under 20yrs",HR_table[[#This Row],[Age]]&lt;=30,"(21-30)yrs",HR_table[[#This Row],[Age]]&lt;=40,"(31-40)yrs",HR_table[[#This Row],[Age]]&lt;=50,"(41-50)yrs",HR_table[[#This Row],[Age]]&lt;=60,"(51-60)yrs")</f>
        <v>(41-50)yrs</v>
      </c>
      <c r="C841" t="s">
        <v>43</v>
      </c>
      <c r="D841" t="s">
        <v>36</v>
      </c>
      <c r="E841" t="s">
        <v>37</v>
      </c>
      <c r="F841" t="s">
        <v>59</v>
      </c>
      <c r="G841" t="s">
        <v>40</v>
      </c>
      <c r="H841">
        <v>1171</v>
      </c>
      <c r="I841" s="2">
        <v>4</v>
      </c>
      <c r="J841" s="2">
        <v>2</v>
      </c>
      <c r="K841" t="s">
        <v>46</v>
      </c>
      <c r="L841" s="2">
        <v>2</v>
      </c>
      <c r="M841" s="2">
        <v>1</v>
      </c>
      <c r="N841" t="s">
        <v>41</v>
      </c>
      <c r="O841" s="2">
        <v>5155</v>
      </c>
      <c r="P841" s="2">
        <v>2253</v>
      </c>
      <c r="Q841" s="2">
        <v>7</v>
      </c>
      <c r="R841" t="s">
        <v>43</v>
      </c>
      <c r="S841" s="2">
        <v>3</v>
      </c>
      <c r="T841" s="2">
        <v>4</v>
      </c>
      <c r="U841">
        <v>80</v>
      </c>
      <c r="V841" s="2">
        <v>9</v>
      </c>
      <c r="W841">
        <v>3</v>
      </c>
      <c r="X841">
        <v>4</v>
      </c>
      <c r="Y841">
        <v>6</v>
      </c>
      <c r="Z841">
        <v>4</v>
      </c>
      <c r="AA841">
        <v>1</v>
      </c>
      <c r="AB841">
        <v>5</v>
      </c>
    </row>
    <row r="842" spans="1:28" x14ac:dyDescent="0.35">
      <c r="A842" s="2">
        <v>35</v>
      </c>
      <c r="B842" s="2" t="str" cm="1">
        <f t="array" ref="B842">_xlfn.IFS(HR_table[[#This Row],[Age]]&lt;=20, "Under 20yrs",HR_table[[#This Row],[Age]]&lt;=30,"(21-30)yrs",HR_table[[#This Row],[Age]]&lt;=40,"(31-40)yrs",HR_table[[#This Row],[Age]]&lt;=50,"(41-50)yrs",HR_table[[#This Row],[Age]]&lt;=60,"(51-60)yrs")</f>
        <v>(31-40)yrs</v>
      </c>
      <c r="C842" t="s">
        <v>43</v>
      </c>
      <c r="D842" t="s">
        <v>36</v>
      </c>
      <c r="E842" t="s">
        <v>45</v>
      </c>
      <c r="F842" t="s">
        <v>51</v>
      </c>
      <c r="G842" t="s">
        <v>50</v>
      </c>
      <c r="H842">
        <v>1172</v>
      </c>
      <c r="I842" s="2">
        <v>1</v>
      </c>
      <c r="J842" s="2">
        <v>4</v>
      </c>
      <c r="K842" t="s">
        <v>46</v>
      </c>
      <c r="L842" s="2">
        <v>1</v>
      </c>
      <c r="M842" s="2">
        <v>3</v>
      </c>
      <c r="N842" t="s">
        <v>48</v>
      </c>
      <c r="O842" s="2">
        <v>2258</v>
      </c>
      <c r="P842" s="2">
        <v>16340</v>
      </c>
      <c r="Q842" s="2">
        <v>6</v>
      </c>
      <c r="R842" t="s">
        <v>43</v>
      </c>
      <c r="S842" s="2">
        <v>3</v>
      </c>
      <c r="T842" s="2">
        <v>2</v>
      </c>
      <c r="U842">
        <v>80</v>
      </c>
      <c r="V842" s="2">
        <v>10</v>
      </c>
      <c r="W842">
        <v>2</v>
      </c>
      <c r="X842">
        <v>3</v>
      </c>
      <c r="Y842">
        <v>8</v>
      </c>
      <c r="Z842">
        <v>0</v>
      </c>
      <c r="AA842">
        <v>1</v>
      </c>
      <c r="AB842">
        <v>7</v>
      </c>
    </row>
    <row r="843" spans="1:28" x14ac:dyDescent="0.35">
      <c r="A843" s="2">
        <v>24</v>
      </c>
      <c r="B843" s="2" t="str" cm="1">
        <f t="array" ref="B843">_xlfn.IFS(HR_table[[#This Row],[Age]]&lt;=20, "Under 20yrs",HR_table[[#This Row],[Age]]&lt;=30,"(21-30)yrs",HR_table[[#This Row],[Age]]&lt;=40,"(31-40)yrs",HR_table[[#This Row],[Age]]&lt;=50,"(41-50)yrs",HR_table[[#This Row],[Age]]&lt;=60,"(51-60)yrs")</f>
        <v>(21-30)yrs</v>
      </c>
      <c r="C843" t="s">
        <v>43</v>
      </c>
      <c r="D843" t="s">
        <v>36</v>
      </c>
      <c r="E843" t="s">
        <v>45</v>
      </c>
      <c r="F843" t="s">
        <v>51</v>
      </c>
      <c r="G843" t="s">
        <v>50</v>
      </c>
      <c r="H843">
        <v>1173</v>
      </c>
      <c r="I843" s="2">
        <v>24</v>
      </c>
      <c r="J843" s="2">
        <v>4</v>
      </c>
      <c r="K843" t="s">
        <v>46</v>
      </c>
      <c r="L843" s="2">
        <v>1</v>
      </c>
      <c r="M843" s="2">
        <v>2</v>
      </c>
      <c r="N843" t="s">
        <v>41</v>
      </c>
      <c r="O843" s="2">
        <v>3597</v>
      </c>
      <c r="P843" s="2">
        <v>6409</v>
      </c>
      <c r="Q843" s="2">
        <v>8</v>
      </c>
      <c r="R843" t="s">
        <v>43</v>
      </c>
      <c r="S843" s="2">
        <v>4</v>
      </c>
      <c r="T843" s="2">
        <v>4</v>
      </c>
      <c r="U843">
        <v>80</v>
      </c>
      <c r="V843" s="2">
        <v>6</v>
      </c>
      <c r="W843">
        <v>2</v>
      </c>
      <c r="X843">
        <v>3</v>
      </c>
      <c r="Y843">
        <v>4</v>
      </c>
      <c r="Z843">
        <v>3</v>
      </c>
      <c r="AA843">
        <v>1</v>
      </c>
      <c r="AB843">
        <v>2</v>
      </c>
    </row>
    <row r="844" spans="1:28" x14ac:dyDescent="0.35">
      <c r="A844" s="2">
        <v>28</v>
      </c>
      <c r="B844" s="2" t="str" cm="1">
        <f t="array" ref="B844">_xlfn.IFS(HR_table[[#This Row],[Age]]&lt;=20, "Under 20yrs",HR_table[[#This Row],[Age]]&lt;=30,"(21-30)yrs",HR_table[[#This Row],[Age]]&lt;=40,"(31-40)yrs",HR_table[[#This Row],[Age]]&lt;=50,"(41-50)yrs",HR_table[[#This Row],[Age]]&lt;=60,"(51-60)yrs")</f>
        <v>(21-30)yrs</v>
      </c>
      <c r="C844" t="s">
        <v>35</v>
      </c>
      <c r="D844" t="s">
        <v>36</v>
      </c>
      <c r="E844" t="s">
        <v>45</v>
      </c>
      <c r="F844" t="s">
        <v>38</v>
      </c>
      <c r="G844" t="s">
        <v>50</v>
      </c>
      <c r="H844">
        <v>1175</v>
      </c>
      <c r="I844" s="2">
        <v>12</v>
      </c>
      <c r="J844" s="2">
        <v>3</v>
      </c>
      <c r="K844" t="s">
        <v>39</v>
      </c>
      <c r="L844" s="2">
        <v>1</v>
      </c>
      <c r="M844" s="2">
        <v>4</v>
      </c>
      <c r="N844" t="s">
        <v>48</v>
      </c>
      <c r="O844" s="2">
        <v>2515</v>
      </c>
      <c r="P844" s="2">
        <v>22955</v>
      </c>
      <c r="Q844" s="2">
        <v>1</v>
      </c>
      <c r="R844" t="s">
        <v>35</v>
      </c>
      <c r="S844" s="2">
        <v>3</v>
      </c>
      <c r="T844" s="2">
        <v>4</v>
      </c>
      <c r="U844">
        <v>80</v>
      </c>
      <c r="V844" s="2">
        <v>1</v>
      </c>
      <c r="W844">
        <v>4</v>
      </c>
      <c r="X844">
        <v>2</v>
      </c>
      <c r="Y844">
        <v>1</v>
      </c>
      <c r="Z844">
        <v>1</v>
      </c>
      <c r="AA844">
        <v>0</v>
      </c>
      <c r="AB844">
        <v>0</v>
      </c>
    </row>
    <row r="845" spans="1:28" x14ac:dyDescent="0.35">
      <c r="A845" s="2">
        <v>26</v>
      </c>
      <c r="B845" s="2" t="str" cm="1">
        <f t="array" ref="B845">_xlfn.IFS(HR_table[[#This Row],[Age]]&lt;=20, "Under 20yrs",HR_table[[#This Row],[Age]]&lt;=30,"(21-30)yrs",HR_table[[#This Row],[Age]]&lt;=40,"(31-40)yrs",HR_table[[#This Row],[Age]]&lt;=50,"(41-50)yrs",HR_table[[#This Row],[Age]]&lt;=60,"(51-60)yrs")</f>
        <v>(21-30)yrs</v>
      </c>
      <c r="C845" t="s">
        <v>43</v>
      </c>
      <c r="D845" t="s">
        <v>36</v>
      </c>
      <c r="E845" t="s">
        <v>45</v>
      </c>
      <c r="F845" t="s">
        <v>51</v>
      </c>
      <c r="G845" t="s">
        <v>50</v>
      </c>
      <c r="H845">
        <v>1177</v>
      </c>
      <c r="I845" s="2">
        <v>3</v>
      </c>
      <c r="J845" s="2">
        <v>1</v>
      </c>
      <c r="K845" t="s">
        <v>46</v>
      </c>
      <c r="L845" s="2">
        <v>1</v>
      </c>
      <c r="M845" s="2">
        <v>4</v>
      </c>
      <c r="N845" t="s">
        <v>48</v>
      </c>
      <c r="O845" s="2">
        <v>4420</v>
      </c>
      <c r="P845" s="2">
        <v>13421</v>
      </c>
      <c r="Q845" s="2">
        <v>1</v>
      </c>
      <c r="R845" t="s">
        <v>43</v>
      </c>
      <c r="S845" s="2">
        <v>4</v>
      </c>
      <c r="T845" s="2">
        <v>2</v>
      </c>
      <c r="U845">
        <v>80</v>
      </c>
      <c r="V845" s="2">
        <v>8</v>
      </c>
      <c r="W845">
        <v>2</v>
      </c>
      <c r="X845">
        <v>3</v>
      </c>
      <c r="Y845">
        <v>8</v>
      </c>
      <c r="Z845">
        <v>7</v>
      </c>
      <c r="AA845">
        <v>0</v>
      </c>
      <c r="AB845">
        <v>7</v>
      </c>
    </row>
    <row r="846" spans="1:28" x14ac:dyDescent="0.35">
      <c r="A846" s="2">
        <v>30</v>
      </c>
      <c r="B846" s="2" t="str" cm="1">
        <f t="array" ref="B846">_xlfn.IFS(HR_table[[#This Row],[Age]]&lt;=20, "Under 20yrs",HR_table[[#This Row],[Age]]&lt;=30,"(21-30)yrs",HR_table[[#This Row],[Age]]&lt;=40,"(31-40)yrs",HR_table[[#This Row],[Age]]&lt;=50,"(41-50)yrs",HR_table[[#This Row],[Age]]&lt;=60,"(51-60)yrs")</f>
        <v>(21-30)yrs</v>
      </c>
      <c r="C846" t="s">
        <v>43</v>
      </c>
      <c r="D846" t="s">
        <v>36</v>
      </c>
      <c r="E846" t="s">
        <v>37</v>
      </c>
      <c r="F846" t="s">
        <v>59</v>
      </c>
      <c r="G846" t="s">
        <v>40</v>
      </c>
      <c r="H846">
        <v>1179</v>
      </c>
      <c r="I846" s="2">
        <v>10</v>
      </c>
      <c r="J846" s="2">
        <v>3</v>
      </c>
      <c r="K846" t="s">
        <v>46</v>
      </c>
      <c r="L846" s="2">
        <v>2</v>
      </c>
      <c r="M846" s="2">
        <v>3</v>
      </c>
      <c r="N846" t="s">
        <v>48</v>
      </c>
      <c r="O846" s="2">
        <v>6578</v>
      </c>
      <c r="P846" s="2">
        <v>2706</v>
      </c>
      <c r="Q846" s="2">
        <v>1</v>
      </c>
      <c r="R846" t="s">
        <v>43</v>
      </c>
      <c r="S846" s="2">
        <v>3</v>
      </c>
      <c r="T846" s="2">
        <v>1</v>
      </c>
      <c r="U846">
        <v>80</v>
      </c>
      <c r="V846" s="2">
        <v>10</v>
      </c>
      <c r="W846">
        <v>3</v>
      </c>
      <c r="X846">
        <v>3</v>
      </c>
      <c r="Y846">
        <v>10</v>
      </c>
      <c r="Z846">
        <v>3</v>
      </c>
      <c r="AA846">
        <v>1</v>
      </c>
      <c r="AB846">
        <v>4</v>
      </c>
    </row>
    <row r="847" spans="1:28" x14ac:dyDescent="0.35">
      <c r="A847" s="2">
        <v>40</v>
      </c>
      <c r="B847" s="2" t="str" cm="1">
        <f t="array" ref="B847">_xlfn.IFS(HR_table[[#This Row],[Age]]&lt;=20, "Under 20yrs",HR_table[[#This Row],[Age]]&lt;=30,"(21-30)yrs",HR_table[[#This Row],[Age]]&lt;=40,"(31-40)yrs",HR_table[[#This Row],[Age]]&lt;=50,"(41-50)yrs",HR_table[[#This Row],[Age]]&lt;=60,"(51-60)yrs")</f>
        <v>(31-40)yrs</v>
      </c>
      <c r="C847" t="s">
        <v>43</v>
      </c>
      <c r="D847" t="s">
        <v>44</v>
      </c>
      <c r="E847" t="s">
        <v>45</v>
      </c>
      <c r="F847" t="s">
        <v>51</v>
      </c>
      <c r="G847" t="s">
        <v>47</v>
      </c>
      <c r="H847">
        <v>1180</v>
      </c>
      <c r="I847" s="2">
        <v>26</v>
      </c>
      <c r="J847" s="2">
        <v>3</v>
      </c>
      <c r="K847" t="s">
        <v>39</v>
      </c>
      <c r="L847" s="2">
        <v>2</v>
      </c>
      <c r="M847" s="2">
        <v>4</v>
      </c>
      <c r="N847" t="s">
        <v>48</v>
      </c>
      <c r="O847" s="2">
        <v>4422</v>
      </c>
      <c r="P847" s="2">
        <v>21203</v>
      </c>
      <c r="Q847" s="2">
        <v>3</v>
      </c>
      <c r="R847" t="s">
        <v>35</v>
      </c>
      <c r="S847" s="2">
        <v>3</v>
      </c>
      <c r="T847" s="2">
        <v>4</v>
      </c>
      <c r="U847">
        <v>80</v>
      </c>
      <c r="V847" s="2">
        <v>16</v>
      </c>
      <c r="W847">
        <v>3</v>
      </c>
      <c r="X847">
        <v>1</v>
      </c>
      <c r="Y847">
        <v>1</v>
      </c>
      <c r="Z847">
        <v>1</v>
      </c>
      <c r="AA847">
        <v>0</v>
      </c>
      <c r="AB847">
        <v>0</v>
      </c>
    </row>
    <row r="848" spans="1:28" x14ac:dyDescent="0.35">
      <c r="A848" s="2">
        <v>35</v>
      </c>
      <c r="B848" s="2" t="str" cm="1">
        <f t="array" ref="B848">_xlfn.IFS(HR_table[[#This Row],[Age]]&lt;=20, "Under 20yrs",HR_table[[#This Row],[Age]]&lt;=30,"(21-30)yrs",HR_table[[#This Row],[Age]]&lt;=40,"(31-40)yrs",HR_table[[#This Row],[Age]]&lt;=50,"(41-50)yrs",HR_table[[#This Row],[Age]]&lt;=60,"(51-60)yrs")</f>
        <v>(31-40)yrs</v>
      </c>
      <c r="C848" t="s">
        <v>43</v>
      </c>
      <c r="D848" t="s">
        <v>36</v>
      </c>
      <c r="E848" t="s">
        <v>45</v>
      </c>
      <c r="F848" t="s">
        <v>38</v>
      </c>
      <c r="G848" t="s">
        <v>53</v>
      </c>
      <c r="H848">
        <v>1182</v>
      </c>
      <c r="I848" s="2">
        <v>2</v>
      </c>
      <c r="J848" s="2">
        <v>3</v>
      </c>
      <c r="K848" t="s">
        <v>46</v>
      </c>
      <c r="L848" s="2">
        <v>3</v>
      </c>
      <c r="M848" s="2">
        <v>2</v>
      </c>
      <c r="N848" t="s">
        <v>52</v>
      </c>
      <c r="O848" s="2">
        <v>10274</v>
      </c>
      <c r="P848" s="2">
        <v>19588</v>
      </c>
      <c r="Q848" s="2">
        <v>2</v>
      </c>
      <c r="R848" t="s">
        <v>43</v>
      </c>
      <c r="S848" s="2">
        <v>3</v>
      </c>
      <c r="T848" s="2">
        <v>2</v>
      </c>
      <c r="U848">
        <v>80</v>
      </c>
      <c r="V848" s="2">
        <v>15</v>
      </c>
      <c r="W848">
        <v>2</v>
      </c>
      <c r="X848">
        <v>4</v>
      </c>
      <c r="Y848">
        <v>7</v>
      </c>
      <c r="Z848">
        <v>7</v>
      </c>
      <c r="AA848">
        <v>6</v>
      </c>
      <c r="AB848">
        <v>4</v>
      </c>
    </row>
    <row r="849" spans="1:28" x14ac:dyDescent="0.35">
      <c r="A849" s="2">
        <v>34</v>
      </c>
      <c r="B849" s="2" t="str" cm="1">
        <f t="array" ref="B849">_xlfn.IFS(HR_table[[#This Row],[Age]]&lt;=20, "Under 20yrs",HR_table[[#This Row],[Age]]&lt;=30,"(21-30)yrs",HR_table[[#This Row],[Age]]&lt;=40,"(31-40)yrs",HR_table[[#This Row],[Age]]&lt;=50,"(41-50)yrs",HR_table[[#This Row],[Age]]&lt;=60,"(51-60)yrs")</f>
        <v>(31-40)yrs</v>
      </c>
      <c r="C849" t="s">
        <v>43</v>
      </c>
      <c r="D849" t="s">
        <v>44</v>
      </c>
      <c r="E849" t="s">
        <v>45</v>
      </c>
      <c r="F849" t="s">
        <v>51</v>
      </c>
      <c r="G849" t="s">
        <v>54</v>
      </c>
      <c r="H849">
        <v>1184</v>
      </c>
      <c r="I849" s="2">
        <v>1</v>
      </c>
      <c r="J849" s="2">
        <v>4</v>
      </c>
      <c r="K849" t="s">
        <v>46</v>
      </c>
      <c r="L849" s="2">
        <v>2</v>
      </c>
      <c r="M849" s="2">
        <v>1</v>
      </c>
      <c r="N849" t="s">
        <v>41</v>
      </c>
      <c r="O849" s="2">
        <v>5343</v>
      </c>
      <c r="P849" s="2">
        <v>25755</v>
      </c>
      <c r="Q849" s="2">
        <v>0</v>
      </c>
      <c r="R849" t="s">
        <v>43</v>
      </c>
      <c r="S849" s="2">
        <v>4</v>
      </c>
      <c r="T849" s="2">
        <v>3</v>
      </c>
      <c r="U849">
        <v>80</v>
      </c>
      <c r="V849" s="2">
        <v>14</v>
      </c>
      <c r="W849">
        <v>3</v>
      </c>
      <c r="X849">
        <v>3</v>
      </c>
      <c r="Y849">
        <v>13</v>
      </c>
      <c r="Z849">
        <v>9</v>
      </c>
      <c r="AA849">
        <v>4</v>
      </c>
      <c r="AB849">
        <v>9</v>
      </c>
    </row>
    <row r="850" spans="1:28" x14ac:dyDescent="0.35">
      <c r="A850" s="2">
        <v>35</v>
      </c>
      <c r="B850" s="2" t="str" cm="1">
        <f t="array" ref="B850">_xlfn.IFS(HR_table[[#This Row],[Age]]&lt;=20, "Under 20yrs",HR_table[[#This Row],[Age]]&lt;=30,"(21-30)yrs",HR_table[[#This Row],[Age]]&lt;=40,"(31-40)yrs",HR_table[[#This Row],[Age]]&lt;=50,"(41-50)yrs",HR_table[[#This Row],[Age]]&lt;=60,"(51-60)yrs")</f>
        <v>(31-40)yrs</v>
      </c>
      <c r="C850" t="s">
        <v>43</v>
      </c>
      <c r="D850" t="s">
        <v>44</v>
      </c>
      <c r="E850" t="s">
        <v>45</v>
      </c>
      <c r="F850" t="s">
        <v>49</v>
      </c>
      <c r="G850" t="s">
        <v>50</v>
      </c>
      <c r="H850">
        <v>1185</v>
      </c>
      <c r="I850" s="2">
        <v>4</v>
      </c>
      <c r="J850" s="2">
        <v>4</v>
      </c>
      <c r="K850" t="s">
        <v>46</v>
      </c>
      <c r="L850" s="2">
        <v>1</v>
      </c>
      <c r="M850" s="2">
        <v>4</v>
      </c>
      <c r="N850" t="s">
        <v>48</v>
      </c>
      <c r="O850" s="2">
        <v>2376</v>
      </c>
      <c r="P850" s="2">
        <v>26537</v>
      </c>
      <c r="Q850" s="2">
        <v>1</v>
      </c>
      <c r="R850" t="s">
        <v>43</v>
      </c>
      <c r="S850" s="2">
        <v>3</v>
      </c>
      <c r="T850" s="2">
        <v>2</v>
      </c>
      <c r="U850">
        <v>80</v>
      </c>
      <c r="V850" s="2">
        <v>2</v>
      </c>
      <c r="W850">
        <v>2</v>
      </c>
      <c r="X850">
        <v>4</v>
      </c>
      <c r="Y850">
        <v>2</v>
      </c>
      <c r="Z850">
        <v>2</v>
      </c>
      <c r="AA850">
        <v>2</v>
      </c>
      <c r="AB850">
        <v>2</v>
      </c>
    </row>
    <row r="851" spans="1:28" x14ac:dyDescent="0.35">
      <c r="A851" s="2">
        <v>43</v>
      </c>
      <c r="B851" s="2" t="str" cm="1">
        <f t="array" ref="B851">_xlfn.IFS(HR_table[[#This Row],[Age]]&lt;=20, "Under 20yrs",HR_table[[#This Row],[Age]]&lt;=30,"(21-30)yrs",HR_table[[#This Row],[Age]]&lt;=40,"(31-40)yrs",HR_table[[#This Row],[Age]]&lt;=50,"(41-50)yrs",HR_table[[#This Row],[Age]]&lt;=60,"(51-60)yrs")</f>
        <v>(41-50)yrs</v>
      </c>
      <c r="C851" t="s">
        <v>35</v>
      </c>
      <c r="D851" t="s">
        <v>36</v>
      </c>
      <c r="E851" t="s">
        <v>37</v>
      </c>
      <c r="F851" t="s">
        <v>59</v>
      </c>
      <c r="G851" t="s">
        <v>40</v>
      </c>
      <c r="H851">
        <v>1188</v>
      </c>
      <c r="I851" s="2">
        <v>9</v>
      </c>
      <c r="J851" s="2">
        <v>1</v>
      </c>
      <c r="K851" t="s">
        <v>39</v>
      </c>
      <c r="L851" s="2">
        <v>2</v>
      </c>
      <c r="M851" s="2">
        <v>3</v>
      </c>
      <c r="N851" t="s">
        <v>41</v>
      </c>
      <c r="O851" s="2">
        <v>5346</v>
      </c>
      <c r="P851" s="2">
        <v>9489</v>
      </c>
      <c r="Q851" s="2">
        <v>8</v>
      </c>
      <c r="R851" t="s">
        <v>43</v>
      </c>
      <c r="S851" s="2">
        <v>3</v>
      </c>
      <c r="T851" s="2">
        <v>2</v>
      </c>
      <c r="U851">
        <v>80</v>
      </c>
      <c r="V851" s="2">
        <v>7</v>
      </c>
      <c r="W851">
        <v>2</v>
      </c>
      <c r="X851">
        <v>2</v>
      </c>
      <c r="Y851">
        <v>4</v>
      </c>
      <c r="Z851">
        <v>3</v>
      </c>
      <c r="AA851">
        <v>1</v>
      </c>
      <c r="AB851">
        <v>3</v>
      </c>
    </row>
    <row r="852" spans="1:28" x14ac:dyDescent="0.35">
      <c r="A852" s="2">
        <v>32</v>
      </c>
      <c r="B852" s="2" t="str" cm="1">
        <f t="array" ref="B852">_xlfn.IFS(HR_table[[#This Row],[Age]]&lt;=20, "Under 20yrs",HR_table[[#This Row],[Age]]&lt;=30,"(21-30)yrs",HR_table[[#This Row],[Age]]&lt;=40,"(31-40)yrs",HR_table[[#This Row],[Age]]&lt;=50,"(41-50)yrs",HR_table[[#This Row],[Age]]&lt;=60,"(51-60)yrs")</f>
        <v>(31-40)yrs</v>
      </c>
      <c r="C852" t="s">
        <v>43</v>
      </c>
      <c r="D852" t="s">
        <v>55</v>
      </c>
      <c r="E852" t="s">
        <v>37</v>
      </c>
      <c r="F852" t="s">
        <v>38</v>
      </c>
      <c r="G852" t="s">
        <v>57</v>
      </c>
      <c r="H852">
        <v>1190</v>
      </c>
      <c r="I852" s="2">
        <v>2</v>
      </c>
      <c r="J852" s="2">
        <v>3</v>
      </c>
      <c r="K852" t="s">
        <v>39</v>
      </c>
      <c r="L852" s="2">
        <v>1</v>
      </c>
      <c r="M852" s="2">
        <v>1</v>
      </c>
      <c r="N852" t="s">
        <v>52</v>
      </c>
      <c r="O852" s="2">
        <v>2827</v>
      </c>
      <c r="P852" s="2">
        <v>14947</v>
      </c>
      <c r="Q852" s="2">
        <v>1</v>
      </c>
      <c r="R852" t="s">
        <v>43</v>
      </c>
      <c r="S852" s="2">
        <v>3</v>
      </c>
      <c r="T852" s="2">
        <v>3</v>
      </c>
      <c r="U852">
        <v>80</v>
      </c>
      <c r="V852" s="2">
        <v>1</v>
      </c>
      <c r="W852">
        <v>3</v>
      </c>
      <c r="X852">
        <v>3</v>
      </c>
      <c r="Y852">
        <v>1</v>
      </c>
      <c r="Z852">
        <v>0</v>
      </c>
      <c r="AA852">
        <v>0</v>
      </c>
      <c r="AB852">
        <v>0</v>
      </c>
    </row>
    <row r="853" spans="1:28" x14ac:dyDescent="0.35">
      <c r="A853" s="2">
        <v>56</v>
      </c>
      <c r="B853" s="2" t="str" cm="1">
        <f t="array" ref="B853">_xlfn.IFS(HR_table[[#This Row],[Age]]&lt;=20, "Under 20yrs",HR_table[[#This Row],[Age]]&lt;=30,"(21-30)yrs",HR_table[[#This Row],[Age]]&lt;=40,"(31-40)yrs",HR_table[[#This Row],[Age]]&lt;=50,"(41-50)yrs",HR_table[[#This Row],[Age]]&lt;=60,"(51-60)yrs")</f>
        <v>(51-60)yrs</v>
      </c>
      <c r="C853" t="s">
        <v>43</v>
      </c>
      <c r="D853" t="s">
        <v>36</v>
      </c>
      <c r="E853" t="s">
        <v>45</v>
      </c>
      <c r="F853" t="s">
        <v>60</v>
      </c>
      <c r="G853" t="s">
        <v>56</v>
      </c>
      <c r="H853">
        <v>1191</v>
      </c>
      <c r="I853" s="2">
        <v>4</v>
      </c>
      <c r="J853" s="2">
        <v>4</v>
      </c>
      <c r="K853" t="s">
        <v>39</v>
      </c>
      <c r="L853" s="2">
        <v>5</v>
      </c>
      <c r="M853" s="2">
        <v>1</v>
      </c>
      <c r="N853" t="s">
        <v>52</v>
      </c>
      <c r="O853" s="2">
        <v>19943</v>
      </c>
      <c r="P853" s="2">
        <v>18575</v>
      </c>
      <c r="Q853" s="2">
        <v>4</v>
      </c>
      <c r="R853" t="s">
        <v>43</v>
      </c>
      <c r="S853" s="2">
        <v>3</v>
      </c>
      <c r="T853" s="2">
        <v>4</v>
      </c>
      <c r="U853">
        <v>80</v>
      </c>
      <c r="V853" s="2">
        <v>28</v>
      </c>
      <c r="W853">
        <v>2</v>
      </c>
      <c r="X853">
        <v>3</v>
      </c>
      <c r="Y853">
        <v>5</v>
      </c>
      <c r="Z853">
        <v>2</v>
      </c>
      <c r="AA853">
        <v>4</v>
      </c>
      <c r="AB853">
        <v>2</v>
      </c>
    </row>
    <row r="854" spans="1:28" x14ac:dyDescent="0.35">
      <c r="A854" s="2">
        <v>29</v>
      </c>
      <c r="B854" s="2" t="str" cm="1">
        <f t="array" ref="B854">_xlfn.IFS(HR_table[[#This Row],[Age]]&lt;=20, "Under 20yrs",HR_table[[#This Row],[Age]]&lt;=30,"(21-30)yrs",HR_table[[#This Row],[Age]]&lt;=40,"(31-40)yrs",HR_table[[#This Row],[Age]]&lt;=50,"(41-50)yrs",HR_table[[#This Row],[Age]]&lt;=60,"(51-60)yrs")</f>
        <v>(21-30)yrs</v>
      </c>
      <c r="C854" t="s">
        <v>43</v>
      </c>
      <c r="D854" t="s">
        <v>36</v>
      </c>
      <c r="E854" t="s">
        <v>45</v>
      </c>
      <c r="F854" t="s">
        <v>51</v>
      </c>
      <c r="G854" t="s">
        <v>50</v>
      </c>
      <c r="H854">
        <v>1192</v>
      </c>
      <c r="I854" s="2">
        <v>6</v>
      </c>
      <c r="J854" s="2">
        <v>2</v>
      </c>
      <c r="K854" t="s">
        <v>39</v>
      </c>
      <c r="L854" s="2">
        <v>1</v>
      </c>
      <c r="M854" s="2">
        <v>4</v>
      </c>
      <c r="N854" t="s">
        <v>48</v>
      </c>
      <c r="O854" s="2">
        <v>3131</v>
      </c>
      <c r="P854" s="2">
        <v>26342</v>
      </c>
      <c r="Q854" s="2">
        <v>1</v>
      </c>
      <c r="R854" t="s">
        <v>43</v>
      </c>
      <c r="S854" s="2">
        <v>3</v>
      </c>
      <c r="T854" s="2">
        <v>1</v>
      </c>
      <c r="U854">
        <v>80</v>
      </c>
      <c r="V854" s="2">
        <v>10</v>
      </c>
      <c r="W854">
        <v>5</v>
      </c>
      <c r="X854">
        <v>3</v>
      </c>
      <c r="Y854">
        <v>10</v>
      </c>
      <c r="Z854">
        <v>8</v>
      </c>
      <c r="AA854">
        <v>0</v>
      </c>
      <c r="AB854">
        <v>8</v>
      </c>
    </row>
    <row r="855" spans="1:28" x14ac:dyDescent="0.35">
      <c r="A855" s="2">
        <v>19</v>
      </c>
      <c r="B855" s="2" t="str" cm="1">
        <f t="array" ref="B855">_xlfn.IFS(HR_table[[#This Row],[Age]]&lt;=20, "Under 20yrs",HR_table[[#This Row],[Age]]&lt;=30,"(21-30)yrs",HR_table[[#This Row],[Age]]&lt;=40,"(31-40)yrs",HR_table[[#This Row],[Age]]&lt;=50,"(41-50)yrs",HR_table[[#This Row],[Age]]&lt;=60,"(51-60)yrs")</f>
        <v>Under 20yrs</v>
      </c>
      <c r="C855" t="s">
        <v>43</v>
      </c>
      <c r="D855" t="s">
        <v>36</v>
      </c>
      <c r="E855" t="s">
        <v>45</v>
      </c>
      <c r="F855" t="s">
        <v>38</v>
      </c>
      <c r="G855" t="s">
        <v>47</v>
      </c>
      <c r="H855">
        <v>1193</v>
      </c>
      <c r="I855" s="2">
        <v>9</v>
      </c>
      <c r="J855" s="2">
        <v>3</v>
      </c>
      <c r="K855" t="s">
        <v>46</v>
      </c>
      <c r="L855" s="2">
        <v>1</v>
      </c>
      <c r="M855" s="2">
        <v>1</v>
      </c>
      <c r="N855" t="s">
        <v>41</v>
      </c>
      <c r="O855" s="2">
        <v>2552</v>
      </c>
      <c r="P855" s="2">
        <v>7172</v>
      </c>
      <c r="Q855" s="2">
        <v>1</v>
      </c>
      <c r="R855" t="s">
        <v>43</v>
      </c>
      <c r="S855" s="2">
        <v>4</v>
      </c>
      <c r="T855" s="2">
        <v>3</v>
      </c>
      <c r="U855">
        <v>80</v>
      </c>
      <c r="V855" s="2">
        <v>1</v>
      </c>
      <c r="W855">
        <v>4</v>
      </c>
      <c r="X855">
        <v>3</v>
      </c>
      <c r="Y855">
        <v>1</v>
      </c>
      <c r="Z855">
        <v>1</v>
      </c>
      <c r="AA855">
        <v>0</v>
      </c>
      <c r="AB855">
        <v>0</v>
      </c>
    </row>
    <row r="856" spans="1:28" x14ac:dyDescent="0.35">
      <c r="A856" s="2">
        <v>45</v>
      </c>
      <c r="B856" s="2" t="str" cm="1">
        <f t="array" ref="B856">_xlfn.IFS(HR_table[[#This Row],[Age]]&lt;=20, "Under 20yrs",HR_table[[#This Row],[Age]]&lt;=30,"(21-30)yrs",HR_table[[#This Row],[Age]]&lt;=40,"(31-40)yrs",HR_table[[#This Row],[Age]]&lt;=50,"(41-50)yrs",HR_table[[#This Row],[Age]]&lt;=60,"(51-60)yrs")</f>
        <v>(41-50)yrs</v>
      </c>
      <c r="C856" t="s">
        <v>43</v>
      </c>
      <c r="D856" t="s">
        <v>36</v>
      </c>
      <c r="E856" t="s">
        <v>45</v>
      </c>
      <c r="F856" t="s">
        <v>51</v>
      </c>
      <c r="G856" t="s">
        <v>47</v>
      </c>
      <c r="H856">
        <v>1195</v>
      </c>
      <c r="I856" s="2">
        <v>7</v>
      </c>
      <c r="J856" s="2">
        <v>1</v>
      </c>
      <c r="K856" t="s">
        <v>39</v>
      </c>
      <c r="L856" s="2">
        <v>1</v>
      </c>
      <c r="M856" s="2">
        <v>3</v>
      </c>
      <c r="N856" t="s">
        <v>48</v>
      </c>
      <c r="O856" s="2">
        <v>4477</v>
      </c>
      <c r="P856" s="2">
        <v>20100</v>
      </c>
      <c r="Q856" s="2">
        <v>4</v>
      </c>
      <c r="R856" t="s">
        <v>35</v>
      </c>
      <c r="S856" s="2">
        <v>3</v>
      </c>
      <c r="T856" s="2">
        <v>3</v>
      </c>
      <c r="U856">
        <v>80</v>
      </c>
      <c r="V856" s="2">
        <v>7</v>
      </c>
      <c r="W856">
        <v>2</v>
      </c>
      <c r="X856">
        <v>2</v>
      </c>
      <c r="Y856">
        <v>3</v>
      </c>
      <c r="Z856">
        <v>2</v>
      </c>
      <c r="AA856">
        <v>0</v>
      </c>
      <c r="AB856">
        <v>2</v>
      </c>
    </row>
    <row r="857" spans="1:28" x14ac:dyDescent="0.35">
      <c r="A857" s="2">
        <v>37</v>
      </c>
      <c r="B857" s="2" t="str" cm="1">
        <f t="array" ref="B857">_xlfn.IFS(HR_table[[#This Row],[Age]]&lt;=20, "Under 20yrs",HR_table[[#This Row],[Age]]&lt;=30,"(21-30)yrs",HR_table[[#This Row],[Age]]&lt;=40,"(31-40)yrs",HR_table[[#This Row],[Age]]&lt;=50,"(41-50)yrs",HR_table[[#This Row],[Age]]&lt;=60,"(51-60)yrs")</f>
        <v>(31-40)yrs</v>
      </c>
      <c r="C857" t="s">
        <v>43</v>
      </c>
      <c r="D857" t="s">
        <v>36</v>
      </c>
      <c r="E857" t="s">
        <v>45</v>
      </c>
      <c r="F857" t="s">
        <v>38</v>
      </c>
      <c r="G857" t="s">
        <v>53</v>
      </c>
      <c r="H857">
        <v>1196</v>
      </c>
      <c r="I857" s="2">
        <v>1</v>
      </c>
      <c r="J857" s="2">
        <v>4</v>
      </c>
      <c r="K857" t="s">
        <v>39</v>
      </c>
      <c r="L857" s="2">
        <v>2</v>
      </c>
      <c r="M857" s="2">
        <v>4</v>
      </c>
      <c r="N857" t="s">
        <v>48</v>
      </c>
      <c r="O857" s="2">
        <v>6474</v>
      </c>
      <c r="P857" s="2">
        <v>9961</v>
      </c>
      <c r="Q857" s="2">
        <v>1</v>
      </c>
      <c r="R857" t="s">
        <v>43</v>
      </c>
      <c r="S857" s="2">
        <v>3</v>
      </c>
      <c r="T857" s="2">
        <v>2</v>
      </c>
      <c r="U857">
        <v>80</v>
      </c>
      <c r="V857" s="2">
        <v>14</v>
      </c>
      <c r="W857">
        <v>2</v>
      </c>
      <c r="X857">
        <v>2</v>
      </c>
      <c r="Y857">
        <v>14</v>
      </c>
      <c r="Z857">
        <v>8</v>
      </c>
      <c r="AA857">
        <v>3</v>
      </c>
      <c r="AB857">
        <v>11</v>
      </c>
    </row>
    <row r="858" spans="1:28" x14ac:dyDescent="0.35">
      <c r="A858" s="2">
        <v>20</v>
      </c>
      <c r="B858" s="2" t="str" cm="1">
        <f t="array" ref="B858">_xlfn.IFS(HR_table[[#This Row],[Age]]&lt;=20, "Under 20yrs",HR_table[[#This Row],[Age]]&lt;=30,"(21-30)yrs",HR_table[[#This Row],[Age]]&lt;=40,"(31-40)yrs",HR_table[[#This Row],[Age]]&lt;=50,"(41-50)yrs",HR_table[[#This Row],[Age]]&lt;=60,"(51-60)yrs")</f>
        <v>Under 20yrs</v>
      </c>
      <c r="C858" t="s">
        <v>43</v>
      </c>
      <c r="D858" t="s">
        <v>36</v>
      </c>
      <c r="E858" t="s">
        <v>45</v>
      </c>
      <c r="F858" t="s">
        <v>38</v>
      </c>
      <c r="G858" t="s">
        <v>50</v>
      </c>
      <c r="H858">
        <v>1198</v>
      </c>
      <c r="I858" s="2">
        <v>3</v>
      </c>
      <c r="J858" s="2">
        <v>1</v>
      </c>
      <c r="K858" t="s">
        <v>46</v>
      </c>
      <c r="L858" s="2">
        <v>1</v>
      </c>
      <c r="M858" s="2">
        <v>3</v>
      </c>
      <c r="N858" t="s">
        <v>41</v>
      </c>
      <c r="O858" s="2">
        <v>3033</v>
      </c>
      <c r="P858" s="2">
        <v>12828</v>
      </c>
      <c r="Q858" s="2">
        <v>1</v>
      </c>
      <c r="R858" t="s">
        <v>43</v>
      </c>
      <c r="S858" s="2">
        <v>3</v>
      </c>
      <c r="T858" s="2">
        <v>1</v>
      </c>
      <c r="U858">
        <v>80</v>
      </c>
      <c r="V858" s="2">
        <v>2</v>
      </c>
      <c r="W858">
        <v>2</v>
      </c>
      <c r="X858">
        <v>2</v>
      </c>
      <c r="Y858">
        <v>2</v>
      </c>
      <c r="Z858">
        <v>2</v>
      </c>
      <c r="AA858">
        <v>1</v>
      </c>
      <c r="AB858">
        <v>2</v>
      </c>
    </row>
    <row r="859" spans="1:28" x14ac:dyDescent="0.35">
      <c r="A859" s="2">
        <v>44</v>
      </c>
      <c r="B859" s="2" t="str" cm="1">
        <f t="array" ref="B859">_xlfn.IFS(HR_table[[#This Row],[Age]]&lt;=20, "Under 20yrs",HR_table[[#This Row],[Age]]&lt;=30,"(21-30)yrs",HR_table[[#This Row],[Age]]&lt;=40,"(31-40)yrs",HR_table[[#This Row],[Age]]&lt;=50,"(41-50)yrs",HR_table[[#This Row],[Age]]&lt;=60,"(51-60)yrs")</f>
        <v>(41-50)yrs</v>
      </c>
      <c r="C859" t="s">
        <v>35</v>
      </c>
      <c r="D859" t="s">
        <v>36</v>
      </c>
      <c r="E859" t="s">
        <v>45</v>
      </c>
      <c r="F859" t="s">
        <v>38</v>
      </c>
      <c r="G859" t="s">
        <v>47</v>
      </c>
      <c r="H859">
        <v>1200</v>
      </c>
      <c r="I859" s="2">
        <v>10</v>
      </c>
      <c r="J859" s="2">
        <v>3</v>
      </c>
      <c r="K859" t="s">
        <v>46</v>
      </c>
      <c r="L859" s="2">
        <v>1</v>
      </c>
      <c r="M859" s="2">
        <v>3</v>
      </c>
      <c r="N859" t="s">
        <v>41</v>
      </c>
      <c r="O859" s="2">
        <v>2936</v>
      </c>
      <c r="P859" s="2">
        <v>10826</v>
      </c>
      <c r="Q859" s="2">
        <v>1</v>
      </c>
      <c r="R859" t="s">
        <v>35</v>
      </c>
      <c r="S859" s="2">
        <v>3</v>
      </c>
      <c r="T859" s="2">
        <v>3</v>
      </c>
      <c r="U859">
        <v>80</v>
      </c>
      <c r="V859" s="2">
        <v>6</v>
      </c>
      <c r="W859">
        <v>4</v>
      </c>
      <c r="X859">
        <v>3</v>
      </c>
      <c r="Y859">
        <v>6</v>
      </c>
      <c r="Z859">
        <v>4</v>
      </c>
      <c r="AA859">
        <v>0</v>
      </c>
      <c r="AB859">
        <v>2</v>
      </c>
    </row>
    <row r="860" spans="1:28" x14ac:dyDescent="0.35">
      <c r="A860" s="2">
        <v>53</v>
      </c>
      <c r="B860" s="2" t="str" cm="1">
        <f t="array" ref="B860">_xlfn.IFS(HR_table[[#This Row],[Age]]&lt;=20, "Under 20yrs",HR_table[[#This Row],[Age]]&lt;=30,"(21-30)yrs",HR_table[[#This Row],[Age]]&lt;=40,"(31-40)yrs",HR_table[[#This Row],[Age]]&lt;=50,"(41-50)yrs",HR_table[[#This Row],[Age]]&lt;=60,"(51-60)yrs")</f>
        <v>(51-60)yrs</v>
      </c>
      <c r="C860" t="s">
        <v>43</v>
      </c>
      <c r="D860" t="s">
        <v>36</v>
      </c>
      <c r="E860" t="s">
        <v>45</v>
      </c>
      <c r="F860" t="s">
        <v>51</v>
      </c>
      <c r="G860" t="s">
        <v>56</v>
      </c>
      <c r="H860">
        <v>1201</v>
      </c>
      <c r="I860" s="2">
        <v>7</v>
      </c>
      <c r="J860" s="2">
        <v>4</v>
      </c>
      <c r="K860" t="s">
        <v>39</v>
      </c>
      <c r="L860" s="2">
        <v>5</v>
      </c>
      <c r="M860" s="2">
        <v>3</v>
      </c>
      <c r="N860" t="s">
        <v>52</v>
      </c>
      <c r="O860" s="2">
        <v>18606</v>
      </c>
      <c r="P860" s="2">
        <v>18640</v>
      </c>
      <c r="Q860" s="2">
        <v>3</v>
      </c>
      <c r="R860" t="s">
        <v>43</v>
      </c>
      <c r="S860" s="2">
        <v>3</v>
      </c>
      <c r="T860" s="2">
        <v>2</v>
      </c>
      <c r="U860">
        <v>80</v>
      </c>
      <c r="V860" s="2">
        <v>26</v>
      </c>
      <c r="W860">
        <v>6</v>
      </c>
      <c r="X860">
        <v>3</v>
      </c>
      <c r="Y860">
        <v>7</v>
      </c>
      <c r="Z860">
        <v>7</v>
      </c>
      <c r="AA860">
        <v>4</v>
      </c>
      <c r="AB860">
        <v>7</v>
      </c>
    </row>
    <row r="861" spans="1:28" x14ac:dyDescent="0.35">
      <c r="A861" s="2">
        <v>29</v>
      </c>
      <c r="B861" s="2" t="str" cm="1">
        <f t="array" ref="B861">_xlfn.IFS(HR_table[[#This Row],[Age]]&lt;=20, "Under 20yrs",HR_table[[#This Row],[Age]]&lt;=30,"(21-30)yrs",HR_table[[#This Row],[Age]]&lt;=40,"(31-40)yrs",HR_table[[#This Row],[Age]]&lt;=50,"(41-50)yrs",HR_table[[#This Row],[Age]]&lt;=60,"(51-60)yrs")</f>
        <v>(21-30)yrs</v>
      </c>
      <c r="C861" t="s">
        <v>43</v>
      </c>
      <c r="D861" t="s">
        <v>36</v>
      </c>
      <c r="E861" t="s">
        <v>45</v>
      </c>
      <c r="F861" t="s">
        <v>38</v>
      </c>
      <c r="G861" t="s">
        <v>47</v>
      </c>
      <c r="H861">
        <v>1202</v>
      </c>
      <c r="I861" s="2">
        <v>15</v>
      </c>
      <c r="J861" s="2">
        <v>2</v>
      </c>
      <c r="K861" t="s">
        <v>39</v>
      </c>
      <c r="L861" s="2">
        <v>1</v>
      </c>
      <c r="M861" s="2">
        <v>4</v>
      </c>
      <c r="N861" t="s">
        <v>48</v>
      </c>
      <c r="O861" s="2">
        <v>2168</v>
      </c>
      <c r="P861" s="2">
        <v>26933</v>
      </c>
      <c r="Q861" s="2">
        <v>0</v>
      </c>
      <c r="R861" t="s">
        <v>35</v>
      </c>
      <c r="S861" s="2">
        <v>3</v>
      </c>
      <c r="T861" s="2">
        <v>1</v>
      </c>
      <c r="U861">
        <v>80</v>
      </c>
      <c r="V861" s="2">
        <v>6</v>
      </c>
      <c r="W861">
        <v>2</v>
      </c>
      <c r="X861">
        <v>2</v>
      </c>
      <c r="Y861">
        <v>5</v>
      </c>
      <c r="Z861">
        <v>4</v>
      </c>
      <c r="AA861">
        <v>1</v>
      </c>
      <c r="AB861">
        <v>3</v>
      </c>
    </row>
    <row r="862" spans="1:28" x14ac:dyDescent="0.35">
      <c r="A862" s="2">
        <v>22</v>
      </c>
      <c r="B862" s="2" t="str" cm="1">
        <f t="array" ref="B862">_xlfn.IFS(HR_table[[#This Row],[Age]]&lt;=20, "Under 20yrs",HR_table[[#This Row],[Age]]&lt;=30,"(21-30)yrs",HR_table[[#This Row],[Age]]&lt;=40,"(31-40)yrs",HR_table[[#This Row],[Age]]&lt;=50,"(41-50)yrs",HR_table[[#This Row],[Age]]&lt;=60,"(51-60)yrs")</f>
        <v>(21-30)yrs</v>
      </c>
      <c r="C862" t="s">
        <v>35</v>
      </c>
      <c r="D862" t="s">
        <v>44</v>
      </c>
      <c r="E862" t="s">
        <v>45</v>
      </c>
      <c r="F862" t="s">
        <v>38</v>
      </c>
      <c r="G862" t="s">
        <v>47</v>
      </c>
      <c r="H862">
        <v>1203</v>
      </c>
      <c r="I862" s="2">
        <v>3</v>
      </c>
      <c r="J862" s="2">
        <v>3</v>
      </c>
      <c r="K862" t="s">
        <v>46</v>
      </c>
      <c r="L862" s="2">
        <v>1</v>
      </c>
      <c r="M862" s="2">
        <v>4</v>
      </c>
      <c r="N862" t="s">
        <v>48</v>
      </c>
      <c r="O862" s="2">
        <v>2853</v>
      </c>
      <c r="P862" s="2">
        <v>4223</v>
      </c>
      <c r="Q862" s="2">
        <v>0</v>
      </c>
      <c r="R862" t="s">
        <v>35</v>
      </c>
      <c r="S862" s="2">
        <v>3</v>
      </c>
      <c r="T862" s="2">
        <v>2</v>
      </c>
      <c r="U862">
        <v>80</v>
      </c>
      <c r="V862" s="2">
        <v>1</v>
      </c>
      <c r="W862">
        <v>5</v>
      </c>
      <c r="X862">
        <v>3</v>
      </c>
      <c r="Y862">
        <v>0</v>
      </c>
      <c r="Z862">
        <v>0</v>
      </c>
      <c r="AA862">
        <v>0</v>
      </c>
      <c r="AB862">
        <v>0</v>
      </c>
    </row>
    <row r="863" spans="1:28" x14ac:dyDescent="0.35">
      <c r="A863" s="2">
        <v>46</v>
      </c>
      <c r="B863" s="2" t="str" cm="1">
        <f t="array" ref="B863">_xlfn.IFS(HR_table[[#This Row],[Age]]&lt;=20, "Under 20yrs",HR_table[[#This Row],[Age]]&lt;=30,"(21-30)yrs",HR_table[[#This Row],[Age]]&lt;=40,"(31-40)yrs",HR_table[[#This Row],[Age]]&lt;=50,"(41-50)yrs",HR_table[[#This Row],[Age]]&lt;=60,"(51-60)yrs")</f>
        <v>(41-50)yrs</v>
      </c>
      <c r="C863" t="s">
        <v>43</v>
      </c>
      <c r="D863" t="s">
        <v>36</v>
      </c>
      <c r="E863" t="s">
        <v>37</v>
      </c>
      <c r="F863" t="s">
        <v>59</v>
      </c>
      <c r="G863" t="s">
        <v>56</v>
      </c>
      <c r="H863">
        <v>1204</v>
      </c>
      <c r="I863" s="2">
        <v>2</v>
      </c>
      <c r="J863" s="2">
        <v>3</v>
      </c>
      <c r="K863" t="s">
        <v>39</v>
      </c>
      <c r="L863" s="2">
        <v>4</v>
      </c>
      <c r="M863" s="2">
        <v>1</v>
      </c>
      <c r="N863" t="s">
        <v>48</v>
      </c>
      <c r="O863" s="2">
        <v>17048</v>
      </c>
      <c r="P863" s="2">
        <v>24097</v>
      </c>
      <c r="Q863" s="2">
        <v>8</v>
      </c>
      <c r="R863" t="s">
        <v>43</v>
      </c>
      <c r="S863" s="2">
        <v>4</v>
      </c>
      <c r="T863" s="2">
        <v>1</v>
      </c>
      <c r="U863">
        <v>80</v>
      </c>
      <c r="V863" s="2">
        <v>28</v>
      </c>
      <c r="W863">
        <v>2</v>
      </c>
      <c r="X863">
        <v>3</v>
      </c>
      <c r="Y863">
        <v>26</v>
      </c>
      <c r="Z863">
        <v>15</v>
      </c>
      <c r="AA863">
        <v>15</v>
      </c>
      <c r="AB863">
        <v>9</v>
      </c>
    </row>
    <row r="864" spans="1:28" x14ac:dyDescent="0.35">
      <c r="A864" s="2">
        <v>44</v>
      </c>
      <c r="B864" s="2" t="str" cm="1">
        <f t="array" ref="B864">_xlfn.IFS(HR_table[[#This Row],[Age]]&lt;=20, "Under 20yrs",HR_table[[#This Row],[Age]]&lt;=30,"(21-30)yrs",HR_table[[#This Row],[Age]]&lt;=40,"(31-40)yrs",HR_table[[#This Row],[Age]]&lt;=50,"(41-50)yrs",HR_table[[#This Row],[Age]]&lt;=60,"(51-60)yrs")</f>
        <v>(41-50)yrs</v>
      </c>
      <c r="C864" t="s">
        <v>43</v>
      </c>
      <c r="D864" t="s">
        <v>55</v>
      </c>
      <c r="E864" t="s">
        <v>45</v>
      </c>
      <c r="F864" t="s">
        <v>38</v>
      </c>
      <c r="G864" t="s">
        <v>47</v>
      </c>
      <c r="H864">
        <v>1206</v>
      </c>
      <c r="I864" s="2">
        <v>17</v>
      </c>
      <c r="J864" s="2">
        <v>4</v>
      </c>
      <c r="K864" t="s">
        <v>46</v>
      </c>
      <c r="L864" s="2">
        <v>1</v>
      </c>
      <c r="M864" s="2">
        <v>3</v>
      </c>
      <c r="N864" t="s">
        <v>41</v>
      </c>
      <c r="O864" s="2">
        <v>2290</v>
      </c>
      <c r="P864" s="2">
        <v>4279</v>
      </c>
      <c r="Q864" s="2">
        <v>2</v>
      </c>
      <c r="R864" t="s">
        <v>43</v>
      </c>
      <c r="S864" s="2">
        <v>3</v>
      </c>
      <c r="T864" s="2">
        <v>4</v>
      </c>
      <c r="U864">
        <v>80</v>
      </c>
      <c r="V864" s="2">
        <v>6</v>
      </c>
      <c r="W864">
        <v>3</v>
      </c>
      <c r="X864">
        <v>3</v>
      </c>
      <c r="Y864">
        <v>0</v>
      </c>
      <c r="Z864">
        <v>0</v>
      </c>
      <c r="AA864">
        <v>0</v>
      </c>
      <c r="AB864">
        <v>0</v>
      </c>
    </row>
    <row r="865" spans="1:28" x14ac:dyDescent="0.35">
      <c r="A865" s="2">
        <v>33</v>
      </c>
      <c r="B865" s="2" t="str" cm="1">
        <f t="array" ref="B865">_xlfn.IFS(HR_table[[#This Row],[Age]]&lt;=20, "Under 20yrs",HR_table[[#This Row],[Age]]&lt;=30,"(21-30)yrs",HR_table[[#This Row],[Age]]&lt;=40,"(31-40)yrs",HR_table[[#This Row],[Age]]&lt;=50,"(41-50)yrs",HR_table[[#This Row],[Age]]&lt;=60,"(51-60)yrs")</f>
        <v>(31-40)yrs</v>
      </c>
      <c r="C865" t="s">
        <v>43</v>
      </c>
      <c r="D865" t="s">
        <v>36</v>
      </c>
      <c r="E865" t="s">
        <v>61</v>
      </c>
      <c r="F865" t="s">
        <v>61</v>
      </c>
      <c r="G865" t="s">
        <v>61</v>
      </c>
      <c r="H865">
        <v>1207</v>
      </c>
      <c r="I865" s="2">
        <v>2</v>
      </c>
      <c r="J865" s="2">
        <v>2</v>
      </c>
      <c r="K865" t="s">
        <v>46</v>
      </c>
      <c r="L865" s="2">
        <v>1</v>
      </c>
      <c r="M865" s="2">
        <v>3</v>
      </c>
      <c r="N865" t="s">
        <v>48</v>
      </c>
      <c r="O865" s="2">
        <v>3600</v>
      </c>
      <c r="P865" s="2">
        <v>8429</v>
      </c>
      <c r="Q865" s="2">
        <v>1</v>
      </c>
      <c r="R865" t="s">
        <v>43</v>
      </c>
      <c r="S865" s="2">
        <v>3</v>
      </c>
      <c r="T865" s="2">
        <v>4</v>
      </c>
      <c r="U865">
        <v>80</v>
      </c>
      <c r="V865" s="2">
        <v>5</v>
      </c>
      <c r="W865">
        <v>2</v>
      </c>
      <c r="X865">
        <v>3</v>
      </c>
      <c r="Y865">
        <v>5</v>
      </c>
      <c r="Z865">
        <v>4</v>
      </c>
      <c r="AA865">
        <v>1</v>
      </c>
      <c r="AB865">
        <v>4</v>
      </c>
    </row>
    <row r="866" spans="1:28" x14ac:dyDescent="0.35">
      <c r="A866" s="2">
        <v>41</v>
      </c>
      <c r="B866" s="2" t="str" cm="1">
        <f t="array" ref="B866">_xlfn.IFS(HR_table[[#This Row],[Age]]&lt;=20, "Under 20yrs",HR_table[[#This Row],[Age]]&lt;=30,"(21-30)yrs",HR_table[[#This Row],[Age]]&lt;=40,"(31-40)yrs",HR_table[[#This Row],[Age]]&lt;=50,"(41-50)yrs",HR_table[[#This Row],[Age]]&lt;=60,"(51-60)yrs")</f>
        <v>(41-50)yrs</v>
      </c>
      <c r="C866" t="s">
        <v>35</v>
      </c>
      <c r="D866" t="s">
        <v>55</v>
      </c>
      <c r="E866" t="s">
        <v>45</v>
      </c>
      <c r="F866" t="s">
        <v>38</v>
      </c>
      <c r="G866" t="s">
        <v>47</v>
      </c>
      <c r="H866">
        <v>1210</v>
      </c>
      <c r="I866" s="2">
        <v>5</v>
      </c>
      <c r="J866" s="2">
        <v>1</v>
      </c>
      <c r="K866" t="s">
        <v>46</v>
      </c>
      <c r="L866" s="2">
        <v>1</v>
      </c>
      <c r="M866" s="2">
        <v>1</v>
      </c>
      <c r="N866" t="s">
        <v>52</v>
      </c>
      <c r="O866" s="2">
        <v>2107</v>
      </c>
      <c r="P866" s="2">
        <v>20293</v>
      </c>
      <c r="Q866" s="2">
        <v>6</v>
      </c>
      <c r="R866" t="s">
        <v>43</v>
      </c>
      <c r="S866" s="2">
        <v>3</v>
      </c>
      <c r="T866" s="2">
        <v>1</v>
      </c>
      <c r="U866">
        <v>80</v>
      </c>
      <c r="V866" s="2">
        <v>5</v>
      </c>
      <c r="W866">
        <v>2</v>
      </c>
      <c r="X866">
        <v>1</v>
      </c>
      <c r="Y866">
        <v>1</v>
      </c>
      <c r="Z866">
        <v>0</v>
      </c>
      <c r="AA866">
        <v>0</v>
      </c>
      <c r="AB866">
        <v>0</v>
      </c>
    </row>
    <row r="867" spans="1:28" x14ac:dyDescent="0.35">
      <c r="A867" s="2">
        <v>30</v>
      </c>
      <c r="B867" s="2" t="str" cm="1">
        <f t="array" ref="B867">_xlfn.IFS(HR_table[[#This Row],[Age]]&lt;=20, "Under 20yrs",HR_table[[#This Row],[Age]]&lt;=30,"(21-30)yrs",HR_table[[#This Row],[Age]]&lt;=40,"(31-40)yrs",HR_table[[#This Row],[Age]]&lt;=50,"(41-50)yrs",HR_table[[#This Row],[Age]]&lt;=60,"(51-60)yrs")</f>
        <v>(21-30)yrs</v>
      </c>
      <c r="C867" t="s">
        <v>43</v>
      </c>
      <c r="D867" t="s">
        <v>36</v>
      </c>
      <c r="E867" t="s">
        <v>37</v>
      </c>
      <c r="F867" t="s">
        <v>38</v>
      </c>
      <c r="G867" t="s">
        <v>40</v>
      </c>
      <c r="H867">
        <v>1211</v>
      </c>
      <c r="I867" s="2">
        <v>29</v>
      </c>
      <c r="J867" s="2">
        <v>3</v>
      </c>
      <c r="K867" t="s">
        <v>46</v>
      </c>
      <c r="L867" s="2">
        <v>2</v>
      </c>
      <c r="M867" s="2">
        <v>1</v>
      </c>
      <c r="N867" t="s">
        <v>52</v>
      </c>
      <c r="O867" s="2">
        <v>4115</v>
      </c>
      <c r="P867" s="2">
        <v>13192</v>
      </c>
      <c r="Q867" s="2">
        <v>8</v>
      </c>
      <c r="R867" t="s">
        <v>43</v>
      </c>
      <c r="S867" s="2">
        <v>3</v>
      </c>
      <c r="T867" s="2">
        <v>3</v>
      </c>
      <c r="U867">
        <v>80</v>
      </c>
      <c r="V867" s="2">
        <v>8</v>
      </c>
      <c r="W867">
        <v>3</v>
      </c>
      <c r="X867">
        <v>3</v>
      </c>
      <c r="Y867">
        <v>4</v>
      </c>
      <c r="Z867">
        <v>3</v>
      </c>
      <c r="AA867">
        <v>0</v>
      </c>
      <c r="AB867">
        <v>3</v>
      </c>
    </row>
    <row r="868" spans="1:28" x14ac:dyDescent="0.35">
      <c r="A868" s="2">
        <v>40</v>
      </c>
      <c r="B868" s="2" t="str" cm="1">
        <f t="array" ref="B868">_xlfn.IFS(HR_table[[#This Row],[Age]]&lt;=20, "Under 20yrs",HR_table[[#This Row],[Age]]&lt;=30,"(21-30)yrs",HR_table[[#This Row],[Age]]&lt;=40,"(31-40)yrs",HR_table[[#This Row],[Age]]&lt;=50,"(41-50)yrs",HR_table[[#This Row],[Age]]&lt;=60,"(51-60)yrs")</f>
        <v>(31-40)yrs</v>
      </c>
      <c r="C868" t="s">
        <v>43</v>
      </c>
      <c r="D868" t="s">
        <v>44</v>
      </c>
      <c r="E868" t="s">
        <v>37</v>
      </c>
      <c r="F868" t="s">
        <v>51</v>
      </c>
      <c r="G868" t="s">
        <v>40</v>
      </c>
      <c r="H868">
        <v>1212</v>
      </c>
      <c r="I868" s="2">
        <v>2</v>
      </c>
      <c r="J868" s="2">
        <v>2</v>
      </c>
      <c r="K868" t="s">
        <v>46</v>
      </c>
      <c r="L868" s="2">
        <v>2</v>
      </c>
      <c r="M868" s="2">
        <v>2</v>
      </c>
      <c r="N868" t="s">
        <v>48</v>
      </c>
      <c r="O868" s="2">
        <v>4327</v>
      </c>
      <c r="P868" s="2">
        <v>25440</v>
      </c>
      <c r="Q868" s="2">
        <v>5</v>
      </c>
      <c r="R868" t="s">
        <v>43</v>
      </c>
      <c r="S868" s="2">
        <v>3</v>
      </c>
      <c r="T868" s="2">
        <v>4</v>
      </c>
      <c r="U868">
        <v>80</v>
      </c>
      <c r="V868" s="2">
        <v>5</v>
      </c>
      <c r="W868">
        <v>2</v>
      </c>
      <c r="X868">
        <v>3</v>
      </c>
      <c r="Y868">
        <v>0</v>
      </c>
      <c r="Z868">
        <v>0</v>
      </c>
      <c r="AA868">
        <v>0</v>
      </c>
      <c r="AB868">
        <v>0</v>
      </c>
    </row>
    <row r="869" spans="1:28" x14ac:dyDescent="0.35">
      <c r="A869" s="2">
        <v>50</v>
      </c>
      <c r="B869" s="2" t="str" cm="1">
        <f t="array" ref="B869">_xlfn.IFS(HR_table[[#This Row],[Age]]&lt;=20, "Under 20yrs",HR_table[[#This Row],[Age]]&lt;=30,"(21-30)yrs",HR_table[[#This Row],[Age]]&lt;=40,"(31-40)yrs",HR_table[[#This Row],[Age]]&lt;=50,"(41-50)yrs",HR_table[[#This Row],[Age]]&lt;=60,"(51-60)yrs")</f>
        <v>(41-50)yrs</v>
      </c>
      <c r="C869" t="s">
        <v>43</v>
      </c>
      <c r="D869" t="s">
        <v>44</v>
      </c>
      <c r="E869" t="s">
        <v>45</v>
      </c>
      <c r="F869" t="s">
        <v>51</v>
      </c>
      <c r="G869" t="s">
        <v>56</v>
      </c>
      <c r="H869">
        <v>1215</v>
      </c>
      <c r="I869" s="2">
        <v>2</v>
      </c>
      <c r="J869" s="2">
        <v>4</v>
      </c>
      <c r="K869" t="s">
        <v>39</v>
      </c>
      <c r="L869" s="2">
        <v>4</v>
      </c>
      <c r="M869" s="2">
        <v>1</v>
      </c>
      <c r="N869" t="s">
        <v>48</v>
      </c>
      <c r="O869" s="2">
        <v>17856</v>
      </c>
      <c r="P869" s="2">
        <v>9490</v>
      </c>
      <c r="Q869" s="2">
        <v>2</v>
      </c>
      <c r="R869" t="s">
        <v>43</v>
      </c>
      <c r="S869" s="2">
        <v>4</v>
      </c>
      <c r="T869" s="2">
        <v>3</v>
      </c>
      <c r="U869">
        <v>80</v>
      </c>
      <c r="V869" s="2">
        <v>32</v>
      </c>
      <c r="W869">
        <v>3</v>
      </c>
      <c r="X869">
        <v>3</v>
      </c>
      <c r="Y869">
        <v>2</v>
      </c>
      <c r="Z869">
        <v>2</v>
      </c>
      <c r="AA869">
        <v>2</v>
      </c>
      <c r="AB869">
        <v>2</v>
      </c>
    </row>
    <row r="870" spans="1:28" x14ac:dyDescent="0.35">
      <c r="A870" s="2">
        <v>28</v>
      </c>
      <c r="B870" s="2" t="str" cm="1">
        <f t="array" ref="B870">_xlfn.IFS(HR_table[[#This Row],[Age]]&lt;=20, "Under 20yrs",HR_table[[#This Row],[Age]]&lt;=30,"(21-30)yrs",HR_table[[#This Row],[Age]]&lt;=40,"(31-40)yrs",HR_table[[#This Row],[Age]]&lt;=50,"(41-50)yrs",HR_table[[#This Row],[Age]]&lt;=60,"(51-60)yrs")</f>
        <v>(21-30)yrs</v>
      </c>
      <c r="C870" t="s">
        <v>43</v>
      </c>
      <c r="D870" t="s">
        <v>36</v>
      </c>
      <c r="E870" t="s">
        <v>45</v>
      </c>
      <c r="F870" t="s">
        <v>51</v>
      </c>
      <c r="G870" t="s">
        <v>50</v>
      </c>
      <c r="H870">
        <v>1216</v>
      </c>
      <c r="I870" s="2">
        <v>19</v>
      </c>
      <c r="J870" s="2">
        <v>4</v>
      </c>
      <c r="K870" t="s">
        <v>46</v>
      </c>
      <c r="L870" s="2">
        <v>1</v>
      </c>
      <c r="M870" s="2">
        <v>1</v>
      </c>
      <c r="N870" t="s">
        <v>48</v>
      </c>
      <c r="O870" s="2">
        <v>3196</v>
      </c>
      <c r="P870" s="2">
        <v>12449</v>
      </c>
      <c r="Q870" s="2">
        <v>1</v>
      </c>
      <c r="R870" t="s">
        <v>43</v>
      </c>
      <c r="S870" s="2">
        <v>3</v>
      </c>
      <c r="T870" s="2">
        <v>3</v>
      </c>
      <c r="U870">
        <v>80</v>
      </c>
      <c r="V870" s="2">
        <v>6</v>
      </c>
      <c r="W870">
        <v>2</v>
      </c>
      <c r="X870">
        <v>3</v>
      </c>
      <c r="Y870">
        <v>6</v>
      </c>
      <c r="Z870">
        <v>5</v>
      </c>
      <c r="AA870">
        <v>3</v>
      </c>
      <c r="AB870">
        <v>3</v>
      </c>
    </row>
    <row r="871" spans="1:28" x14ac:dyDescent="0.35">
      <c r="A871" s="2">
        <v>46</v>
      </c>
      <c r="B871" s="2" t="str" cm="1">
        <f t="array" ref="B871">_xlfn.IFS(HR_table[[#This Row],[Age]]&lt;=20, "Under 20yrs",HR_table[[#This Row],[Age]]&lt;=30,"(21-30)yrs",HR_table[[#This Row],[Age]]&lt;=40,"(31-40)yrs",HR_table[[#This Row],[Age]]&lt;=50,"(41-50)yrs",HR_table[[#This Row],[Age]]&lt;=60,"(51-60)yrs")</f>
        <v>(41-50)yrs</v>
      </c>
      <c r="C871" t="s">
        <v>43</v>
      </c>
      <c r="D871" t="s">
        <v>36</v>
      </c>
      <c r="E871" t="s">
        <v>45</v>
      </c>
      <c r="F871" t="s">
        <v>38</v>
      </c>
      <c r="G871" t="s">
        <v>58</v>
      </c>
      <c r="H871">
        <v>1217</v>
      </c>
      <c r="I871" s="2">
        <v>15</v>
      </c>
      <c r="J871" s="2">
        <v>4</v>
      </c>
      <c r="K871" t="s">
        <v>46</v>
      </c>
      <c r="L871" s="2">
        <v>5</v>
      </c>
      <c r="M871" s="2">
        <v>2</v>
      </c>
      <c r="N871" t="s">
        <v>48</v>
      </c>
      <c r="O871" s="2">
        <v>19081</v>
      </c>
      <c r="P871" s="2">
        <v>10849</v>
      </c>
      <c r="Q871" s="2">
        <v>5</v>
      </c>
      <c r="R871" t="s">
        <v>43</v>
      </c>
      <c r="S871" s="2">
        <v>3</v>
      </c>
      <c r="T871" s="2">
        <v>1</v>
      </c>
      <c r="U871">
        <v>80</v>
      </c>
      <c r="V871" s="2">
        <v>25</v>
      </c>
      <c r="W871">
        <v>2</v>
      </c>
      <c r="X871">
        <v>3</v>
      </c>
      <c r="Y871">
        <v>4</v>
      </c>
      <c r="Z871">
        <v>2</v>
      </c>
      <c r="AA871">
        <v>0</v>
      </c>
      <c r="AB871">
        <v>3</v>
      </c>
    </row>
    <row r="872" spans="1:28" x14ac:dyDescent="0.35">
      <c r="A872" s="2">
        <v>35</v>
      </c>
      <c r="B872" s="2" t="str" cm="1">
        <f t="array" ref="B872">_xlfn.IFS(HR_table[[#This Row],[Age]]&lt;=20, "Under 20yrs",HR_table[[#This Row],[Age]]&lt;=30,"(21-30)yrs",HR_table[[#This Row],[Age]]&lt;=40,"(31-40)yrs",HR_table[[#This Row],[Age]]&lt;=50,"(41-50)yrs",HR_table[[#This Row],[Age]]&lt;=60,"(51-60)yrs")</f>
        <v>(31-40)yrs</v>
      </c>
      <c r="C872" t="s">
        <v>43</v>
      </c>
      <c r="D872" t="s">
        <v>36</v>
      </c>
      <c r="E872" t="s">
        <v>37</v>
      </c>
      <c r="F872" t="s">
        <v>38</v>
      </c>
      <c r="G872" t="s">
        <v>40</v>
      </c>
      <c r="H872">
        <v>1218</v>
      </c>
      <c r="I872" s="2">
        <v>17</v>
      </c>
      <c r="J872" s="2">
        <v>3</v>
      </c>
      <c r="K872" t="s">
        <v>46</v>
      </c>
      <c r="L872" s="2">
        <v>2</v>
      </c>
      <c r="M872" s="2">
        <v>1</v>
      </c>
      <c r="N872" t="s">
        <v>48</v>
      </c>
      <c r="O872" s="2">
        <v>8966</v>
      </c>
      <c r="P872" s="2">
        <v>21026</v>
      </c>
      <c r="Q872" s="2">
        <v>3</v>
      </c>
      <c r="R872" t="s">
        <v>35</v>
      </c>
      <c r="S872" s="2">
        <v>3</v>
      </c>
      <c r="T872" s="2">
        <v>4</v>
      </c>
      <c r="U872">
        <v>80</v>
      </c>
      <c r="V872" s="2">
        <v>15</v>
      </c>
      <c r="W872">
        <v>2</v>
      </c>
      <c r="X872">
        <v>3</v>
      </c>
      <c r="Y872">
        <v>7</v>
      </c>
      <c r="Z872">
        <v>7</v>
      </c>
      <c r="AA872">
        <v>1</v>
      </c>
      <c r="AB872">
        <v>7</v>
      </c>
    </row>
    <row r="873" spans="1:28" x14ac:dyDescent="0.35">
      <c r="A873" s="2">
        <v>24</v>
      </c>
      <c r="B873" s="2" t="str" cm="1">
        <f t="array" ref="B873">_xlfn.IFS(HR_table[[#This Row],[Age]]&lt;=20, "Under 20yrs",HR_table[[#This Row],[Age]]&lt;=30,"(21-30)yrs",HR_table[[#This Row],[Age]]&lt;=40,"(31-40)yrs",HR_table[[#This Row],[Age]]&lt;=50,"(41-50)yrs",HR_table[[#This Row],[Age]]&lt;=60,"(51-60)yrs")</f>
        <v>(21-30)yrs</v>
      </c>
      <c r="C873" t="s">
        <v>35</v>
      </c>
      <c r="D873" t="s">
        <v>36</v>
      </c>
      <c r="E873" t="s">
        <v>45</v>
      </c>
      <c r="F873" t="s">
        <v>38</v>
      </c>
      <c r="G873" t="s">
        <v>50</v>
      </c>
      <c r="H873">
        <v>1219</v>
      </c>
      <c r="I873" s="2">
        <v>17</v>
      </c>
      <c r="J873" s="2">
        <v>4</v>
      </c>
      <c r="K873" t="s">
        <v>39</v>
      </c>
      <c r="L873" s="2">
        <v>1</v>
      </c>
      <c r="M873" s="2">
        <v>2</v>
      </c>
      <c r="N873" t="s">
        <v>48</v>
      </c>
      <c r="O873" s="2">
        <v>2210</v>
      </c>
      <c r="P873" s="2">
        <v>3372</v>
      </c>
      <c r="Q873" s="2">
        <v>1</v>
      </c>
      <c r="R873" t="s">
        <v>43</v>
      </c>
      <c r="S873" s="2">
        <v>3</v>
      </c>
      <c r="T873" s="2">
        <v>1</v>
      </c>
      <c r="U873">
        <v>80</v>
      </c>
      <c r="V873" s="2">
        <v>1</v>
      </c>
      <c r="W873">
        <v>3</v>
      </c>
      <c r="X873">
        <v>1</v>
      </c>
      <c r="Y873">
        <v>1</v>
      </c>
      <c r="Z873">
        <v>0</v>
      </c>
      <c r="AA873">
        <v>0</v>
      </c>
      <c r="AB873">
        <v>0</v>
      </c>
    </row>
    <row r="874" spans="1:28" x14ac:dyDescent="0.35">
      <c r="A874" s="2">
        <v>33</v>
      </c>
      <c r="B874" s="2" t="str" cm="1">
        <f t="array" ref="B874">_xlfn.IFS(HR_table[[#This Row],[Age]]&lt;=20, "Under 20yrs",HR_table[[#This Row],[Age]]&lt;=30,"(21-30)yrs",HR_table[[#This Row],[Age]]&lt;=40,"(31-40)yrs",HR_table[[#This Row],[Age]]&lt;=50,"(41-50)yrs",HR_table[[#This Row],[Age]]&lt;=60,"(51-60)yrs")</f>
        <v>(31-40)yrs</v>
      </c>
      <c r="C874" t="s">
        <v>43</v>
      </c>
      <c r="D874" t="s">
        <v>44</v>
      </c>
      <c r="E874" t="s">
        <v>37</v>
      </c>
      <c r="F874" t="s">
        <v>51</v>
      </c>
      <c r="G874" t="s">
        <v>40</v>
      </c>
      <c r="H874">
        <v>1220</v>
      </c>
      <c r="I874" s="2">
        <v>25</v>
      </c>
      <c r="J874" s="2">
        <v>2</v>
      </c>
      <c r="K874" t="s">
        <v>39</v>
      </c>
      <c r="L874" s="2">
        <v>2</v>
      </c>
      <c r="M874" s="2">
        <v>3</v>
      </c>
      <c r="N874" t="s">
        <v>48</v>
      </c>
      <c r="O874" s="2">
        <v>4539</v>
      </c>
      <c r="P874" s="2">
        <v>4905</v>
      </c>
      <c r="Q874" s="2">
        <v>1</v>
      </c>
      <c r="R874" t="s">
        <v>43</v>
      </c>
      <c r="S874" s="2">
        <v>3</v>
      </c>
      <c r="T874" s="2">
        <v>1</v>
      </c>
      <c r="U874">
        <v>80</v>
      </c>
      <c r="V874" s="2">
        <v>10</v>
      </c>
      <c r="W874">
        <v>3</v>
      </c>
      <c r="X874">
        <v>2</v>
      </c>
      <c r="Y874">
        <v>10</v>
      </c>
      <c r="Z874">
        <v>7</v>
      </c>
      <c r="AA874">
        <v>0</v>
      </c>
      <c r="AB874">
        <v>1</v>
      </c>
    </row>
    <row r="875" spans="1:28" x14ac:dyDescent="0.35">
      <c r="A875" s="2">
        <v>36</v>
      </c>
      <c r="B875" s="2" t="str" cm="1">
        <f t="array" ref="B875">_xlfn.IFS(HR_table[[#This Row],[Age]]&lt;=20, "Under 20yrs",HR_table[[#This Row],[Age]]&lt;=30,"(21-30)yrs",HR_table[[#This Row],[Age]]&lt;=40,"(31-40)yrs",HR_table[[#This Row],[Age]]&lt;=50,"(41-50)yrs",HR_table[[#This Row],[Age]]&lt;=60,"(51-60)yrs")</f>
        <v>(31-40)yrs</v>
      </c>
      <c r="C875" t="s">
        <v>43</v>
      </c>
      <c r="D875" t="s">
        <v>36</v>
      </c>
      <c r="E875" t="s">
        <v>45</v>
      </c>
      <c r="F875" t="s">
        <v>38</v>
      </c>
      <c r="G875" t="s">
        <v>50</v>
      </c>
      <c r="H875">
        <v>1221</v>
      </c>
      <c r="I875" s="2">
        <v>6</v>
      </c>
      <c r="J875" s="2">
        <v>3</v>
      </c>
      <c r="K875" t="s">
        <v>46</v>
      </c>
      <c r="L875" s="2">
        <v>1</v>
      </c>
      <c r="M875" s="2">
        <v>3</v>
      </c>
      <c r="N875" t="s">
        <v>52</v>
      </c>
      <c r="O875" s="2">
        <v>2741</v>
      </c>
      <c r="P875" s="2">
        <v>6865</v>
      </c>
      <c r="Q875" s="2">
        <v>1</v>
      </c>
      <c r="R875" t="s">
        <v>43</v>
      </c>
      <c r="S875" s="2">
        <v>3</v>
      </c>
      <c r="T875" s="2">
        <v>3</v>
      </c>
      <c r="U875">
        <v>80</v>
      </c>
      <c r="V875" s="2">
        <v>7</v>
      </c>
      <c r="W875">
        <v>4</v>
      </c>
      <c r="X875">
        <v>3</v>
      </c>
      <c r="Y875">
        <v>7</v>
      </c>
      <c r="Z875">
        <v>7</v>
      </c>
      <c r="AA875">
        <v>1</v>
      </c>
      <c r="AB875">
        <v>7</v>
      </c>
    </row>
    <row r="876" spans="1:28" x14ac:dyDescent="0.35">
      <c r="A876" s="2">
        <v>30</v>
      </c>
      <c r="B876" s="2" t="str" cm="1">
        <f t="array" ref="B876">_xlfn.IFS(HR_table[[#This Row],[Age]]&lt;=20, "Under 20yrs",HR_table[[#This Row],[Age]]&lt;=30,"(21-30)yrs",HR_table[[#This Row],[Age]]&lt;=40,"(31-40)yrs",HR_table[[#This Row],[Age]]&lt;=50,"(41-50)yrs",HR_table[[#This Row],[Age]]&lt;=60,"(51-60)yrs")</f>
        <v>(21-30)yrs</v>
      </c>
      <c r="C876" t="s">
        <v>43</v>
      </c>
      <c r="D876" t="s">
        <v>36</v>
      </c>
      <c r="E876" t="s">
        <v>45</v>
      </c>
      <c r="F876" t="s">
        <v>38</v>
      </c>
      <c r="G876" t="s">
        <v>50</v>
      </c>
      <c r="H876">
        <v>1224</v>
      </c>
      <c r="I876" s="2">
        <v>7</v>
      </c>
      <c r="J876" s="2">
        <v>3</v>
      </c>
      <c r="K876" t="s">
        <v>46</v>
      </c>
      <c r="L876" s="2">
        <v>2</v>
      </c>
      <c r="M876" s="2">
        <v>3</v>
      </c>
      <c r="N876" t="s">
        <v>52</v>
      </c>
      <c r="O876" s="2">
        <v>3491</v>
      </c>
      <c r="P876" s="2">
        <v>11309</v>
      </c>
      <c r="Q876" s="2">
        <v>1</v>
      </c>
      <c r="R876" t="s">
        <v>43</v>
      </c>
      <c r="S876" s="2">
        <v>3</v>
      </c>
      <c r="T876" s="2">
        <v>1</v>
      </c>
      <c r="U876">
        <v>80</v>
      </c>
      <c r="V876" s="2">
        <v>10</v>
      </c>
      <c r="W876">
        <v>4</v>
      </c>
      <c r="X876">
        <v>2</v>
      </c>
      <c r="Y876">
        <v>10</v>
      </c>
      <c r="Z876">
        <v>7</v>
      </c>
      <c r="AA876">
        <v>8</v>
      </c>
      <c r="AB876">
        <v>9</v>
      </c>
    </row>
    <row r="877" spans="1:28" x14ac:dyDescent="0.35">
      <c r="A877" s="2">
        <v>44</v>
      </c>
      <c r="B877" s="2" t="str" cm="1">
        <f t="array" ref="B877">_xlfn.IFS(HR_table[[#This Row],[Age]]&lt;=20, "Under 20yrs",HR_table[[#This Row],[Age]]&lt;=30,"(21-30)yrs",HR_table[[#This Row],[Age]]&lt;=40,"(31-40)yrs",HR_table[[#This Row],[Age]]&lt;=50,"(41-50)yrs",HR_table[[#This Row],[Age]]&lt;=60,"(51-60)yrs")</f>
        <v>(41-50)yrs</v>
      </c>
      <c r="C877" t="s">
        <v>43</v>
      </c>
      <c r="D877" t="s">
        <v>36</v>
      </c>
      <c r="E877" t="s">
        <v>45</v>
      </c>
      <c r="F877" t="s">
        <v>49</v>
      </c>
      <c r="G877" t="s">
        <v>47</v>
      </c>
      <c r="H877">
        <v>1225</v>
      </c>
      <c r="I877" s="2">
        <v>29</v>
      </c>
      <c r="J877" s="2">
        <v>4</v>
      </c>
      <c r="K877" t="s">
        <v>46</v>
      </c>
      <c r="L877" s="2">
        <v>2</v>
      </c>
      <c r="M877" s="2">
        <v>4</v>
      </c>
      <c r="N877" t="s">
        <v>41</v>
      </c>
      <c r="O877" s="2">
        <v>4541</v>
      </c>
      <c r="P877" s="2">
        <v>7744</v>
      </c>
      <c r="Q877" s="2">
        <v>1</v>
      </c>
      <c r="R877" t="s">
        <v>43</v>
      </c>
      <c r="S877" s="2">
        <v>4</v>
      </c>
      <c r="T877" s="2">
        <v>2</v>
      </c>
      <c r="U877">
        <v>80</v>
      </c>
      <c r="V877" s="2">
        <v>20</v>
      </c>
      <c r="W877">
        <v>3</v>
      </c>
      <c r="X877">
        <v>3</v>
      </c>
      <c r="Y877">
        <v>20</v>
      </c>
      <c r="Z877">
        <v>11</v>
      </c>
      <c r="AA877">
        <v>13</v>
      </c>
      <c r="AB877">
        <v>17</v>
      </c>
    </row>
    <row r="878" spans="1:28" x14ac:dyDescent="0.35">
      <c r="A878" s="2">
        <v>20</v>
      </c>
      <c r="B878" s="2" t="str" cm="1">
        <f t="array" ref="B878">_xlfn.IFS(HR_table[[#This Row],[Age]]&lt;=20, "Under 20yrs",HR_table[[#This Row],[Age]]&lt;=30,"(21-30)yrs",HR_table[[#This Row],[Age]]&lt;=40,"(31-40)yrs",HR_table[[#This Row],[Age]]&lt;=50,"(41-50)yrs",HR_table[[#This Row],[Age]]&lt;=60,"(51-60)yrs")</f>
        <v>Under 20yrs</v>
      </c>
      <c r="C878" t="s">
        <v>43</v>
      </c>
      <c r="D878" t="s">
        <v>36</v>
      </c>
      <c r="E878" t="s">
        <v>37</v>
      </c>
      <c r="F878" t="s">
        <v>59</v>
      </c>
      <c r="G878" t="s">
        <v>57</v>
      </c>
      <c r="H878">
        <v>1226</v>
      </c>
      <c r="I878" s="2">
        <v>21</v>
      </c>
      <c r="J878" s="2">
        <v>3</v>
      </c>
      <c r="K878" t="s">
        <v>46</v>
      </c>
      <c r="L878" s="2">
        <v>1</v>
      </c>
      <c r="M878" s="2">
        <v>4</v>
      </c>
      <c r="N878" t="s">
        <v>41</v>
      </c>
      <c r="O878" s="2">
        <v>2678</v>
      </c>
      <c r="P878" s="2">
        <v>5050</v>
      </c>
      <c r="Q878" s="2">
        <v>1</v>
      </c>
      <c r="R878" t="s">
        <v>43</v>
      </c>
      <c r="S878" s="2">
        <v>3</v>
      </c>
      <c r="T878" s="2">
        <v>4</v>
      </c>
      <c r="U878">
        <v>80</v>
      </c>
      <c r="V878" s="2">
        <v>2</v>
      </c>
      <c r="W878">
        <v>2</v>
      </c>
      <c r="X878">
        <v>3</v>
      </c>
      <c r="Y878">
        <v>2</v>
      </c>
      <c r="Z878">
        <v>1</v>
      </c>
      <c r="AA878">
        <v>2</v>
      </c>
      <c r="AB878">
        <v>2</v>
      </c>
    </row>
    <row r="879" spans="1:28" x14ac:dyDescent="0.35">
      <c r="A879" s="2">
        <v>46</v>
      </c>
      <c r="B879" s="2" t="str" cm="1">
        <f t="array" ref="B879">_xlfn.IFS(HR_table[[#This Row],[Age]]&lt;=20, "Under 20yrs",HR_table[[#This Row],[Age]]&lt;=30,"(21-30)yrs",HR_table[[#This Row],[Age]]&lt;=40,"(31-40)yrs",HR_table[[#This Row],[Age]]&lt;=50,"(41-50)yrs",HR_table[[#This Row],[Age]]&lt;=60,"(51-60)yrs")</f>
        <v>(41-50)yrs</v>
      </c>
      <c r="C879" t="s">
        <v>43</v>
      </c>
      <c r="D879" t="s">
        <v>36</v>
      </c>
      <c r="E879" t="s">
        <v>45</v>
      </c>
      <c r="F879" t="s">
        <v>60</v>
      </c>
      <c r="G879" t="s">
        <v>53</v>
      </c>
      <c r="H879">
        <v>1228</v>
      </c>
      <c r="I879" s="2">
        <v>2</v>
      </c>
      <c r="J879" s="2">
        <v>4</v>
      </c>
      <c r="K879" t="s">
        <v>46</v>
      </c>
      <c r="L879" s="2">
        <v>2</v>
      </c>
      <c r="M879" s="2">
        <v>4</v>
      </c>
      <c r="N879" t="s">
        <v>52</v>
      </c>
      <c r="O879" s="2">
        <v>7379</v>
      </c>
      <c r="P879" s="2">
        <v>17433</v>
      </c>
      <c r="Q879" s="2">
        <v>2</v>
      </c>
      <c r="R879" t="s">
        <v>43</v>
      </c>
      <c r="S879" s="2">
        <v>3</v>
      </c>
      <c r="T879" s="2">
        <v>3</v>
      </c>
      <c r="U879">
        <v>80</v>
      </c>
      <c r="V879" s="2">
        <v>12</v>
      </c>
      <c r="W879">
        <v>3</v>
      </c>
      <c r="X879">
        <v>2</v>
      </c>
      <c r="Y879">
        <v>6</v>
      </c>
      <c r="Z879">
        <v>3</v>
      </c>
      <c r="AA879">
        <v>1</v>
      </c>
      <c r="AB879">
        <v>4</v>
      </c>
    </row>
    <row r="880" spans="1:28" x14ac:dyDescent="0.35">
      <c r="A880" s="2">
        <v>42</v>
      </c>
      <c r="B880" s="2" t="str" cm="1">
        <f t="array" ref="B880">_xlfn.IFS(HR_table[[#This Row],[Age]]&lt;=20, "Under 20yrs",HR_table[[#This Row],[Age]]&lt;=30,"(21-30)yrs",HR_table[[#This Row],[Age]]&lt;=40,"(31-40)yrs",HR_table[[#This Row],[Age]]&lt;=50,"(41-50)yrs",HR_table[[#This Row],[Age]]&lt;=60,"(51-60)yrs")</f>
        <v>(41-50)yrs</v>
      </c>
      <c r="C880" t="s">
        <v>43</v>
      </c>
      <c r="D880" t="s">
        <v>55</v>
      </c>
      <c r="E880" t="s">
        <v>61</v>
      </c>
      <c r="F880" t="s">
        <v>51</v>
      </c>
      <c r="G880" t="s">
        <v>61</v>
      </c>
      <c r="H880">
        <v>1231</v>
      </c>
      <c r="I880" s="2">
        <v>2</v>
      </c>
      <c r="J880" s="2">
        <v>4</v>
      </c>
      <c r="K880" t="s">
        <v>46</v>
      </c>
      <c r="L880" s="2">
        <v>2</v>
      </c>
      <c r="M880" s="2">
        <v>1</v>
      </c>
      <c r="N880" t="s">
        <v>48</v>
      </c>
      <c r="O880" s="2">
        <v>6272</v>
      </c>
      <c r="P880" s="2">
        <v>12858</v>
      </c>
      <c r="Q880" s="2">
        <v>7</v>
      </c>
      <c r="R880" t="s">
        <v>43</v>
      </c>
      <c r="S880" s="2">
        <v>3</v>
      </c>
      <c r="T880" s="2">
        <v>1</v>
      </c>
      <c r="U880">
        <v>80</v>
      </c>
      <c r="V880" s="2">
        <v>10</v>
      </c>
      <c r="W880">
        <v>3</v>
      </c>
      <c r="X880">
        <v>4</v>
      </c>
      <c r="Y880">
        <v>4</v>
      </c>
      <c r="Z880">
        <v>3</v>
      </c>
      <c r="AA880">
        <v>0</v>
      </c>
      <c r="AB880">
        <v>3</v>
      </c>
    </row>
    <row r="881" spans="1:28" x14ac:dyDescent="0.35">
      <c r="A881" s="2">
        <v>60</v>
      </c>
      <c r="B881" s="2" t="str" cm="1">
        <f t="array" ref="B881">_xlfn.IFS(HR_table[[#This Row],[Age]]&lt;=20, "Under 20yrs",HR_table[[#This Row],[Age]]&lt;=30,"(21-30)yrs",HR_table[[#This Row],[Age]]&lt;=40,"(31-40)yrs",HR_table[[#This Row],[Age]]&lt;=50,"(41-50)yrs",HR_table[[#This Row],[Age]]&lt;=60,"(51-60)yrs")</f>
        <v>(51-60)yrs</v>
      </c>
      <c r="C881" t="s">
        <v>43</v>
      </c>
      <c r="D881" t="s">
        <v>36</v>
      </c>
      <c r="E881" t="s">
        <v>37</v>
      </c>
      <c r="F881" t="s">
        <v>59</v>
      </c>
      <c r="G881" t="s">
        <v>40</v>
      </c>
      <c r="H881">
        <v>1233</v>
      </c>
      <c r="I881" s="2">
        <v>7</v>
      </c>
      <c r="J881" s="2">
        <v>2</v>
      </c>
      <c r="K881" t="s">
        <v>46</v>
      </c>
      <c r="L881" s="2">
        <v>2</v>
      </c>
      <c r="M881" s="2">
        <v>4</v>
      </c>
      <c r="N881" t="s">
        <v>52</v>
      </c>
      <c r="O881" s="2">
        <v>5220</v>
      </c>
      <c r="P881" s="2">
        <v>10893</v>
      </c>
      <c r="Q881" s="2">
        <v>0</v>
      </c>
      <c r="R881" t="s">
        <v>35</v>
      </c>
      <c r="S881" s="2">
        <v>3</v>
      </c>
      <c r="T881" s="2">
        <v>2</v>
      </c>
      <c r="U881">
        <v>80</v>
      </c>
      <c r="V881" s="2">
        <v>12</v>
      </c>
      <c r="W881">
        <v>3</v>
      </c>
      <c r="X881">
        <v>3</v>
      </c>
      <c r="Y881">
        <v>11</v>
      </c>
      <c r="Z881">
        <v>7</v>
      </c>
      <c r="AA881">
        <v>1</v>
      </c>
      <c r="AB881">
        <v>9</v>
      </c>
    </row>
    <row r="882" spans="1:28" x14ac:dyDescent="0.35">
      <c r="A882" s="2">
        <v>32</v>
      </c>
      <c r="B882" s="2" t="str" cm="1">
        <f t="array" ref="B882">_xlfn.IFS(HR_table[[#This Row],[Age]]&lt;=20, "Under 20yrs",HR_table[[#This Row],[Age]]&lt;=30,"(21-30)yrs",HR_table[[#This Row],[Age]]&lt;=40,"(31-40)yrs",HR_table[[#This Row],[Age]]&lt;=50,"(41-50)yrs",HR_table[[#This Row],[Age]]&lt;=60,"(51-60)yrs")</f>
        <v>(31-40)yrs</v>
      </c>
      <c r="C882" t="s">
        <v>43</v>
      </c>
      <c r="D882" t="s">
        <v>44</v>
      </c>
      <c r="E882" t="s">
        <v>45</v>
      </c>
      <c r="F882" t="s">
        <v>49</v>
      </c>
      <c r="G882" t="s">
        <v>50</v>
      </c>
      <c r="H882">
        <v>1234</v>
      </c>
      <c r="I882" s="2">
        <v>13</v>
      </c>
      <c r="J882" s="2">
        <v>3</v>
      </c>
      <c r="K882" t="s">
        <v>39</v>
      </c>
      <c r="L882" s="2">
        <v>1</v>
      </c>
      <c r="M882" s="2">
        <v>2</v>
      </c>
      <c r="N882" t="s">
        <v>48</v>
      </c>
      <c r="O882" s="2">
        <v>2743</v>
      </c>
      <c r="P882" s="2">
        <v>7331</v>
      </c>
      <c r="Q882" s="2">
        <v>1</v>
      </c>
      <c r="R882" t="s">
        <v>43</v>
      </c>
      <c r="S882" s="2">
        <v>4</v>
      </c>
      <c r="T882" s="2">
        <v>3</v>
      </c>
      <c r="U882">
        <v>80</v>
      </c>
      <c r="V882" s="2">
        <v>2</v>
      </c>
      <c r="W882">
        <v>2</v>
      </c>
      <c r="X882">
        <v>3</v>
      </c>
      <c r="Y882">
        <v>2</v>
      </c>
      <c r="Z882">
        <v>2</v>
      </c>
      <c r="AA882">
        <v>2</v>
      </c>
      <c r="AB882">
        <v>2</v>
      </c>
    </row>
    <row r="883" spans="1:28" x14ac:dyDescent="0.35">
      <c r="A883" s="2">
        <v>32</v>
      </c>
      <c r="B883" s="2" t="str" cm="1">
        <f t="array" ref="B883">_xlfn.IFS(HR_table[[#This Row],[Age]]&lt;=20, "Under 20yrs",HR_table[[#This Row],[Age]]&lt;=30,"(21-30)yrs",HR_table[[#This Row],[Age]]&lt;=40,"(31-40)yrs",HR_table[[#This Row],[Age]]&lt;=50,"(41-50)yrs",HR_table[[#This Row],[Age]]&lt;=60,"(51-60)yrs")</f>
        <v>(31-40)yrs</v>
      </c>
      <c r="C883" t="s">
        <v>43</v>
      </c>
      <c r="D883" t="s">
        <v>44</v>
      </c>
      <c r="E883" t="s">
        <v>45</v>
      </c>
      <c r="F883" t="s">
        <v>38</v>
      </c>
      <c r="G883" t="s">
        <v>47</v>
      </c>
      <c r="H883">
        <v>1235</v>
      </c>
      <c r="I883" s="2">
        <v>2</v>
      </c>
      <c r="J883" s="2">
        <v>4</v>
      </c>
      <c r="K883" t="s">
        <v>39</v>
      </c>
      <c r="L883" s="2">
        <v>2</v>
      </c>
      <c r="M883" s="2">
        <v>3</v>
      </c>
      <c r="N883" t="s">
        <v>41</v>
      </c>
      <c r="O883" s="2">
        <v>4998</v>
      </c>
      <c r="P883" s="2">
        <v>2338</v>
      </c>
      <c r="Q883" s="2">
        <v>4</v>
      </c>
      <c r="R883" t="s">
        <v>35</v>
      </c>
      <c r="S883" s="2">
        <v>3</v>
      </c>
      <c r="T883" s="2">
        <v>4</v>
      </c>
      <c r="U883">
        <v>80</v>
      </c>
      <c r="V883" s="2">
        <v>10</v>
      </c>
      <c r="W883">
        <v>2</v>
      </c>
      <c r="X883">
        <v>3</v>
      </c>
      <c r="Y883">
        <v>8</v>
      </c>
      <c r="Z883">
        <v>7</v>
      </c>
      <c r="AA883">
        <v>0</v>
      </c>
      <c r="AB883">
        <v>7</v>
      </c>
    </row>
    <row r="884" spans="1:28" x14ac:dyDescent="0.35">
      <c r="A884" s="2">
        <v>36</v>
      </c>
      <c r="B884" s="2" t="str" cm="1">
        <f t="array" ref="B884">_xlfn.IFS(HR_table[[#This Row],[Age]]&lt;=20, "Under 20yrs",HR_table[[#This Row],[Age]]&lt;=30,"(21-30)yrs",HR_table[[#This Row],[Age]]&lt;=40,"(31-40)yrs",HR_table[[#This Row],[Age]]&lt;=50,"(41-50)yrs",HR_table[[#This Row],[Age]]&lt;=60,"(51-60)yrs")</f>
        <v>(31-40)yrs</v>
      </c>
      <c r="C884" t="s">
        <v>43</v>
      </c>
      <c r="D884" t="s">
        <v>36</v>
      </c>
      <c r="E884" t="s">
        <v>45</v>
      </c>
      <c r="F884" t="s">
        <v>60</v>
      </c>
      <c r="G884" t="s">
        <v>53</v>
      </c>
      <c r="H884">
        <v>1237</v>
      </c>
      <c r="I884" s="2">
        <v>1</v>
      </c>
      <c r="J884" s="2">
        <v>3</v>
      </c>
      <c r="K884" t="s">
        <v>39</v>
      </c>
      <c r="L884" s="2">
        <v>3</v>
      </c>
      <c r="M884" s="2">
        <v>1</v>
      </c>
      <c r="N884" t="s">
        <v>52</v>
      </c>
      <c r="O884" s="2">
        <v>10252</v>
      </c>
      <c r="P884" s="2">
        <v>4235</v>
      </c>
      <c r="Q884" s="2">
        <v>2</v>
      </c>
      <c r="R884" t="s">
        <v>35</v>
      </c>
      <c r="S884" s="2">
        <v>4</v>
      </c>
      <c r="T884" s="2">
        <v>3</v>
      </c>
      <c r="U884">
        <v>80</v>
      </c>
      <c r="V884" s="2">
        <v>17</v>
      </c>
      <c r="W884">
        <v>2</v>
      </c>
      <c r="X884">
        <v>3</v>
      </c>
      <c r="Y884">
        <v>7</v>
      </c>
      <c r="Z884">
        <v>7</v>
      </c>
      <c r="AA884">
        <v>7</v>
      </c>
      <c r="AB884">
        <v>7</v>
      </c>
    </row>
    <row r="885" spans="1:28" x14ac:dyDescent="0.35">
      <c r="A885" s="2">
        <v>33</v>
      </c>
      <c r="B885" s="2" t="str" cm="1">
        <f t="array" ref="B885">_xlfn.IFS(HR_table[[#This Row],[Age]]&lt;=20, "Under 20yrs",HR_table[[#This Row],[Age]]&lt;=30,"(21-30)yrs",HR_table[[#This Row],[Age]]&lt;=40,"(31-40)yrs",HR_table[[#This Row],[Age]]&lt;=50,"(41-50)yrs",HR_table[[#This Row],[Age]]&lt;=60,"(51-60)yrs")</f>
        <v>(31-40)yrs</v>
      </c>
      <c r="C885" t="s">
        <v>43</v>
      </c>
      <c r="D885" t="s">
        <v>36</v>
      </c>
      <c r="E885" t="s">
        <v>45</v>
      </c>
      <c r="F885" t="s">
        <v>51</v>
      </c>
      <c r="G885" t="s">
        <v>47</v>
      </c>
      <c r="H885">
        <v>1238</v>
      </c>
      <c r="I885" s="2">
        <v>9</v>
      </c>
      <c r="J885" s="2">
        <v>1</v>
      </c>
      <c r="K885" t="s">
        <v>46</v>
      </c>
      <c r="L885" s="2">
        <v>1</v>
      </c>
      <c r="M885" s="2">
        <v>4</v>
      </c>
      <c r="N885" t="s">
        <v>48</v>
      </c>
      <c r="O885" s="2">
        <v>2781</v>
      </c>
      <c r="P885" s="2">
        <v>6311</v>
      </c>
      <c r="Q885" s="2">
        <v>0</v>
      </c>
      <c r="R885" t="s">
        <v>43</v>
      </c>
      <c r="S885" s="2">
        <v>3</v>
      </c>
      <c r="T885" s="2">
        <v>2</v>
      </c>
      <c r="U885">
        <v>80</v>
      </c>
      <c r="V885" s="2">
        <v>15</v>
      </c>
      <c r="W885">
        <v>5</v>
      </c>
      <c r="X885">
        <v>3</v>
      </c>
      <c r="Y885">
        <v>14</v>
      </c>
      <c r="Z885">
        <v>10</v>
      </c>
      <c r="AA885">
        <v>4</v>
      </c>
      <c r="AB885">
        <v>10</v>
      </c>
    </row>
    <row r="886" spans="1:28" x14ac:dyDescent="0.35">
      <c r="A886" s="2">
        <v>40</v>
      </c>
      <c r="B886" s="2" t="str" cm="1">
        <f t="array" ref="B886">_xlfn.IFS(HR_table[[#This Row],[Age]]&lt;=20, "Under 20yrs",HR_table[[#This Row],[Age]]&lt;=30,"(21-30)yrs",HR_table[[#This Row],[Age]]&lt;=40,"(31-40)yrs",HR_table[[#This Row],[Age]]&lt;=50,"(41-50)yrs",HR_table[[#This Row],[Age]]&lt;=60,"(51-60)yrs")</f>
        <v>(31-40)yrs</v>
      </c>
      <c r="C886" t="s">
        <v>43</v>
      </c>
      <c r="D886" t="s">
        <v>36</v>
      </c>
      <c r="E886" t="s">
        <v>37</v>
      </c>
      <c r="F886" t="s">
        <v>60</v>
      </c>
      <c r="G886" t="s">
        <v>40</v>
      </c>
      <c r="H886">
        <v>1239</v>
      </c>
      <c r="I886" s="2">
        <v>10</v>
      </c>
      <c r="J886" s="2">
        <v>2</v>
      </c>
      <c r="K886" t="s">
        <v>39</v>
      </c>
      <c r="L886" s="2">
        <v>2</v>
      </c>
      <c r="M886" s="2">
        <v>2</v>
      </c>
      <c r="N886" t="s">
        <v>52</v>
      </c>
      <c r="O886" s="2">
        <v>6852</v>
      </c>
      <c r="P886" s="2">
        <v>11591</v>
      </c>
      <c r="Q886" s="2">
        <v>7</v>
      </c>
      <c r="R886" t="s">
        <v>43</v>
      </c>
      <c r="S886" s="2">
        <v>3</v>
      </c>
      <c r="T886" s="2">
        <v>2</v>
      </c>
      <c r="U886">
        <v>80</v>
      </c>
      <c r="V886" s="2">
        <v>7</v>
      </c>
      <c r="W886">
        <v>2</v>
      </c>
      <c r="X886">
        <v>4</v>
      </c>
      <c r="Y886">
        <v>5</v>
      </c>
      <c r="Z886">
        <v>1</v>
      </c>
      <c r="AA886">
        <v>1</v>
      </c>
      <c r="AB886">
        <v>3</v>
      </c>
    </row>
    <row r="887" spans="1:28" x14ac:dyDescent="0.35">
      <c r="A887" s="2">
        <v>25</v>
      </c>
      <c r="B887" s="2" t="str" cm="1">
        <f t="array" ref="B887">_xlfn.IFS(HR_table[[#This Row],[Age]]&lt;=20, "Under 20yrs",HR_table[[#This Row],[Age]]&lt;=30,"(21-30)yrs",HR_table[[#This Row],[Age]]&lt;=40,"(31-40)yrs",HR_table[[#This Row],[Age]]&lt;=50,"(41-50)yrs",HR_table[[#This Row],[Age]]&lt;=60,"(51-60)yrs")</f>
        <v>(21-30)yrs</v>
      </c>
      <c r="C887" t="s">
        <v>43</v>
      </c>
      <c r="D887" t="s">
        <v>36</v>
      </c>
      <c r="E887" t="s">
        <v>37</v>
      </c>
      <c r="F887" t="s">
        <v>38</v>
      </c>
      <c r="G887" t="s">
        <v>40</v>
      </c>
      <c r="H887">
        <v>1240</v>
      </c>
      <c r="I887" s="2">
        <v>10</v>
      </c>
      <c r="J887" s="2">
        <v>3</v>
      </c>
      <c r="K887" t="s">
        <v>46</v>
      </c>
      <c r="L887" s="2">
        <v>2</v>
      </c>
      <c r="M887" s="2">
        <v>4</v>
      </c>
      <c r="N887" t="s">
        <v>41</v>
      </c>
      <c r="O887" s="2">
        <v>4950</v>
      </c>
      <c r="P887" s="2">
        <v>20623</v>
      </c>
      <c r="Q887" s="2">
        <v>0</v>
      </c>
      <c r="R887" t="s">
        <v>43</v>
      </c>
      <c r="S887" s="2">
        <v>3</v>
      </c>
      <c r="T887" s="2">
        <v>2</v>
      </c>
      <c r="U887">
        <v>80</v>
      </c>
      <c r="V887" s="2">
        <v>5</v>
      </c>
      <c r="W887">
        <v>4</v>
      </c>
      <c r="X887">
        <v>3</v>
      </c>
      <c r="Y887">
        <v>4</v>
      </c>
      <c r="Z887">
        <v>3</v>
      </c>
      <c r="AA887">
        <v>1</v>
      </c>
      <c r="AB887">
        <v>1</v>
      </c>
    </row>
    <row r="888" spans="1:28" x14ac:dyDescent="0.35">
      <c r="A888" s="2">
        <v>30</v>
      </c>
      <c r="B888" s="2" t="str" cm="1">
        <f t="array" ref="B888">_xlfn.IFS(HR_table[[#This Row],[Age]]&lt;=20, "Under 20yrs",HR_table[[#This Row],[Age]]&lt;=30,"(21-30)yrs",HR_table[[#This Row],[Age]]&lt;=40,"(31-40)yrs",HR_table[[#This Row],[Age]]&lt;=50,"(41-50)yrs",HR_table[[#This Row],[Age]]&lt;=60,"(51-60)yrs")</f>
        <v>(21-30)yrs</v>
      </c>
      <c r="C888" t="s">
        <v>43</v>
      </c>
      <c r="D888" t="s">
        <v>36</v>
      </c>
      <c r="E888" t="s">
        <v>45</v>
      </c>
      <c r="F888" t="s">
        <v>51</v>
      </c>
      <c r="G888" t="s">
        <v>47</v>
      </c>
      <c r="H888">
        <v>1241</v>
      </c>
      <c r="I888" s="2">
        <v>1</v>
      </c>
      <c r="J888" s="2">
        <v>4</v>
      </c>
      <c r="K888" t="s">
        <v>46</v>
      </c>
      <c r="L888" s="2">
        <v>1</v>
      </c>
      <c r="M888" s="2">
        <v>2</v>
      </c>
      <c r="N888" t="s">
        <v>48</v>
      </c>
      <c r="O888" s="2">
        <v>3579</v>
      </c>
      <c r="P888" s="2">
        <v>9369</v>
      </c>
      <c r="Q888" s="2">
        <v>0</v>
      </c>
      <c r="R888" t="s">
        <v>35</v>
      </c>
      <c r="S888" s="2">
        <v>4</v>
      </c>
      <c r="T888" s="2">
        <v>1</v>
      </c>
      <c r="U888">
        <v>80</v>
      </c>
      <c r="V888" s="2">
        <v>12</v>
      </c>
      <c r="W888">
        <v>2</v>
      </c>
      <c r="X888">
        <v>3</v>
      </c>
      <c r="Y888">
        <v>11</v>
      </c>
      <c r="Z888">
        <v>9</v>
      </c>
      <c r="AA888">
        <v>5</v>
      </c>
      <c r="AB888">
        <v>7</v>
      </c>
    </row>
    <row r="889" spans="1:28" x14ac:dyDescent="0.35">
      <c r="A889" s="2">
        <v>42</v>
      </c>
      <c r="B889" s="2" t="str" cm="1">
        <f t="array" ref="B889">_xlfn.IFS(HR_table[[#This Row],[Age]]&lt;=20, "Under 20yrs",HR_table[[#This Row],[Age]]&lt;=30,"(21-30)yrs",HR_table[[#This Row],[Age]]&lt;=40,"(31-40)yrs",HR_table[[#This Row],[Age]]&lt;=50,"(41-50)yrs",HR_table[[#This Row],[Age]]&lt;=60,"(51-60)yrs")</f>
        <v>(41-50)yrs</v>
      </c>
      <c r="C889" t="s">
        <v>43</v>
      </c>
      <c r="D889" t="s">
        <v>44</v>
      </c>
      <c r="E889" t="s">
        <v>45</v>
      </c>
      <c r="F889" t="s">
        <v>51</v>
      </c>
      <c r="G889" t="s">
        <v>58</v>
      </c>
      <c r="H889">
        <v>1242</v>
      </c>
      <c r="I889" s="2">
        <v>26</v>
      </c>
      <c r="J889" s="2">
        <v>1</v>
      </c>
      <c r="K889" t="s">
        <v>39</v>
      </c>
      <c r="L889" s="2">
        <v>3</v>
      </c>
      <c r="M889" s="2">
        <v>1</v>
      </c>
      <c r="N889" t="s">
        <v>48</v>
      </c>
      <c r="O889" s="2">
        <v>13191</v>
      </c>
      <c r="P889" s="2">
        <v>23281</v>
      </c>
      <c r="Q889" s="2">
        <v>3</v>
      </c>
      <c r="R889" t="s">
        <v>35</v>
      </c>
      <c r="S889" s="2">
        <v>3</v>
      </c>
      <c r="T889" s="2">
        <v>3</v>
      </c>
      <c r="U889">
        <v>80</v>
      </c>
      <c r="V889" s="2">
        <v>20</v>
      </c>
      <c r="W889">
        <v>6</v>
      </c>
      <c r="X889">
        <v>3</v>
      </c>
      <c r="Y889">
        <v>1</v>
      </c>
      <c r="Z889">
        <v>0</v>
      </c>
      <c r="AA889">
        <v>0</v>
      </c>
      <c r="AB889">
        <v>0</v>
      </c>
    </row>
    <row r="890" spans="1:28" x14ac:dyDescent="0.35">
      <c r="A890" s="2">
        <v>35</v>
      </c>
      <c r="B890" s="2" t="str" cm="1">
        <f t="array" ref="B890">_xlfn.IFS(HR_table[[#This Row],[Age]]&lt;=20, "Under 20yrs",HR_table[[#This Row],[Age]]&lt;=30,"(21-30)yrs",HR_table[[#This Row],[Age]]&lt;=40,"(31-40)yrs",HR_table[[#This Row],[Age]]&lt;=50,"(41-50)yrs",HR_table[[#This Row],[Age]]&lt;=60,"(51-60)yrs")</f>
        <v>(31-40)yrs</v>
      </c>
      <c r="C890" t="s">
        <v>43</v>
      </c>
      <c r="D890" t="s">
        <v>55</v>
      </c>
      <c r="E890" t="s">
        <v>37</v>
      </c>
      <c r="F890" t="s">
        <v>59</v>
      </c>
      <c r="G890" t="s">
        <v>40</v>
      </c>
      <c r="H890">
        <v>1243</v>
      </c>
      <c r="I890" s="2">
        <v>8</v>
      </c>
      <c r="J890" s="2">
        <v>3</v>
      </c>
      <c r="K890" t="s">
        <v>39</v>
      </c>
      <c r="L890" s="2">
        <v>3</v>
      </c>
      <c r="M890" s="2">
        <v>4</v>
      </c>
      <c r="N890" t="s">
        <v>48</v>
      </c>
      <c r="O890" s="2">
        <v>10377</v>
      </c>
      <c r="P890" s="2">
        <v>13755</v>
      </c>
      <c r="Q890" s="2">
        <v>4</v>
      </c>
      <c r="R890" t="s">
        <v>35</v>
      </c>
      <c r="S890" s="2">
        <v>3</v>
      </c>
      <c r="T890" s="2">
        <v>2</v>
      </c>
      <c r="U890">
        <v>80</v>
      </c>
      <c r="V890" s="2">
        <v>16</v>
      </c>
      <c r="W890">
        <v>6</v>
      </c>
      <c r="X890">
        <v>2</v>
      </c>
      <c r="Y890">
        <v>13</v>
      </c>
      <c r="Z890">
        <v>2</v>
      </c>
      <c r="AA890">
        <v>4</v>
      </c>
      <c r="AB890">
        <v>12</v>
      </c>
    </row>
    <row r="891" spans="1:28" x14ac:dyDescent="0.35">
      <c r="A891" s="2">
        <v>27</v>
      </c>
      <c r="B891" s="2" t="str" cm="1">
        <f t="array" ref="B891">_xlfn.IFS(HR_table[[#This Row],[Age]]&lt;=20, "Under 20yrs",HR_table[[#This Row],[Age]]&lt;=30,"(21-30)yrs",HR_table[[#This Row],[Age]]&lt;=40,"(31-40)yrs",HR_table[[#This Row],[Age]]&lt;=50,"(41-50)yrs",HR_table[[#This Row],[Age]]&lt;=60,"(51-60)yrs")</f>
        <v>(21-30)yrs</v>
      </c>
      <c r="C891" t="s">
        <v>43</v>
      </c>
      <c r="D891" t="s">
        <v>36</v>
      </c>
      <c r="E891" t="s">
        <v>45</v>
      </c>
      <c r="F891" t="s">
        <v>38</v>
      </c>
      <c r="G891" t="s">
        <v>47</v>
      </c>
      <c r="H891">
        <v>1244</v>
      </c>
      <c r="I891" s="2">
        <v>14</v>
      </c>
      <c r="J891" s="2">
        <v>1</v>
      </c>
      <c r="K891" t="s">
        <v>46</v>
      </c>
      <c r="L891" s="2">
        <v>1</v>
      </c>
      <c r="M891" s="2">
        <v>1</v>
      </c>
      <c r="N891" t="s">
        <v>48</v>
      </c>
      <c r="O891" s="2">
        <v>2235</v>
      </c>
      <c r="P891" s="2">
        <v>14377</v>
      </c>
      <c r="Q891" s="2">
        <v>1</v>
      </c>
      <c r="R891" t="s">
        <v>35</v>
      </c>
      <c r="S891" s="2">
        <v>3</v>
      </c>
      <c r="T891" s="2">
        <v>4</v>
      </c>
      <c r="U891">
        <v>80</v>
      </c>
      <c r="V891" s="2">
        <v>9</v>
      </c>
      <c r="W891">
        <v>3</v>
      </c>
      <c r="X891">
        <v>2</v>
      </c>
      <c r="Y891">
        <v>9</v>
      </c>
      <c r="Z891">
        <v>7</v>
      </c>
      <c r="AA891">
        <v>6</v>
      </c>
      <c r="AB891">
        <v>8</v>
      </c>
    </row>
    <row r="892" spans="1:28" x14ac:dyDescent="0.35">
      <c r="A892" s="2">
        <v>54</v>
      </c>
      <c r="B892" s="2" t="str" cm="1">
        <f t="array" ref="B892">_xlfn.IFS(HR_table[[#This Row],[Age]]&lt;=20, "Under 20yrs",HR_table[[#This Row],[Age]]&lt;=30,"(21-30)yrs",HR_table[[#This Row],[Age]]&lt;=40,"(31-40)yrs",HR_table[[#This Row],[Age]]&lt;=50,"(41-50)yrs",HR_table[[#This Row],[Age]]&lt;=60,"(51-60)yrs")</f>
        <v>(51-60)yrs</v>
      </c>
      <c r="C892" t="s">
        <v>43</v>
      </c>
      <c r="D892" t="s">
        <v>44</v>
      </c>
      <c r="E892" t="s">
        <v>45</v>
      </c>
      <c r="F892" t="s">
        <v>38</v>
      </c>
      <c r="G892" t="s">
        <v>53</v>
      </c>
      <c r="H892">
        <v>1245</v>
      </c>
      <c r="I892" s="2">
        <v>1</v>
      </c>
      <c r="J892" s="2">
        <v>4</v>
      </c>
      <c r="K892" t="s">
        <v>39</v>
      </c>
      <c r="L892" s="2">
        <v>3</v>
      </c>
      <c r="M892" s="2">
        <v>3</v>
      </c>
      <c r="N892" t="s">
        <v>52</v>
      </c>
      <c r="O892" s="2">
        <v>10502</v>
      </c>
      <c r="P892" s="2">
        <v>9659</v>
      </c>
      <c r="Q892" s="2">
        <v>7</v>
      </c>
      <c r="R892" t="s">
        <v>43</v>
      </c>
      <c r="S892" s="2">
        <v>3</v>
      </c>
      <c r="T892" s="2">
        <v>1</v>
      </c>
      <c r="U892">
        <v>80</v>
      </c>
      <c r="V892" s="2">
        <v>33</v>
      </c>
      <c r="W892">
        <v>2</v>
      </c>
      <c r="X892">
        <v>1</v>
      </c>
      <c r="Y892">
        <v>5</v>
      </c>
      <c r="Z892">
        <v>4</v>
      </c>
      <c r="AA892">
        <v>1</v>
      </c>
      <c r="AB892">
        <v>4</v>
      </c>
    </row>
    <row r="893" spans="1:28" x14ac:dyDescent="0.35">
      <c r="A893" s="2">
        <v>44</v>
      </c>
      <c r="B893" s="2" t="str" cm="1">
        <f t="array" ref="B893">_xlfn.IFS(HR_table[[#This Row],[Age]]&lt;=20, "Under 20yrs",HR_table[[#This Row],[Age]]&lt;=30,"(21-30)yrs",HR_table[[#This Row],[Age]]&lt;=40,"(31-40)yrs",HR_table[[#This Row],[Age]]&lt;=50,"(41-50)yrs",HR_table[[#This Row],[Age]]&lt;=60,"(51-60)yrs")</f>
        <v>(41-50)yrs</v>
      </c>
      <c r="C893" t="s">
        <v>43</v>
      </c>
      <c r="D893" t="s">
        <v>36</v>
      </c>
      <c r="E893" t="s">
        <v>45</v>
      </c>
      <c r="F893" t="s">
        <v>38</v>
      </c>
      <c r="G893" t="s">
        <v>47</v>
      </c>
      <c r="H893">
        <v>1246</v>
      </c>
      <c r="I893" s="2">
        <v>2</v>
      </c>
      <c r="J893" s="2">
        <v>1</v>
      </c>
      <c r="K893" t="s">
        <v>39</v>
      </c>
      <c r="L893" s="2">
        <v>1</v>
      </c>
      <c r="M893" s="2">
        <v>4</v>
      </c>
      <c r="N893" t="s">
        <v>48</v>
      </c>
      <c r="O893" s="2">
        <v>2011</v>
      </c>
      <c r="P893" s="2">
        <v>19982</v>
      </c>
      <c r="Q893" s="2">
        <v>1</v>
      </c>
      <c r="R893" t="s">
        <v>43</v>
      </c>
      <c r="S893" s="2">
        <v>3</v>
      </c>
      <c r="T893" s="2">
        <v>4</v>
      </c>
      <c r="U893">
        <v>80</v>
      </c>
      <c r="V893" s="2">
        <v>10</v>
      </c>
      <c r="W893">
        <v>5</v>
      </c>
      <c r="X893">
        <v>3</v>
      </c>
      <c r="Y893">
        <v>10</v>
      </c>
      <c r="Z893">
        <v>5</v>
      </c>
      <c r="AA893">
        <v>7</v>
      </c>
      <c r="AB893">
        <v>7</v>
      </c>
    </row>
    <row r="894" spans="1:28" x14ac:dyDescent="0.35">
      <c r="A894" s="2">
        <v>19</v>
      </c>
      <c r="B894" s="2" t="str" cm="1">
        <f t="array" ref="B894">_xlfn.IFS(HR_table[[#This Row],[Age]]&lt;=20, "Under 20yrs",HR_table[[#This Row],[Age]]&lt;=30,"(21-30)yrs",HR_table[[#This Row],[Age]]&lt;=40,"(31-40)yrs",HR_table[[#This Row],[Age]]&lt;=50,"(41-50)yrs",HR_table[[#This Row],[Age]]&lt;=60,"(51-60)yrs")</f>
        <v>Under 20yrs</v>
      </c>
      <c r="C894" t="s">
        <v>35</v>
      </c>
      <c r="D894" t="s">
        <v>55</v>
      </c>
      <c r="E894" t="s">
        <v>45</v>
      </c>
      <c r="F894" t="s">
        <v>51</v>
      </c>
      <c r="G894" t="s">
        <v>47</v>
      </c>
      <c r="H894">
        <v>1248</v>
      </c>
      <c r="I894" s="2">
        <v>10</v>
      </c>
      <c r="J894" s="2">
        <v>1</v>
      </c>
      <c r="K894" t="s">
        <v>39</v>
      </c>
      <c r="L894" s="2">
        <v>1</v>
      </c>
      <c r="M894" s="2">
        <v>2</v>
      </c>
      <c r="N894" t="s">
        <v>41</v>
      </c>
      <c r="O894" s="2">
        <v>1859</v>
      </c>
      <c r="P894" s="2">
        <v>6148</v>
      </c>
      <c r="Q894" s="2">
        <v>1</v>
      </c>
      <c r="R894" t="s">
        <v>35</v>
      </c>
      <c r="S894" s="2">
        <v>4</v>
      </c>
      <c r="T894" s="2">
        <v>2</v>
      </c>
      <c r="U894">
        <v>80</v>
      </c>
      <c r="V894" s="2">
        <v>1</v>
      </c>
      <c r="W894">
        <v>2</v>
      </c>
      <c r="X894">
        <v>4</v>
      </c>
      <c r="Y894">
        <v>1</v>
      </c>
      <c r="Z894">
        <v>1</v>
      </c>
      <c r="AA894">
        <v>0</v>
      </c>
      <c r="AB894">
        <v>0</v>
      </c>
    </row>
    <row r="895" spans="1:28" x14ac:dyDescent="0.35">
      <c r="A895" s="2">
        <v>29</v>
      </c>
      <c r="B895" s="2" t="str" cm="1">
        <f t="array" ref="B895">_xlfn.IFS(HR_table[[#This Row],[Age]]&lt;=20, "Under 20yrs",HR_table[[#This Row],[Age]]&lt;=30,"(21-30)yrs",HR_table[[#This Row],[Age]]&lt;=40,"(31-40)yrs",HR_table[[#This Row],[Age]]&lt;=50,"(41-50)yrs",HR_table[[#This Row],[Age]]&lt;=60,"(51-60)yrs")</f>
        <v>(21-30)yrs</v>
      </c>
      <c r="C895" t="s">
        <v>43</v>
      </c>
      <c r="D895" t="s">
        <v>36</v>
      </c>
      <c r="E895" t="s">
        <v>45</v>
      </c>
      <c r="F895" t="s">
        <v>38</v>
      </c>
      <c r="G895" t="s">
        <v>47</v>
      </c>
      <c r="H895">
        <v>1249</v>
      </c>
      <c r="I895" s="2">
        <v>1</v>
      </c>
      <c r="J895" s="2">
        <v>1</v>
      </c>
      <c r="K895" t="s">
        <v>39</v>
      </c>
      <c r="L895" s="2">
        <v>1</v>
      </c>
      <c r="M895" s="2">
        <v>4</v>
      </c>
      <c r="N895" t="s">
        <v>52</v>
      </c>
      <c r="O895" s="2">
        <v>3760</v>
      </c>
      <c r="P895" s="2">
        <v>5598</v>
      </c>
      <c r="Q895" s="2">
        <v>1</v>
      </c>
      <c r="R895" t="s">
        <v>43</v>
      </c>
      <c r="S895" s="2">
        <v>3</v>
      </c>
      <c r="T895" s="2">
        <v>1</v>
      </c>
      <c r="U895">
        <v>80</v>
      </c>
      <c r="V895" s="2">
        <v>3</v>
      </c>
      <c r="W895">
        <v>5</v>
      </c>
      <c r="X895">
        <v>3</v>
      </c>
      <c r="Y895">
        <v>3</v>
      </c>
      <c r="Z895">
        <v>2</v>
      </c>
      <c r="AA895">
        <v>1</v>
      </c>
      <c r="AB895">
        <v>2</v>
      </c>
    </row>
    <row r="896" spans="1:28" x14ac:dyDescent="0.35">
      <c r="A896" s="2">
        <v>54</v>
      </c>
      <c r="B896" s="2" t="str" cm="1">
        <f t="array" ref="B896">_xlfn.IFS(HR_table[[#This Row],[Age]]&lt;=20, "Under 20yrs",HR_table[[#This Row],[Age]]&lt;=30,"(21-30)yrs",HR_table[[#This Row],[Age]]&lt;=40,"(31-40)yrs",HR_table[[#This Row],[Age]]&lt;=50,"(41-50)yrs",HR_table[[#This Row],[Age]]&lt;=60,"(51-60)yrs")</f>
        <v>(51-60)yrs</v>
      </c>
      <c r="C896" t="s">
        <v>43</v>
      </c>
      <c r="D896" t="s">
        <v>36</v>
      </c>
      <c r="E896" t="s">
        <v>45</v>
      </c>
      <c r="F896" t="s">
        <v>38</v>
      </c>
      <c r="G896" t="s">
        <v>58</v>
      </c>
      <c r="H896">
        <v>1250</v>
      </c>
      <c r="I896" s="2">
        <v>3</v>
      </c>
      <c r="J896" s="2">
        <v>4</v>
      </c>
      <c r="K896" t="s">
        <v>46</v>
      </c>
      <c r="L896" s="2">
        <v>4</v>
      </c>
      <c r="M896" s="2">
        <v>4</v>
      </c>
      <c r="N896" t="s">
        <v>48</v>
      </c>
      <c r="O896" s="2">
        <v>17779</v>
      </c>
      <c r="P896" s="2">
        <v>23474</v>
      </c>
      <c r="Q896" s="2">
        <v>3</v>
      </c>
      <c r="R896" t="s">
        <v>43</v>
      </c>
      <c r="S896" s="2">
        <v>3</v>
      </c>
      <c r="T896" s="2">
        <v>1</v>
      </c>
      <c r="U896">
        <v>80</v>
      </c>
      <c r="V896" s="2">
        <v>36</v>
      </c>
      <c r="W896">
        <v>2</v>
      </c>
      <c r="X896">
        <v>3</v>
      </c>
      <c r="Y896">
        <v>10</v>
      </c>
      <c r="Z896">
        <v>9</v>
      </c>
      <c r="AA896">
        <v>0</v>
      </c>
      <c r="AB896">
        <v>9</v>
      </c>
    </row>
    <row r="897" spans="1:28" x14ac:dyDescent="0.35">
      <c r="A897" s="2">
        <v>31</v>
      </c>
      <c r="B897" s="2" t="str" cm="1">
        <f t="array" ref="B897">_xlfn.IFS(HR_table[[#This Row],[Age]]&lt;=20, "Under 20yrs",HR_table[[#This Row],[Age]]&lt;=30,"(21-30)yrs",HR_table[[#This Row],[Age]]&lt;=40,"(31-40)yrs",HR_table[[#This Row],[Age]]&lt;=50,"(41-50)yrs",HR_table[[#This Row],[Age]]&lt;=60,"(51-60)yrs")</f>
        <v>(31-40)yrs</v>
      </c>
      <c r="C897" t="s">
        <v>43</v>
      </c>
      <c r="D897" t="s">
        <v>36</v>
      </c>
      <c r="E897" t="s">
        <v>45</v>
      </c>
      <c r="F897" t="s">
        <v>51</v>
      </c>
      <c r="G897" t="s">
        <v>54</v>
      </c>
      <c r="H897">
        <v>1251</v>
      </c>
      <c r="I897" s="2">
        <v>11</v>
      </c>
      <c r="J897" s="2">
        <v>3</v>
      </c>
      <c r="K897" t="s">
        <v>46</v>
      </c>
      <c r="L897" s="2">
        <v>2</v>
      </c>
      <c r="M897" s="2">
        <v>1</v>
      </c>
      <c r="N897" t="s">
        <v>48</v>
      </c>
      <c r="O897" s="2">
        <v>6833</v>
      </c>
      <c r="P897" s="2">
        <v>17089</v>
      </c>
      <c r="Q897" s="2">
        <v>1</v>
      </c>
      <c r="R897" t="s">
        <v>35</v>
      </c>
      <c r="S897" s="2">
        <v>3</v>
      </c>
      <c r="T897" s="2">
        <v>4</v>
      </c>
      <c r="U897">
        <v>80</v>
      </c>
      <c r="V897" s="2">
        <v>6</v>
      </c>
      <c r="W897">
        <v>2</v>
      </c>
      <c r="X897">
        <v>2</v>
      </c>
      <c r="Y897">
        <v>6</v>
      </c>
      <c r="Z897">
        <v>5</v>
      </c>
      <c r="AA897">
        <v>0</v>
      </c>
      <c r="AB897">
        <v>1</v>
      </c>
    </row>
    <row r="898" spans="1:28" x14ac:dyDescent="0.35">
      <c r="A898" s="2">
        <v>31</v>
      </c>
      <c r="B898" s="2" t="str" cm="1">
        <f t="array" ref="B898">_xlfn.IFS(HR_table[[#This Row],[Age]]&lt;=20, "Under 20yrs",HR_table[[#This Row],[Age]]&lt;=30,"(21-30)yrs",HR_table[[#This Row],[Age]]&lt;=40,"(31-40)yrs",HR_table[[#This Row],[Age]]&lt;=50,"(41-50)yrs",HR_table[[#This Row],[Age]]&lt;=60,"(51-60)yrs")</f>
        <v>(31-40)yrs</v>
      </c>
      <c r="C898" t="s">
        <v>43</v>
      </c>
      <c r="D898" t="s">
        <v>36</v>
      </c>
      <c r="E898" t="s">
        <v>45</v>
      </c>
      <c r="F898" t="s">
        <v>51</v>
      </c>
      <c r="G898" t="s">
        <v>54</v>
      </c>
      <c r="H898">
        <v>1252</v>
      </c>
      <c r="I898" s="2">
        <v>24</v>
      </c>
      <c r="J898" s="2">
        <v>3</v>
      </c>
      <c r="K898" t="s">
        <v>39</v>
      </c>
      <c r="L898" s="2">
        <v>2</v>
      </c>
      <c r="M898" s="2">
        <v>1</v>
      </c>
      <c r="N898" t="s">
        <v>41</v>
      </c>
      <c r="O898" s="2">
        <v>6812</v>
      </c>
      <c r="P898" s="2">
        <v>17198</v>
      </c>
      <c r="Q898" s="2">
        <v>1</v>
      </c>
      <c r="R898" t="s">
        <v>43</v>
      </c>
      <c r="S898" s="2">
        <v>3</v>
      </c>
      <c r="T898" s="2">
        <v>2</v>
      </c>
      <c r="U898">
        <v>80</v>
      </c>
      <c r="V898" s="2">
        <v>10</v>
      </c>
      <c r="W898">
        <v>2</v>
      </c>
      <c r="X898">
        <v>3</v>
      </c>
      <c r="Y898">
        <v>10</v>
      </c>
      <c r="Z898">
        <v>9</v>
      </c>
      <c r="AA898">
        <v>1</v>
      </c>
      <c r="AB898">
        <v>8</v>
      </c>
    </row>
    <row r="899" spans="1:28" x14ac:dyDescent="0.35">
      <c r="A899" s="2">
        <v>59</v>
      </c>
      <c r="B899" s="2" t="str" cm="1">
        <f t="array" ref="B899">_xlfn.IFS(HR_table[[#This Row],[Age]]&lt;=20, "Under 20yrs",HR_table[[#This Row],[Age]]&lt;=30,"(21-30)yrs",HR_table[[#This Row],[Age]]&lt;=40,"(31-40)yrs",HR_table[[#This Row],[Age]]&lt;=50,"(41-50)yrs",HR_table[[#This Row],[Age]]&lt;=60,"(51-60)yrs")</f>
        <v>(51-60)yrs</v>
      </c>
      <c r="C899" t="s">
        <v>43</v>
      </c>
      <c r="D899" t="s">
        <v>36</v>
      </c>
      <c r="E899" t="s">
        <v>37</v>
      </c>
      <c r="F899" t="s">
        <v>38</v>
      </c>
      <c r="G899" t="s">
        <v>40</v>
      </c>
      <c r="H899">
        <v>1254</v>
      </c>
      <c r="I899" s="2">
        <v>3</v>
      </c>
      <c r="J899" s="2">
        <v>3</v>
      </c>
      <c r="K899" t="s">
        <v>39</v>
      </c>
      <c r="L899" s="2">
        <v>2</v>
      </c>
      <c r="M899" s="2">
        <v>4</v>
      </c>
      <c r="N899" t="s">
        <v>41</v>
      </c>
      <c r="O899" s="2">
        <v>5171</v>
      </c>
      <c r="P899" s="2">
        <v>16490</v>
      </c>
      <c r="Q899" s="2">
        <v>5</v>
      </c>
      <c r="R899" t="s">
        <v>43</v>
      </c>
      <c r="S899" s="2">
        <v>3</v>
      </c>
      <c r="T899" s="2">
        <v>4</v>
      </c>
      <c r="U899">
        <v>80</v>
      </c>
      <c r="V899" s="2">
        <v>13</v>
      </c>
      <c r="W899">
        <v>2</v>
      </c>
      <c r="X899">
        <v>3</v>
      </c>
      <c r="Y899">
        <v>6</v>
      </c>
      <c r="Z899">
        <v>1</v>
      </c>
      <c r="AA899">
        <v>0</v>
      </c>
      <c r="AB899">
        <v>5</v>
      </c>
    </row>
    <row r="900" spans="1:28" x14ac:dyDescent="0.35">
      <c r="A900" s="2">
        <v>43</v>
      </c>
      <c r="B900" s="2" t="str" cm="1">
        <f t="array" ref="B900">_xlfn.IFS(HR_table[[#This Row],[Age]]&lt;=20, "Under 20yrs",HR_table[[#This Row],[Age]]&lt;=30,"(21-30)yrs",HR_table[[#This Row],[Age]]&lt;=40,"(31-40)yrs",HR_table[[#This Row],[Age]]&lt;=50,"(41-50)yrs",HR_table[[#This Row],[Age]]&lt;=60,"(51-60)yrs")</f>
        <v>(41-50)yrs</v>
      </c>
      <c r="C900" t="s">
        <v>43</v>
      </c>
      <c r="D900" t="s">
        <v>36</v>
      </c>
      <c r="E900" t="s">
        <v>45</v>
      </c>
      <c r="F900" t="s">
        <v>38</v>
      </c>
      <c r="G900" t="s">
        <v>58</v>
      </c>
      <c r="H900">
        <v>1255</v>
      </c>
      <c r="I900" s="2">
        <v>3</v>
      </c>
      <c r="J900" s="2">
        <v>3</v>
      </c>
      <c r="K900" t="s">
        <v>46</v>
      </c>
      <c r="L900" s="2">
        <v>5</v>
      </c>
      <c r="M900" s="2">
        <v>4</v>
      </c>
      <c r="N900" t="s">
        <v>48</v>
      </c>
      <c r="O900" s="2">
        <v>19740</v>
      </c>
      <c r="P900" s="2">
        <v>18625</v>
      </c>
      <c r="Q900" s="2">
        <v>3</v>
      </c>
      <c r="R900" t="s">
        <v>43</v>
      </c>
      <c r="S900" s="2">
        <v>3</v>
      </c>
      <c r="T900" s="2">
        <v>2</v>
      </c>
      <c r="U900">
        <v>80</v>
      </c>
      <c r="V900" s="2">
        <v>25</v>
      </c>
      <c r="W900">
        <v>2</v>
      </c>
      <c r="X900">
        <v>3</v>
      </c>
      <c r="Y900">
        <v>8</v>
      </c>
      <c r="Z900">
        <v>7</v>
      </c>
      <c r="AA900">
        <v>0</v>
      </c>
      <c r="AB900">
        <v>7</v>
      </c>
    </row>
    <row r="901" spans="1:28" x14ac:dyDescent="0.35">
      <c r="A901" s="2">
        <v>49</v>
      </c>
      <c r="B901" s="2" t="str" cm="1">
        <f t="array" ref="B901">_xlfn.IFS(HR_table[[#This Row],[Age]]&lt;=20, "Under 20yrs",HR_table[[#This Row],[Age]]&lt;=30,"(21-30)yrs",HR_table[[#This Row],[Age]]&lt;=40,"(31-40)yrs",HR_table[[#This Row],[Age]]&lt;=50,"(41-50)yrs",HR_table[[#This Row],[Age]]&lt;=60,"(51-60)yrs")</f>
        <v>(41-50)yrs</v>
      </c>
      <c r="C901" t="s">
        <v>43</v>
      </c>
      <c r="D901" t="s">
        <v>36</v>
      </c>
      <c r="E901" t="s">
        <v>45</v>
      </c>
      <c r="F901" t="s">
        <v>51</v>
      </c>
      <c r="G901" t="s">
        <v>56</v>
      </c>
      <c r="H901">
        <v>1256</v>
      </c>
      <c r="I901" s="2">
        <v>4</v>
      </c>
      <c r="J901" s="2">
        <v>1</v>
      </c>
      <c r="K901" t="s">
        <v>46</v>
      </c>
      <c r="L901" s="2">
        <v>5</v>
      </c>
      <c r="M901" s="2">
        <v>3</v>
      </c>
      <c r="N901" t="s">
        <v>48</v>
      </c>
      <c r="O901" s="2">
        <v>18711</v>
      </c>
      <c r="P901" s="2">
        <v>12124</v>
      </c>
      <c r="Q901" s="2">
        <v>2</v>
      </c>
      <c r="R901" t="s">
        <v>43</v>
      </c>
      <c r="S901" s="2">
        <v>3</v>
      </c>
      <c r="T901" s="2">
        <v>3</v>
      </c>
      <c r="U901">
        <v>80</v>
      </c>
      <c r="V901" s="2">
        <v>23</v>
      </c>
      <c r="W901">
        <v>2</v>
      </c>
      <c r="X901">
        <v>4</v>
      </c>
      <c r="Y901">
        <v>1</v>
      </c>
      <c r="Z901">
        <v>0</v>
      </c>
      <c r="AA901">
        <v>0</v>
      </c>
      <c r="AB901">
        <v>0</v>
      </c>
    </row>
    <row r="902" spans="1:28" x14ac:dyDescent="0.35">
      <c r="A902" s="2">
        <v>36</v>
      </c>
      <c r="B902" s="2" t="str" cm="1">
        <f t="array" ref="B902">_xlfn.IFS(HR_table[[#This Row],[Age]]&lt;=20, "Under 20yrs",HR_table[[#This Row],[Age]]&lt;=30,"(21-30)yrs",HR_table[[#This Row],[Age]]&lt;=40,"(31-40)yrs",HR_table[[#This Row],[Age]]&lt;=50,"(41-50)yrs",HR_table[[#This Row],[Age]]&lt;=60,"(51-60)yrs")</f>
        <v>(31-40)yrs</v>
      </c>
      <c r="C902" t="s">
        <v>43</v>
      </c>
      <c r="D902" t="s">
        <v>44</v>
      </c>
      <c r="E902" t="s">
        <v>45</v>
      </c>
      <c r="F902" t="s">
        <v>60</v>
      </c>
      <c r="G902" t="s">
        <v>47</v>
      </c>
      <c r="H902">
        <v>1257</v>
      </c>
      <c r="I902" s="2">
        <v>3</v>
      </c>
      <c r="J902" s="2">
        <v>3</v>
      </c>
      <c r="K902" t="s">
        <v>46</v>
      </c>
      <c r="L902" s="2">
        <v>1</v>
      </c>
      <c r="M902" s="2">
        <v>2</v>
      </c>
      <c r="N902" t="s">
        <v>48</v>
      </c>
      <c r="O902" s="2">
        <v>3692</v>
      </c>
      <c r="P902" s="2">
        <v>9256</v>
      </c>
      <c r="Q902" s="2">
        <v>1</v>
      </c>
      <c r="R902" t="s">
        <v>43</v>
      </c>
      <c r="S902" s="2">
        <v>3</v>
      </c>
      <c r="T902" s="2">
        <v>3</v>
      </c>
      <c r="U902">
        <v>80</v>
      </c>
      <c r="V902" s="2">
        <v>12</v>
      </c>
      <c r="W902">
        <v>2</v>
      </c>
      <c r="X902">
        <v>2</v>
      </c>
      <c r="Y902">
        <v>11</v>
      </c>
      <c r="Z902">
        <v>10</v>
      </c>
      <c r="AA902">
        <v>0</v>
      </c>
      <c r="AB902">
        <v>7</v>
      </c>
    </row>
    <row r="903" spans="1:28" x14ac:dyDescent="0.35">
      <c r="A903" s="2">
        <v>48</v>
      </c>
      <c r="B903" s="2" t="str" cm="1">
        <f t="array" ref="B903">_xlfn.IFS(HR_table[[#This Row],[Age]]&lt;=20, "Under 20yrs",HR_table[[#This Row],[Age]]&lt;=30,"(21-30)yrs",HR_table[[#This Row],[Age]]&lt;=40,"(31-40)yrs",HR_table[[#This Row],[Age]]&lt;=50,"(41-50)yrs",HR_table[[#This Row],[Age]]&lt;=60,"(51-60)yrs")</f>
        <v>(41-50)yrs</v>
      </c>
      <c r="C903" t="s">
        <v>43</v>
      </c>
      <c r="D903" t="s">
        <v>36</v>
      </c>
      <c r="E903" t="s">
        <v>45</v>
      </c>
      <c r="F903" t="s">
        <v>60</v>
      </c>
      <c r="G903" t="s">
        <v>50</v>
      </c>
      <c r="H903">
        <v>1258</v>
      </c>
      <c r="I903" s="2">
        <v>2</v>
      </c>
      <c r="J903" s="2">
        <v>4</v>
      </c>
      <c r="K903" t="s">
        <v>46</v>
      </c>
      <c r="L903" s="2">
        <v>1</v>
      </c>
      <c r="M903" s="2">
        <v>2</v>
      </c>
      <c r="N903" t="s">
        <v>41</v>
      </c>
      <c r="O903" s="2">
        <v>2559</v>
      </c>
      <c r="P903" s="2">
        <v>16620</v>
      </c>
      <c r="Q903" s="2">
        <v>5</v>
      </c>
      <c r="R903" t="s">
        <v>43</v>
      </c>
      <c r="S903" s="2">
        <v>3</v>
      </c>
      <c r="T903" s="2">
        <v>3</v>
      </c>
      <c r="U903">
        <v>80</v>
      </c>
      <c r="V903" s="2">
        <v>7</v>
      </c>
      <c r="W903">
        <v>4</v>
      </c>
      <c r="X903">
        <v>2</v>
      </c>
      <c r="Y903">
        <v>1</v>
      </c>
      <c r="Z903">
        <v>0</v>
      </c>
      <c r="AA903">
        <v>0</v>
      </c>
      <c r="AB903">
        <v>0</v>
      </c>
    </row>
    <row r="904" spans="1:28" x14ac:dyDescent="0.35">
      <c r="A904" s="2">
        <v>27</v>
      </c>
      <c r="B904" s="2" t="str" cm="1">
        <f t="array" ref="B904">_xlfn.IFS(HR_table[[#This Row],[Age]]&lt;=20, "Under 20yrs",HR_table[[#This Row],[Age]]&lt;=30,"(21-30)yrs",HR_table[[#This Row],[Age]]&lt;=40,"(31-40)yrs",HR_table[[#This Row],[Age]]&lt;=50,"(41-50)yrs",HR_table[[#This Row],[Age]]&lt;=60,"(51-60)yrs")</f>
        <v>(21-30)yrs</v>
      </c>
      <c r="C904" t="s">
        <v>43</v>
      </c>
      <c r="D904" t="s">
        <v>36</v>
      </c>
      <c r="E904" t="s">
        <v>45</v>
      </c>
      <c r="F904" t="s">
        <v>38</v>
      </c>
      <c r="G904" t="s">
        <v>47</v>
      </c>
      <c r="H904">
        <v>1259</v>
      </c>
      <c r="I904" s="2">
        <v>4</v>
      </c>
      <c r="J904" s="2">
        <v>1</v>
      </c>
      <c r="K904" t="s">
        <v>46</v>
      </c>
      <c r="L904" s="2">
        <v>1</v>
      </c>
      <c r="M904" s="2">
        <v>3</v>
      </c>
      <c r="N904" t="s">
        <v>52</v>
      </c>
      <c r="O904" s="2">
        <v>2517</v>
      </c>
      <c r="P904" s="2">
        <v>3208</v>
      </c>
      <c r="Q904" s="2">
        <v>1</v>
      </c>
      <c r="R904" t="s">
        <v>43</v>
      </c>
      <c r="S904" s="2">
        <v>3</v>
      </c>
      <c r="T904" s="2">
        <v>2</v>
      </c>
      <c r="U904">
        <v>80</v>
      </c>
      <c r="V904" s="2">
        <v>5</v>
      </c>
      <c r="W904">
        <v>2</v>
      </c>
      <c r="X904">
        <v>3</v>
      </c>
      <c r="Y904">
        <v>5</v>
      </c>
      <c r="Z904">
        <v>3</v>
      </c>
      <c r="AA904">
        <v>0</v>
      </c>
      <c r="AB904">
        <v>3</v>
      </c>
    </row>
    <row r="905" spans="1:28" x14ac:dyDescent="0.35">
      <c r="A905" s="2">
        <v>29</v>
      </c>
      <c r="B905" s="2" t="str" cm="1">
        <f t="array" ref="B905">_xlfn.IFS(HR_table[[#This Row],[Age]]&lt;=20, "Under 20yrs",HR_table[[#This Row],[Age]]&lt;=30,"(21-30)yrs",HR_table[[#This Row],[Age]]&lt;=40,"(31-40)yrs",HR_table[[#This Row],[Age]]&lt;=50,"(41-50)yrs",HR_table[[#This Row],[Age]]&lt;=60,"(51-60)yrs")</f>
        <v>(21-30)yrs</v>
      </c>
      <c r="C905" t="s">
        <v>43</v>
      </c>
      <c r="D905" t="s">
        <v>36</v>
      </c>
      <c r="E905" t="s">
        <v>45</v>
      </c>
      <c r="F905" t="s">
        <v>38</v>
      </c>
      <c r="G905" t="s">
        <v>54</v>
      </c>
      <c r="H905">
        <v>1260</v>
      </c>
      <c r="I905" s="2">
        <v>7</v>
      </c>
      <c r="J905" s="2">
        <v>3</v>
      </c>
      <c r="K905" t="s">
        <v>46</v>
      </c>
      <c r="L905" s="2">
        <v>2</v>
      </c>
      <c r="M905" s="2">
        <v>4</v>
      </c>
      <c r="N905" t="s">
        <v>52</v>
      </c>
      <c r="O905" s="2">
        <v>6623</v>
      </c>
      <c r="P905" s="2">
        <v>4204</v>
      </c>
      <c r="Q905" s="2">
        <v>1</v>
      </c>
      <c r="R905" t="s">
        <v>35</v>
      </c>
      <c r="S905" s="2">
        <v>3</v>
      </c>
      <c r="T905" s="2">
        <v>2</v>
      </c>
      <c r="U905">
        <v>80</v>
      </c>
      <c r="V905" s="2">
        <v>6</v>
      </c>
      <c r="W905">
        <v>2</v>
      </c>
      <c r="X905">
        <v>3</v>
      </c>
      <c r="Y905">
        <v>6</v>
      </c>
      <c r="Z905">
        <v>0</v>
      </c>
      <c r="AA905">
        <v>1</v>
      </c>
      <c r="AB905">
        <v>0</v>
      </c>
    </row>
    <row r="906" spans="1:28" x14ac:dyDescent="0.35">
      <c r="A906" s="2">
        <v>48</v>
      </c>
      <c r="B906" s="2" t="str" cm="1">
        <f t="array" ref="B906">_xlfn.IFS(HR_table[[#This Row],[Age]]&lt;=20, "Under 20yrs",HR_table[[#This Row],[Age]]&lt;=30,"(21-30)yrs",HR_table[[#This Row],[Age]]&lt;=40,"(31-40)yrs",HR_table[[#This Row],[Age]]&lt;=50,"(41-50)yrs",HR_table[[#This Row],[Age]]&lt;=60,"(51-60)yrs")</f>
        <v>(41-50)yrs</v>
      </c>
      <c r="C906" t="s">
        <v>43</v>
      </c>
      <c r="D906" t="s">
        <v>36</v>
      </c>
      <c r="E906" t="s">
        <v>45</v>
      </c>
      <c r="F906" t="s">
        <v>38</v>
      </c>
      <c r="G906" t="s">
        <v>58</v>
      </c>
      <c r="H906">
        <v>1263</v>
      </c>
      <c r="I906" s="2">
        <v>1</v>
      </c>
      <c r="J906" s="2">
        <v>4</v>
      </c>
      <c r="K906" t="s">
        <v>46</v>
      </c>
      <c r="L906" s="2">
        <v>5</v>
      </c>
      <c r="M906" s="2">
        <v>4</v>
      </c>
      <c r="N906" t="s">
        <v>41</v>
      </c>
      <c r="O906" s="2">
        <v>18265</v>
      </c>
      <c r="P906" s="2">
        <v>8733</v>
      </c>
      <c r="Q906" s="2">
        <v>6</v>
      </c>
      <c r="R906" t="s">
        <v>43</v>
      </c>
      <c r="S906" s="2">
        <v>3</v>
      </c>
      <c r="T906" s="2">
        <v>3</v>
      </c>
      <c r="U906">
        <v>80</v>
      </c>
      <c r="V906" s="2">
        <v>25</v>
      </c>
      <c r="W906">
        <v>3</v>
      </c>
      <c r="X906">
        <v>4</v>
      </c>
      <c r="Y906">
        <v>1</v>
      </c>
      <c r="Z906">
        <v>0</v>
      </c>
      <c r="AA906">
        <v>0</v>
      </c>
      <c r="AB906">
        <v>0</v>
      </c>
    </row>
    <row r="907" spans="1:28" x14ac:dyDescent="0.35">
      <c r="A907" s="2">
        <v>29</v>
      </c>
      <c r="B907" s="2" t="str" cm="1">
        <f t="array" ref="B907">_xlfn.IFS(HR_table[[#This Row],[Age]]&lt;=20, "Under 20yrs",HR_table[[#This Row],[Age]]&lt;=30,"(21-30)yrs",HR_table[[#This Row],[Age]]&lt;=40,"(31-40)yrs",HR_table[[#This Row],[Age]]&lt;=50,"(41-50)yrs",HR_table[[#This Row],[Age]]&lt;=60,"(51-60)yrs")</f>
        <v>(21-30)yrs</v>
      </c>
      <c r="C907" t="s">
        <v>43</v>
      </c>
      <c r="D907" t="s">
        <v>36</v>
      </c>
      <c r="E907" t="s">
        <v>45</v>
      </c>
      <c r="F907" t="s">
        <v>38</v>
      </c>
      <c r="G907" t="s">
        <v>58</v>
      </c>
      <c r="H907">
        <v>1264</v>
      </c>
      <c r="I907" s="2">
        <v>1</v>
      </c>
      <c r="J907" s="2">
        <v>4</v>
      </c>
      <c r="K907" t="s">
        <v>39</v>
      </c>
      <c r="L907" s="2">
        <v>4</v>
      </c>
      <c r="M907" s="2">
        <v>4</v>
      </c>
      <c r="N907" t="s">
        <v>52</v>
      </c>
      <c r="O907" s="2">
        <v>16124</v>
      </c>
      <c r="P907" s="2">
        <v>3423</v>
      </c>
      <c r="Q907" s="2">
        <v>3</v>
      </c>
      <c r="R907" t="s">
        <v>43</v>
      </c>
      <c r="S907" s="2">
        <v>3</v>
      </c>
      <c r="T907" s="2">
        <v>2</v>
      </c>
      <c r="U907">
        <v>80</v>
      </c>
      <c r="V907" s="2">
        <v>9</v>
      </c>
      <c r="W907">
        <v>2</v>
      </c>
      <c r="X907">
        <v>2</v>
      </c>
      <c r="Y907">
        <v>7</v>
      </c>
      <c r="Z907">
        <v>7</v>
      </c>
      <c r="AA907">
        <v>1</v>
      </c>
      <c r="AB907">
        <v>7</v>
      </c>
    </row>
    <row r="908" spans="1:28" x14ac:dyDescent="0.35">
      <c r="A908" s="2">
        <v>34</v>
      </c>
      <c r="B908" s="2" t="str" cm="1">
        <f t="array" ref="B908">_xlfn.IFS(HR_table[[#This Row],[Age]]&lt;=20, "Under 20yrs",HR_table[[#This Row],[Age]]&lt;=30,"(21-30)yrs",HR_table[[#This Row],[Age]]&lt;=40,"(31-40)yrs",HR_table[[#This Row],[Age]]&lt;=50,"(41-50)yrs",HR_table[[#This Row],[Age]]&lt;=60,"(51-60)yrs")</f>
        <v>(31-40)yrs</v>
      </c>
      <c r="C908" t="s">
        <v>43</v>
      </c>
      <c r="D908" t="s">
        <v>36</v>
      </c>
      <c r="E908" t="s">
        <v>45</v>
      </c>
      <c r="F908" t="s">
        <v>60</v>
      </c>
      <c r="G908" t="s">
        <v>47</v>
      </c>
      <c r="H908">
        <v>1265</v>
      </c>
      <c r="I908" s="2">
        <v>20</v>
      </c>
      <c r="J908" s="2">
        <v>3</v>
      </c>
      <c r="K908" t="s">
        <v>39</v>
      </c>
      <c r="L908" s="2">
        <v>1</v>
      </c>
      <c r="M908" s="2">
        <v>3</v>
      </c>
      <c r="N908" t="s">
        <v>48</v>
      </c>
      <c r="O908" s="2">
        <v>2585</v>
      </c>
      <c r="P908" s="2">
        <v>21643</v>
      </c>
      <c r="Q908" s="2">
        <v>0</v>
      </c>
      <c r="R908" t="s">
        <v>43</v>
      </c>
      <c r="S908" s="2">
        <v>3</v>
      </c>
      <c r="T908" s="2">
        <v>4</v>
      </c>
      <c r="U908">
        <v>80</v>
      </c>
      <c r="V908" s="2">
        <v>2</v>
      </c>
      <c r="W908">
        <v>5</v>
      </c>
      <c r="X908">
        <v>2</v>
      </c>
      <c r="Y908">
        <v>1</v>
      </c>
      <c r="Z908">
        <v>0</v>
      </c>
      <c r="AA908">
        <v>0</v>
      </c>
      <c r="AB908">
        <v>0</v>
      </c>
    </row>
    <row r="909" spans="1:28" x14ac:dyDescent="0.35">
      <c r="A909" s="2">
        <v>44</v>
      </c>
      <c r="B909" s="2" t="str" cm="1">
        <f t="array" ref="B909">_xlfn.IFS(HR_table[[#This Row],[Age]]&lt;=20, "Under 20yrs",HR_table[[#This Row],[Age]]&lt;=30,"(21-30)yrs",HR_table[[#This Row],[Age]]&lt;=40,"(31-40)yrs",HR_table[[#This Row],[Age]]&lt;=50,"(41-50)yrs",HR_table[[#This Row],[Age]]&lt;=60,"(51-60)yrs")</f>
        <v>(41-50)yrs</v>
      </c>
      <c r="C909" t="s">
        <v>43</v>
      </c>
      <c r="D909" t="s">
        <v>36</v>
      </c>
      <c r="E909" t="s">
        <v>37</v>
      </c>
      <c r="F909" t="s">
        <v>59</v>
      </c>
      <c r="G909" t="s">
        <v>56</v>
      </c>
      <c r="H909">
        <v>1267</v>
      </c>
      <c r="I909" s="2">
        <v>5</v>
      </c>
      <c r="J909" s="2">
        <v>2</v>
      </c>
      <c r="K909" t="s">
        <v>46</v>
      </c>
      <c r="L909" s="2">
        <v>5</v>
      </c>
      <c r="M909" s="2">
        <v>2</v>
      </c>
      <c r="N909" t="s">
        <v>48</v>
      </c>
      <c r="O909" s="2">
        <v>18213</v>
      </c>
      <c r="P909" s="2">
        <v>8751</v>
      </c>
      <c r="Q909" s="2">
        <v>7</v>
      </c>
      <c r="R909" t="s">
        <v>43</v>
      </c>
      <c r="S909" s="2">
        <v>3</v>
      </c>
      <c r="T909" s="2">
        <v>3</v>
      </c>
      <c r="U909">
        <v>80</v>
      </c>
      <c r="V909" s="2">
        <v>26</v>
      </c>
      <c r="W909">
        <v>5</v>
      </c>
      <c r="X909">
        <v>3</v>
      </c>
      <c r="Y909">
        <v>22</v>
      </c>
      <c r="Z909">
        <v>9</v>
      </c>
      <c r="AA909">
        <v>3</v>
      </c>
      <c r="AB909">
        <v>10</v>
      </c>
    </row>
    <row r="910" spans="1:28" x14ac:dyDescent="0.35">
      <c r="A910" s="2">
        <v>33</v>
      </c>
      <c r="B910" s="2" t="str" cm="1">
        <f t="array" ref="B910">_xlfn.IFS(HR_table[[#This Row],[Age]]&lt;=20, "Under 20yrs",HR_table[[#This Row],[Age]]&lt;=30,"(21-30)yrs",HR_table[[#This Row],[Age]]&lt;=40,"(31-40)yrs",HR_table[[#This Row],[Age]]&lt;=50,"(41-50)yrs",HR_table[[#This Row],[Age]]&lt;=60,"(51-60)yrs")</f>
        <v>(31-40)yrs</v>
      </c>
      <c r="C910" t="s">
        <v>43</v>
      </c>
      <c r="D910" t="s">
        <v>36</v>
      </c>
      <c r="E910" t="s">
        <v>37</v>
      </c>
      <c r="F910" t="s">
        <v>59</v>
      </c>
      <c r="G910" t="s">
        <v>40</v>
      </c>
      <c r="H910">
        <v>1268</v>
      </c>
      <c r="I910" s="2">
        <v>10</v>
      </c>
      <c r="J910" s="2">
        <v>4</v>
      </c>
      <c r="K910" t="s">
        <v>46</v>
      </c>
      <c r="L910" s="2">
        <v>3</v>
      </c>
      <c r="M910" s="2">
        <v>3</v>
      </c>
      <c r="N910" t="s">
        <v>52</v>
      </c>
      <c r="O910" s="2">
        <v>8380</v>
      </c>
      <c r="P910" s="2">
        <v>21708</v>
      </c>
      <c r="Q910" s="2">
        <v>0</v>
      </c>
      <c r="R910" t="s">
        <v>35</v>
      </c>
      <c r="S910" s="2">
        <v>3</v>
      </c>
      <c r="T910" s="2">
        <v>4</v>
      </c>
      <c r="U910">
        <v>80</v>
      </c>
      <c r="V910" s="2">
        <v>10</v>
      </c>
      <c r="W910">
        <v>3</v>
      </c>
      <c r="X910">
        <v>3</v>
      </c>
      <c r="Y910">
        <v>9</v>
      </c>
      <c r="Z910">
        <v>8</v>
      </c>
      <c r="AA910">
        <v>0</v>
      </c>
      <c r="AB910">
        <v>8</v>
      </c>
    </row>
    <row r="911" spans="1:28" x14ac:dyDescent="0.35">
      <c r="A911" s="2">
        <v>19</v>
      </c>
      <c r="B911" s="2" t="str" cm="1">
        <f t="array" ref="B911">_xlfn.IFS(HR_table[[#This Row],[Age]]&lt;=20, "Under 20yrs",HR_table[[#This Row],[Age]]&lt;=30,"(21-30)yrs",HR_table[[#This Row],[Age]]&lt;=40,"(31-40)yrs",HR_table[[#This Row],[Age]]&lt;=50,"(41-50)yrs",HR_table[[#This Row],[Age]]&lt;=60,"(51-60)yrs")</f>
        <v>Under 20yrs</v>
      </c>
      <c r="C911" t="s">
        <v>43</v>
      </c>
      <c r="D911" t="s">
        <v>36</v>
      </c>
      <c r="E911" t="s">
        <v>45</v>
      </c>
      <c r="F911" t="s">
        <v>38</v>
      </c>
      <c r="G911" t="s">
        <v>47</v>
      </c>
      <c r="H911">
        <v>1269</v>
      </c>
      <c r="I911" s="2">
        <v>25</v>
      </c>
      <c r="J911" s="2">
        <v>2</v>
      </c>
      <c r="K911" t="s">
        <v>39</v>
      </c>
      <c r="L911" s="2">
        <v>1</v>
      </c>
      <c r="M911" s="2">
        <v>4</v>
      </c>
      <c r="N911" t="s">
        <v>41</v>
      </c>
      <c r="O911" s="2">
        <v>2994</v>
      </c>
      <c r="P911" s="2">
        <v>21221</v>
      </c>
      <c r="Q911" s="2">
        <v>1</v>
      </c>
      <c r="R911" t="s">
        <v>35</v>
      </c>
      <c r="S911" s="2">
        <v>3</v>
      </c>
      <c r="T911" s="2">
        <v>4</v>
      </c>
      <c r="U911">
        <v>80</v>
      </c>
      <c r="V911" s="2">
        <v>1</v>
      </c>
      <c r="W911">
        <v>2</v>
      </c>
      <c r="X911">
        <v>3</v>
      </c>
      <c r="Y911">
        <v>1</v>
      </c>
      <c r="Z911">
        <v>0</v>
      </c>
      <c r="AA911">
        <v>0</v>
      </c>
      <c r="AB911">
        <v>1</v>
      </c>
    </row>
    <row r="912" spans="1:28" x14ac:dyDescent="0.35">
      <c r="A912" s="2">
        <v>23</v>
      </c>
      <c r="B912" s="2" t="str" cm="1">
        <f t="array" ref="B912">_xlfn.IFS(HR_table[[#This Row],[Age]]&lt;=20, "Under 20yrs",HR_table[[#This Row],[Age]]&lt;=30,"(21-30)yrs",HR_table[[#This Row],[Age]]&lt;=40,"(31-40)yrs",HR_table[[#This Row],[Age]]&lt;=50,"(41-50)yrs",HR_table[[#This Row],[Age]]&lt;=60,"(51-60)yrs")</f>
        <v>(21-30)yrs</v>
      </c>
      <c r="C912" t="s">
        <v>43</v>
      </c>
      <c r="D912" t="s">
        <v>36</v>
      </c>
      <c r="E912" t="s">
        <v>45</v>
      </c>
      <c r="F912" t="s">
        <v>38</v>
      </c>
      <c r="G912" t="s">
        <v>47</v>
      </c>
      <c r="H912">
        <v>1270</v>
      </c>
      <c r="I912" s="2">
        <v>1</v>
      </c>
      <c r="J912" s="2">
        <v>4</v>
      </c>
      <c r="K912" t="s">
        <v>46</v>
      </c>
      <c r="L912" s="2">
        <v>1</v>
      </c>
      <c r="M912" s="2">
        <v>3</v>
      </c>
      <c r="N912" t="s">
        <v>48</v>
      </c>
      <c r="O912" s="2">
        <v>1223</v>
      </c>
      <c r="P912" s="2">
        <v>16901</v>
      </c>
      <c r="Q912" s="2">
        <v>1</v>
      </c>
      <c r="R912" t="s">
        <v>43</v>
      </c>
      <c r="S912" s="2">
        <v>4</v>
      </c>
      <c r="T912" s="2">
        <v>4</v>
      </c>
      <c r="U912">
        <v>80</v>
      </c>
      <c r="V912" s="2">
        <v>1</v>
      </c>
      <c r="W912">
        <v>2</v>
      </c>
      <c r="X912">
        <v>3</v>
      </c>
      <c r="Y912">
        <v>1</v>
      </c>
      <c r="Z912">
        <v>0</v>
      </c>
      <c r="AA912">
        <v>0</v>
      </c>
      <c r="AB912">
        <v>1</v>
      </c>
    </row>
    <row r="913" spans="1:28" x14ac:dyDescent="0.35">
      <c r="A913" s="2">
        <v>25</v>
      </c>
      <c r="B913" s="2" t="str" cm="1">
        <f t="array" ref="B913">_xlfn.IFS(HR_table[[#This Row],[Age]]&lt;=20, "Under 20yrs",HR_table[[#This Row],[Age]]&lt;=30,"(21-30)yrs",HR_table[[#This Row],[Age]]&lt;=40,"(31-40)yrs",HR_table[[#This Row],[Age]]&lt;=50,"(41-50)yrs",HR_table[[#This Row],[Age]]&lt;=60,"(51-60)yrs")</f>
        <v>(21-30)yrs</v>
      </c>
      <c r="C913" t="s">
        <v>35</v>
      </c>
      <c r="D913" t="s">
        <v>44</v>
      </c>
      <c r="E913" t="s">
        <v>37</v>
      </c>
      <c r="F913" t="s">
        <v>38</v>
      </c>
      <c r="G913" t="s">
        <v>57</v>
      </c>
      <c r="H913">
        <v>1273</v>
      </c>
      <c r="I913" s="2">
        <v>24</v>
      </c>
      <c r="J913" s="2">
        <v>3</v>
      </c>
      <c r="K913" t="s">
        <v>46</v>
      </c>
      <c r="L913" s="2">
        <v>1</v>
      </c>
      <c r="M913" s="2">
        <v>4</v>
      </c>
      <c r="N913" t="s">
        <v>41</v>
      </c>
      <c r="O913" s="2">
        <v>1118</v>
      </c>
      <c r="P913" s="2">
        <v>8040</v>
      </c>
      <c r="Q913" s="2">
        <v>1</v>
      </c>
      <c r="R913" t="s">
        <v>35</v>
      </c>
      <c r="S913" s="2">
        <v>3</v>
      </c>
      <c r="T913" s="2">
        <v>4</v>
      </c>
      <c r="U913">
        <v>80</v>
      </c>
      <c r="V913" s="2">
        <v>1</v>
      </c>
      <c r="W913">
        <v>4</v>
      </c>
      <c r="X913">
        <v>3</v>
      </c>
      <c r="Y913">
        <v>1</v>
      </c>
      <c r="Z913">
        <v>0</v>
      </c>
      <c r="AA913">
        <v>1</v>
      </c>
      <c r="AB913">
        <v>0</v>
      </c>
    </row>
    <row r="914" spans="1:28" x14ac:dyDescent="0.35">
      <c r="A914" s="2">
        <v>26</v>
      </c>
      <c r="B914" s="2" t="str" cm="1">
        <f t="array" ref="B914">_xlfn.IFS(HR_table[[#This Row],[Age]]&lt;=20, "Under 20yrs",HR_table[[#This Row],[Age]]&lt;=30,"(21-30)yrs",HR_table[[#This Row],[Age]]&lt;=40,"(31-40)yrs",HR_table[[#This Row],[Age]]&lt;=50,"(41-50)yrs",HR_table[[#This Row],[Age]]&lt;=60,"(51-60)yrs")</f>
        <v>(21-30)yrs</v>
      </c>
      <c r="C914" t="s">
        <v>43</v>
      </c>
      <c r="D914" t="s">
        <v>36</v>
      </c>
      <c r="E914" t="s">
        <v>45</v>
      </c>
      <c r="F914" t="s">
        <v>38</v>
      </c>
      <c r="G914" t="s">
        <v>47</v>
      </c>
      <c r="H914">
        <v>1275</v>
      </c>
      <c r="I914" s="2">
        <v>4</v>
      </c>
      <c r="J914" s="2">
        <v>3</v>
      </c>
      <c r="K914" t="s">
        <v>46</v>
      </c>
      <c r="L914" s="2">
        <v>1</v>
      </c>
      <c r="M914" s="2">
        <v>4</v>
      </c>
      <c r="N914" t="s">
        <v>41</v>
      </c>
      <c r="O914" s="2">
        <v>2875</v>
      </c>
      <c r="P914" s="2">
        <v>9973</v>
      </c>
      <c r="Q914" s="2">
        <v>1</v>
      </c>
      <c r="R914" t="s">
        <v>35</v>
      </c>
      <c r="S914" s="2">
        <v>4</v>
      </c>
      <c r="T914" s="2">
        <v>2</v>
      </c>
      <c r="U914">
        <v>80</v>
      </c>
      <c r="V914" s="2">
        <v>8</v>
      </c>
      <c r="W914">
        <v>2</v>
      </c>
      <c r="X914">
        <v>2</v>
      </c>
      <c r="Y914">
        <v>8</v>
      </c>
      <c r="Z914">
        <v>5</v>
      </c>
      <c r="AA914">
        <v>2</v>
      </c>
      <c r="AB914">
        <v>2</v>
      </c>
    </row>
    <row r="915" spans="1:28" x14ac:dyDescent="0.35">
      <c r="A915" s="2">
        <v>45</v>
      </c>
      <c r="B915" s="2" t="str" cm="1">
        <f t="array" ref="B915">_xlfn.IFS(HR_table[[#This Row],[Age]]&lt;=20, "Under 20yrs",HR_table[[#This Row],[Age]]&lt;=30,"(21-30)yrs",HR_table[[#This Row],[Age]]&lt;=40,"(31-40)yrs",HR_table[[#This Row],[Age]]&lt;=50,"(41-50)yrs",HR_table[[#This Row],[Age]]&lt;=60,"(51-60)yrs")</f>
        <v>(41-50)yrs</v>
      </c>
      <c r="C915" t="s">
        <v>35</v>
      </c>
      <c r="D915" t="s">
        <v>36</v>
      </c>
      <c r="E915" t="s">
        <v>37</v>
      </c>
      <c r="F915" t="s">
        <v>59</v>
      </c>
      <c r="G915" t="s">
        <v>56</v>
      </c>
      <c r="H915">
        <v>1277</v>
      </c>
      <c r="I915" s="2">
        <v>2</v>
      </c>
      <c r="J915" s="2">
        <v>1</v>
      </c>
      <c r="K915" t="s">
        <v>39</v>
      </c>
      <c r="L915" s="2">
        <v>5</v>
      </c>
      <c r="M915" s="2">
        <v>2</v>
      </c>
      <c r="N915" t="s">
        <v>41</v>
      </c>
      <c r="O915" s="2">
        <v>18824</v>
      </c>
      <c r="P915" s="2">
        <v>2493</v>
      </c>
      <c r="Q915" s="2">
        <v>2</v>
      </c>
      <c r="R915" t="s">
        <v>35</v>
      </c>
      <c r="S915" s="2">
        <v>3</v>
      </c>
      <c r="T915" s="2">
        <v>1</v>
      </c>
      <c r="U915">
        <v>80</v>
      </c>
      <c r="V915" s="2">
        <v>26</v>
      </c>
      <c r="W915">
        <v>2</v>
      </c>
      <c r="X915">
        <v>3</v>
      </c>
      <c r="Y915">
        <v>24</v>
      </c>
      <c r="Z915">
        <v>10</v>
      </c>
      <c r="AA915">
        <v>1</v>
      </c>
      <c r="AB915">
        <v>11</v>
      </c>
    </row>
    <row r="916" spans="1:28" x14ac:dyDescent="0.35">
      <c r="A916" s="2">
        <v>55</v>
      </c>
      <c r="B916" s="2" t="str" cm="1">
        <f t="array" ref="B916">_xlfn.IFS(HR_table[[#This Row],[Age]]&lt;=20, "Under 20yrs",HR_table[[#This Row],[Age]]&lt;=30,"(21-30)yrs",HR_table[[#This Row],[Age]]&lt;=40,"(31-40)yrs",HR_table[[#This Row],[Age]]&lt;=50,"(41-50)yrs",HR_table[[#This Row],[Age]]&lt;=60,"(51-60)yrs")</f>
        <v>(51-60)yrs</v>
      </c>
      <c r="C916" t="s">
        <v>43</v>
      </c>
      <c r="D916" t="s">
        <v>55</v>
      </c>
      <c r="E916" t="s">
        <v>45</v>
      </c>
      <c r="F916" t="s">
        <v>51</v>
      </c>
      <c r="G916" t="s">
        <v>54</v>
      </c>
      <c r="H916">
        <v>1278</v>
      </c>
      <c r="I916" s="2">
        <v>8</v>
      </c>
      <c r="J916" s="2">
        <v>4</v>
      </c>
      <c r="K916" t="s">
        <v>46</v>
      </c>
      <c r="L916" s="2">
        <v>4</v>
      </c>
      <c r="M916" s="2">
        <v>2</v>
      </c>
      <c r="N916" t="s">
        <v>52</v>
      </c>
      <c r="O916" s="2">
        <v>13577</v>
      </c>
      <c r="P916" s="2">
        <v>25592</v>
      </c>
      <c r="Q916" s="2">
        <v>1</v>
      </c>
      <c r="R916" t="s">
        <v>35</v>
      </c>
      <c r="S916" s="2">
        <v>3</v>
      </c>
      <c r="T916" s="2">
        <v>4</v>
      </c>
      <c r="U916">
        <v>80</v>
      </c>
      <c r="V916" s="2">
        <v>34</v>
      </c>
      <c r="W916">
        <v>3</v>
      </c>
      <c r="X916">
        <v>3</v>
      </c>
      <c r="Y916">
        <v>33</v>
      </c>
      <c r="Z916">
        <v>9</v>
      </c>
      <c r="AA916">
        <v>15</v>
      </c>
      <c r="AB916">
        <v>0</v>
      </c>
    </row>
    <row r="917" spans="1:28" x14ac:dyDescent="0.35">
      <c r="A917" s="2">
        <v>21</v>
      </c>
      <c r="B917" s="2" t="str" cm="1">
        <f t="array" ref="B917">_xlfn.IFS(HR_table[[#This Row],[Age]]&lt;=20, "Under 20yrs",HR_table[[#This Row],[Age]]&lt;=30,"(21-30)yrs",HR_table[[#This Row],[Age]]&lt;=40,"(31-40)yrs",HR_table[[#This Row],[Age]]&lt;=50,"(41-50)yrs",HR_table[[#This Row],[Age]]&lt;=60,"(51-60)yrs")</f>
        <v>(21-30)yrs</v>
      </c>
      <c r="C917" t="s">
        <v>35</v>
      </c>
      <c r="D917" t="s">
        <v>44</v>
      </c>
      <c r="E917" t="s">
        <v>45</v>
      </c>
      <c r="F917" t="s">
        <v>38</v>
      </c>
      <c r="G917" t="s">
        <v>50</v>
      </c>
      <c r="H917">
        <v>1279</v>
      </c>
      <c r="I917" s="2">
        <v>10</v>
      </c>
      <c r="J917" s="2">
        <v>1</v>
      </c>
      <c r="K917" t="s">
        <v>39</v>
      </c>
      <c r="L917" s="2">
        <v>1</v>
      </c>
      <c r="M917" s="2">
        <v>3</v>
      </c>
      <c r="N917" t="s">
        <v>41</v>
      </c>
      <c r="O917" s="2">
        <v>2625</v>
      </c>
      <c r="P917" s="2">
        <v>25308</v>
      </c>
      <c r="Q917" s="2">
        <v>1</v>
      </c>
      <c r="R917" t="s">
        <v>43</v>
      </c>
      <c r="S917" s="2">
        <v>4</v>
      </c>
      <c r="T917" s="2">
        <v>3</v>
      </c>
      <c r="U917">
        <v>80</v>
      </c>
      <c r="V917" s="2">
        <v>2</v>
      </c>
      <c r="W917">
        <v>2</v>
      </c>
      <c r="X917">
        <v>1</v>
      </c>
      <c r="Y917">
        <v>2</v>
      </c>
      <c r="Z917">
        <v>2</v>
      </c>
      <c r="AA917">
        <v>2</v>
      </c>
      <c r="AB917">
        <v>2</v>
      </c>
    </row>
    <row r="918" spans="1:28" x14ac:dyDescent="0.35">
      <c r="A918" s="2">
        <v>46</v>
      </c>
      <c r="B918" s="2" t="str" cm="1">
        <f t="array" ref="B918">_xlfn.IFS(HR_table[[#This Row],[Age]]&lt;=20, "Under 20yrs",HR_table[[#This Row],[Age]]&lt;=30,"(21-30)yrs",HR_table[[#This Row],[Age]]&lt;=40,"(31-40)yrs",HR_table[[#This Row],[Age]]&lt;=50,"(41-50)yrs",HR_table[[#This Row],[Age]]&lt;=60,"(51-60)yrs")</f>
        <v>(41-50)yrs</v>
      </c>
      <c r="C918" t="s">
        <v>43</v>
      </c>
      <c r="D918" t="s">
        <v>36</v>
      </c>
      <c r="E918" t="s">
        <v>37</v>
      </c>
      <c r="F918" t="s">
        <v>59</v>
      </c>
      <c r="G918" t="s">
        <v>56</v>
      </c>
      <c r="H918">
        <v>1280</v>
      </c>
      <c r="I918" s="2">
        <v>4</v>
      </c>
      <c r="J918" s="2">
        <v>4</v>
      </c>
      <c r="K918" t="s">
        <v>39</v>
      </c>
      <c r="L918" s="2">
        <v>5</v>
      </c>
      <c r="M918" s="2">
        <v>2</v>
      </c>
      <c r="N918" t="s">
        <v>48</v>
      </c>
      <c r="O918" s="2">
        <v>18789</v>
      </c>
      <c r="P918" s="2">
        <v>9946</v>
      </c>
      <c r="Q918" s="2">
        <v>2</v>
      </c>
      <c r="R918" t="s">
        <v>43</v>
      </c>
      <c r="S918" s="2">
        <v>3</v>
      </c>
      <c r="T918" s="2">
        <v>3</v>
      </c>
      <c r="U918">
        <v>80</v>
      </c>
      <c r="V918" s="2">
        <v>26</v>
      </c>
      <c r="W918">
        <v>2</v>
      </c>
      <c r="X918">
        <v>3</v>
      </c>
      <c r="Y918">
        <v>11</v>
      </c>
      <c r="Z918">
        <v>4</v>
      </c>
      <c r="AA918">
        <v>0</v>
      </c>
      <c r="AB918">
        <v>8</v>
      </c>
    </row>
    <row r="919" spans="1:28" x14ac:dyDescent="0.35">
      <c r="A919" s="2">
        <v>34</v>
      </c>
      <c r="B919" s="2" t="str" cm="1">
        <f t="array" ref="B919">_xlfn.IFS(HR_table[[#This Row],[Age]]&lt;=20, "Under 20yrs",HR_table[[#This Row],[Age]]&lt;=30,"(21-30)yrs",HR_table[[#This Row],[Age]]&lt;=40,"(31-40)yrs",HR_table[[#This Row],[Age]]&lt;=50,"(41-50)yrs",HR_table[[#This Row],[Age]]&lt;=60,"(51-60)yrs")</f>
        <v>(31-40)yrs</v>
      </c>
      <c r="C919" t="s">
        <v>43</v>
      </c>
      <c r="D919" t="s">
        <v>36</v>
      </c>
      <c r="E919" t="s">
        <v>37</v>
      </c>
      <c r="F919" t="s">
        <v>59</v>
      </c>
      <c r="G919" t="s">
        <v>40</v>
      </c>
      <c r="H919">
        <v>1281</v>
      </c>
      <c r="I919" s="2">
        <v>2</v>
      </c>
      <c r="J919" s="2">
        <v>3</v>
      </c>
      <c r="K919" t="s">
        <v>39</v>
      </c>
      <c r="L919" s="2">
        <v>2</v>
      </c>
      <c r="M919" s="2">
        <v>1</v>
      </c>
      <c r="N919" t="s">
        <v>41</v>
      </c>
      <c r="O919" s="2">
        <v>4538</v>
      </c>
      <c r="P919" s="2">
        <v>6039</v>
      </c>
      <c r="Q919" s="2">
        <v>0</v>
      </c>
      <c r="R919" t="s">
        <v>35</v>
      </c>
      <c r="S919" s="2">
        <v>3</v>
      </c>
      <c r="T919" s="2">
        <v>4</v>
      </c>
      <c r="U919">
        <v>80</v>
      </c>
      <c r="V919" s="2">
        <v>4</v>
      </c>
      <c r="W919">
        <v>3</v>
      </c>
      <c r="X919">
        <v>3</v>
      </c>
      <c r="Y919">
        <v>3</v>
      </c>
      <c r="Z919">
        <v>2</v>
      </c>
      <c r="AA919">
        <v>0</v>
      </c>
      <c r="AB919">
        <v>2</v>
      </c>
    </row>
    <row r="920" spans="1:28" x14ac:dyDescent="0.35">
      <c r="A920" s="2">
        <v>51</v>
      </c>
      <c r="B920" s="2" t="str" cm="1">
        <f t="array" ref="B920">_xlfn.IFS(HR_table[[#This Row],[Age]]&lt;=20, "Under 20yrs",HR_table[[#This Row],[Age]]&lt;=30,"(21-30)yrs",HR_table[[#This Row],[Age]]&lt;=40,"(31-40)yrs",HR_table[[#This Row],[Age]]&lt;=50,"(41-50)yrs",HR_table[[#This Row],[Age]]&lt;=60,"(51-60)yrs")</f>
        <v>(51-60)yrs</v>
      </c>
      <c r="C920" t="s">
        <v>43</v>
      </c>
      <c r="D920" t="s">
        <v>44</v>
      </c>
      <c r="E920" t="s">
        <v>37</v>
      </c>
      <c r="F920" t="s">
        <v>38</v>
      </c>
      <c r="G920" t="s">
        <v>56</v>
      </c>
      <c r="H920">
        <v>1282</v>
      </c>
      <c r="I920" s="2">
        <v>9</v>
      </c>
      <c r="J920" s="2">
        <v>4</v>
      </c>
      <c r="K920" t="s">
        <v>46</v>
      </c>
      <c r="L920" s="2">
        <v>5</v>
      </c>
      <c r="M920" s="2">
        <v>2</v>
      </c>
      <c r="N920" t="s">
        <v>52</v>
      </c>
      <c r="O920" s="2">
        <v>19847</v>
      </c>
      <c r="P920" s="2">
        <v>19196</v>
      </c>
      <c r="Q920" s="2">
        <v>4</v>
      </c>
      <c r="R920" t="s">
        <v>35</v>
      </c>
      <c r="S920" s="2">
        <v>4</v>
      </c>
      <c r="T920" s="2">
        <v>1</v>
      </c>
      <c r="U920">
        <v>80</v>
      </c>
      <c r="V920" s="2">
        <v>31</v>
      </c>
      <c r="W920">
        <v>5</v>
      </c>
      <c r="X920">
        <v>2</v>
      </c>
      <c r="Y920">
        <v>29</v>
      </c>
      <c r="Z920">
        <v>10</v>
      </c>
      <c r="AA920">
        <v>11</v>
      </c>
      <c r="AB920">
        <v>10</v>
      </c>
    </row>
    <row r="921" spans="1:28" x14ac:dyDescent="0.35">
      <c r="A921" s="2">
        <v>59</v>
      </c>
      <c r="B921" s="2" t="str" cm="1">
        <f t="array" ref="B921">_xlfn.IFS(HR_table[[#This Row],[Age]]&lt;=20, "Under 20yrs",HR_table[[#This Row],[Age]]&lt;=30,"(21-30)yrs",HR_table[[#This Row],[Age]]&lt;=40,"(31-40)yrs",HR_table[[#This Row],[Age]]&lt;=50,"(41-50)yrs",HR_table[[#This Row],[Age]]&lt;=60,"(51-60)yrs")</f>
        <v>(51-60)yrs</v>
      </c>
      <c r="C921" t="s">
        <v>43</v>
      </c>
      <c r="D921" t="s">
        <v>36</v>
      </c>
      <c r="E921" t="s">
        <v>45</v>
      </c>
      <c r="F921" t="s">
        <v>51</v>
      </c>
      <c r="G921" t="s">
        <v>53</v>
      </c>
      <c r="H921">
        <v>1283</v>
      </c>
      <c r="I921" s="2">
        <v>18</v>
      </c>
      <c r="J921" s="2">
        <v>4</v>
      </c>
      <c r="K921" t="s">
        <v>46</v>
      </c>
      <c r="L921" s="2">
        <v>3</v>
      </c>
      <c r="M921" s="2">
        <v>4</v>
      </c>
      <c r="N921" t="s">
        <v>41</v>
      </c>
      <c r="O921" s="2">
        <v>10512</v>
      </c>
      <c r="P921" s="2">
        <v>20002</v>
      </c>
      <c r="Q921" s="2">
        <v>6</v>
      </c>
      <c r="R921" t="s">
        <v>43</v>
      </c>
      <c r="S921" s="2">
        <v>3</v>
      </c>
      <c r="T921" s="2">
        <v>4</v>
      </c>
      <c r="U921">
        <v>80</v>
      </c>
      <c r="V921" s="2">
        <v>25</v>
      </c>
      <c r="W921">
        <v>6</v>
      </c>
      <c r="X921">
        <v>2</v>
      </c>
      <c r="Y921">
        <v>9</v>
      </c>
      <c r="Z921">
        <v>7</v>
      </c>
      <c r="AA921">
        <v>5</v>
      </c>
      <c r="AB921">
        <v>4</v>
      </c>
    </row>
    <row r="922" spans="1:28" x14ac:dyDescent="0.35">
      <c r="A922" s="2">
        <v>34</v>
      </c>
      <c r="B922" s="2" t="str" cm="1">
        <f t="array" ref="B922">_xlfn.IFS(HR_table[[#This Row],[Age]]&lt;=20, "Under 20yrs",HR_table[[#This Row],[Age]]&lt;=30,"(21-30)yrs",HR_table[[#This Row],[Age]]&lt;=40,"(31-40)yrs",HR_table[[#This Row],[Age]]&lt;=50,"(41-50)yrs",HR_table[[#This Row],[Age]]&lt;=60,"(51-60)yrs")</f>
        <v>(31-40)yrs</v>
      </c>
      <c r="C922" t="s">
        <v>43</v>
      </c>
      <c r="D922" t="s">
        <v>44</v>
      </c>
      <c r="E922" t="s">
        <v>45</v>
      </c>
      <c r="F922" t="s">
        <v>51</v>
      </c>
      <c r="G922" t="s">
        <v>50</v>
      </c>
      <c r="H922">
        <v>1285</v>
      </c>
      <c r="I922" s="2">
        <v>19</v>
      </c>
      <c r="J922" s="2">
        <v>3</v>
      </c>
      <c r="K922" t="s">
        <v>39</v>
      </c>
      <c r="L922" s="2">
        <v>2</v>
      </c>
      <c r="M922" s="2">
        <v>2</v>
      </c>
      <c r="N922" t="s">
        <v>52</v>
      </c>
      <c r="O922" s="2">
        <v>4444</v>
      </c>
      <c r="P922" s="2">
        <v>22534</v>
      </c>
      <c r="Q922" s="2">
        <v>4</v>
      </c>
      <c r="R922" t="s">
        <v>43</v>
      </c>
      <c r="S922" s="2">
        <v>3</v>
      </c>
      <c r="T922" s="2">
        <v>3</v>
      </c>
      <c r="U922">
        <v>80</v>
      </c>
      <c r="V922" s="2">
        <v>15</v>
      </c>
      <c r="W922">
        <v>2</v>
      </c>
      <c r="X922">
        <v>4</v>
      </c>
      <c r="Y922">
        <v>11</v>
      </c>
      <c r="Z922">
        <v>8</v>
      </c>
      <c r="AA922">
        <v>5</v>
      </c>
      <c r="AB922">
        <v>10</v>
      </c>
    </row>
    <row r="923" spans="1:28" x14ac:dyDescent="0.35">
      <c r="A923" s="2">
        <v>28</v>
      </c>
      <c r="B923" s="2" t="str" cm="1">
        <f t="array" ref="B923">_xlfn.IFS(HR_table[[#This Row],[Age]]&lt;=20, "Under 20yrs",HR_table[[#This Row],[Age]]&lt;=30,"(21-30)yrs",HR_table[[#This Row],[Age]]&lt;=40,"(31-40)yrs",HR_table[[#This Row],[Age]]&lt;=50,"(41-50)yrs",HR_table[[#This Row],[Age]]&lt;=60,"(51-60)yrs")</f>
        <v>(21-30)yrs</v>
      </c>
      <c r="C923" t="s">
        <v>43</v>
      </c>
      <c r="D923" t="s">
        <v>44</v>
      </c>
      <c r="E923" t="s">
        <v>45</v>
      </c>
      <c r="F923" t="s">
        <v>51</v>
      </c>
      <c r="G923" t="s">
        <v>50</v>
      </c>
      <c r="H923">
        <v>1286</v>
      </c>
      <c r="I923" s="2">
        <v>1</v>
      </c>
      <c r="J923" s="2">
        <v>4</v>
      </c>
      <c r="K923" t="s">
        <v>46</v>
      </c>
      <c r="L923" s="2">
        <v>1</v>
      </c>
      <c r="M923" s="2">
        <v>3</v>
      </c>
      <c r="N923" t="s">
        <v>41</v>
      </c>
      <c r="O923" s="2">
        <v>2154</v>
      </c>
      <c r="P923" s="2">
        <v>6842</v>
      </c>
      <c r="Q923" s="2">
        <v>0</v>
      </c>
      <c r="R923" t="s">
        <v>35</v>
      </c>
      <c r="S923" s="2">
        <v>3</v>
      </c>
      <c r="T923" s="2">
        <v>3</v>
      </c>
      <c r="U923">
        <v>80</v>
      </c>
      <c r="V923" s="2">
        <v>5</v>
      </c>
      <c r="W923">
        <v>2</v>
      </c>
      <c r="X923">
        <v>2</v>
      </c>
      <c r="Y923">
        <v>4</v>
      </c>
      <c r="Z923">
        <v>2</v>
      </c>
      <c r="AA923">
        <v>0</v>
      </c>
      <c r="AB923">
        <v>2</v>
      </c>
    </row>
    <row r="924" spans="1:28" x14ac:dyDescent="0.35">
      <c r="A924" s="2">
        <v>44</v>
      </c>
      <c r="B924" s="2" t="str" cm="1">
        <f t="array" ref="B924">_xlfn.IFS(HR_table[[#This Row],[Age]]&lt;=20, "Under 20yrs",HR_table[[#This Row],[Age]]&lt;=30,"(21-30)yrs",HR_table[[#This Row],[Age]]&lt;=40,"(31-40)yrs",HR_table[[#This Row],[Age]]&lt;=50,"(41-50)yrs",HR_table[[#This Row],[Age]]&lt;=60,"(51-60)yrs")</f>
        <v>(41-50)yrs</v>
      </c>
      <c r="C924" t="s">
        <v>43</v>
      </c>
      <c r="D924" t="s">
        <v>36</v>
      </c>
      <c r="E924" t="s">
        <v>45</v>
      </c>
      <c r="F924" t="s">
        <v>38</v>
      </c>
      <c r="G924" t="s">
        <v>56</v>
      </c>
      <c r="H924">
        <v>1288</v>
      </c>
      <c r="I924" s="2">
        <v>4</v>
      </c>
      <c r="J924" s="2">
        <v>3</v>
      </c>
      <c r="K924" t="s">
        <v>46</v>
      </c>
      <c r="L924" s="2">
        <v>5</v>
      </c>
      <c r="M924" s="2">
        <v>1</v>
      </c>
      <c r="N924" t="s">
        <v>52</v>
      </c>
      <c r="O924" s="2">
        <v>19190</v>
      </c>
      <c r="P924" s="2">
        <v>17477</v>
      </c>
      <c r="Q924" s="2">
        <v>1</v>
      </c>
      <c r="R924" t="s">
        <v>43</v>
      </c>
      <c r="S924" s="2">
        <v>3</v>
      </c>
      <c r="T924" s="2">
        <v>4</v>
      </c>
      <c r="U924">
        <v>80</v>
      </c>
      <c r="V924" s="2">
        <v>26</v>
      </c>
      <c r="W924">
        <v>4</v>
      </c>
      <c r="X924">
        <v>2</v>
      </c>
      <c r="Y924">
        <v>25</v>
      </c>
      <c r="Z924">
        <v>9</v>
      </c>
      <c r="AA924">
        <v>14</v>
      </c>
      <c r="AB924">
        <v>13</v>
      </c>
    </row>
    <row r="925" spans="1:28" x14ac:dyDescent="0.35">
      <c r="A925" s="2">
        <v>34</v>
      </c>
      <c r="B925" s="2" t="str" cm="1">
        <f t="array" ref="B925">_xlfn.IFS(HR_table[[#This Row],[Age]]&lt;=20, "Under 20yrs",HR_table[[#This Row],[Age]]&lt;=30,"(21-30)yrs",HR_table[[#This Row],[Age]]&lt;=40,"(31-40)yrs",HR_table[[#This Row],[Age]]&lt;=50,"(41-50)yrs",HR_table[[#This Row],[Age]]&lt;=60,"(51-60)yrs")</f>
        <v>(31-40)yrs</v>
      </c>
      <c r="C925" t="s">
        <v>43</v>
      </c>
      <c r="D925" t="s">
        <v>44</v>
      </c>
      <c r="E925" t="s">
        <v>61</v>
      </c>
      <c r="F925" t="s">
        <v>38</v>
      </c>
      <c r="G925" t="s">
        <v>61</v>
      </c>
      <c r="H925">
        <v>1289</v>
      </c>
      <c r="I925" s="2">
        <v>11</v>
      </c>
      <c r="J925" s="2">
        <v>3</v>
      </c>
      <c r="K925" t="s">
        <v>46</v>
      </c>
      <c r="L925" s="2">
        <v>2</v>
      </c>
      <c r="M925" s="2">
        <v>2</v>
      </c>
      <c r="N925" t="s">
        <v>48</v>
      </c>
      <c r="O925" s="2">
        <v>4490</v>
      </c>
      <c r="P925" s="2">
        <v>21833</v>
      </c>
      <c r="Q925" s="2">
        <v>4</v>
      </c>
      <c r="R925" t="s">
        <v>43</v>
      </c>
      <c r="S925" s="2">
        <v>3</v>
      </c>
      <c r="T925" s="2">
        <v>4</v>
      </c>
      <c r="U925">
        <v>80</v>
      </c>
      <c r="V925" s="2">
        <v>14</v>
      </c>
      <c r="W925">
        <v>5</v>
      </c>
      <c r="X925">
        <v>4</v>
      </c>
      <c r="Y925">
        <v>10</v>
      </c>
      <c r="Z925">
        <v>9</v>
      </c>
      <c r="AA925">
        <v>1</v>
      </c>
      <c r="AB925">
        <v>8</v>
      </c>
    </row>
    <row r="926" spans="1:28" x14ac:dyDescent="0.35">
      <c r="A926" s="2">
        <v>35</v>
      </c>
      <c r="B926" s="2" t="str" cm="1">
        <f t="array" ref="B926">_xlfn.IFS(HR_table[[#This Row],[Age]]&lt;=20, "Under 20yrs",HR_table[[#This Row],[Age]]&lt;=30,"(21-30)yrs",HR_table[[#This Row],[Age]]&lt;=40,"(31-40)yrs",HR_table[[#This Row],[Age]]&lt;=50,"(41-50)yrs",HR_table[[#This Row],[Age]]&lt;=60,"(51-60)yrs")</f>
        <v>(31-40)yrs</v>
      </c>
      <c r="C926" t="s">
        <v>43</v>
      </c>
      <c r="D926" t="s">
        <v>36</v>
      </c>
      <c r="E926" t="s">
        <v>45</v>
      </c>
      <c r="F926" t="s">
        <v>38</v>
      </c>
      <c r="G926" t="s">
        <v>47</v>
      </c>
      <c r="H926">
        <v>1291</v>
      </c>
      <c r="I926" s="2">
        <v>6</v>
      </c>
      <c r="J926" s="2">
        <v>3</v>
      </c>
      <c r="K926" t="s">
        <v>46</v>
      </c>
      <c r="L926" s="2">
        <v>1</v>
      </c>
      <c r="M926" s="2">
        <v>3</v>
      </c>
      <c r="N926" t="s">
        <v>48</v>
      </c>
      <c r="O926" s="2">
        <v>3506</v>
      </c>
      <c r="P926" s="2">
        <v>6020</v>
      </c>
      <c r="Q926" s="2">
        <v>0</v>
      </c>
      <c r="R926" t="s">
        <v>35</v>
      </c>
      <c r="S926" s="2">
        <v>3</v>
      </c>
      <c r="T926" s="2">
        <v>4</v>
      </c>
      <c r="U926">
        <v>80</v>
      </c>
      <c r="V926" s="2">
        <v>4</v>
      </c>
      <c r="W926">
        <v>3</v>
      </c>
      <c r="X926">
        <v>3</v>
      </c>
      <c r="Y926">
        <v>3</v>
      </c>
      <c r="Z926">
        <v>2</v>
      </c>
      <c r="AA926">
        <v>2</v>
      </c>
      <c r="AB926">
        <v>2</v>
      </c>
    </row>
    <row r="927" spans="1:28" x14ac:dyDescent="0.35">
      <c r="A927" s="2">
        <v>42</v>
      </c>
      <c r="B927" s="2" t="str" cm="1">
        <f t="array" ref="B927">_xlfn.IFS(HR_table[[#This Row],[Age]]&lt;=20, "Under 20yrs",HR_table[[#This Row],[Age]]&lt;=30,"(21-30)yrs",HR_table[[#This Row],[Age]]&lt;=40,"(31-40)yrs",HR_table[[#This Row],[Age]]&lt;=50,"(41-50)yrs",HR_table[[#This Row],[Age]]&lt;=60,"(51-60)yrs")</f>
        <v>(41-50)yrs</v>
      </c>
      <c r="C927" t="s">
        <v>43</v>
      </c>
      <c r="D927" t="s">
        <v>36</v>
      </c>
      <c r="E927" t="s">
        <v>45</v>
      </c>
      <c r="F927" t="s">
        <v>51</v>
      </c>
      <c r="G927" t="s">
        <v>47</v>
      </c>
      <c r="H927">
        <v>1292</v>
      </c>
      <c r="I927" s="2">
        <v>7</v>
      </c>
      <c r="J927" s="2">
        <v>2</v>
      </c>
      <c r="K927" t="s">
        <v>39</v>
      </c>
      <c r="L927" s="2">
        <v>2</v>
      </c>
      <c r="M927" s="2">
        <v>2</v>
      </c>
      <c r="N927" t="s">
        <v>48</v>
      </c>
      <c r="O927" s="2">
        <v>2372</v>
      </c>
      <c r="P927" s="2">
        <v>5628</v>
      </c>
      <c r="Q927" s="2">
        <v>6</v>
      </c>
      <c r="R927" t="s">
        <v>35</v>
      </c>
      <c r="S927" s="2">
        <v>3</v>
      </c>
      <c r="T927" s="2">
        <v>4</v>
      </c>
      <c r="U927">
        <v>80</v>
      </c>
      <c r="V927" s="2">
        <v>18</v>
      </c>
      <c r="W927">
        <v>2</v>
      </c>
      <c r="X927">
        <v>3</v>
      </c>
      <c r="Y927">
        <v>1</v>
      </c>
      <c r="Z927">
        <v>0</v>
      </c>
      <c r="AA927">
        <v>0</v>
      </c>
      <c r="AB927">
        <v>0</v>
      </c>
    </row>
    <row r="928" spans="1:28" x14ac:dyDescent="0.35">
      <c r="A928" s="2">
        <v>43</v>
      </c>
      <c r="B928" s="2" t="str" cm="1">
        <f t="array" ref="B928">_xlfn.IFS(HR_table[[#This Row],[Age]]&lt;=20, "Under 20yrs",HR_table[[#This Row],[Age]]&lt;=30,"(21-30)yrs",HR_table[[#This Row],[Age]]&lt;=40,"(31-40)yrs",HR_table[[#This Row],[Age]]&lt;=50,"(41-50)yrs",HR_table[[#This Row],[Age]]&lt;=60,"(51-60)yrs")</f>
        <v>(41-50)yrs</v>
      </c>
      <c r="C928" t="s">
        <v>43</v>
      </c>
      <c r="D928" t="s">
        <v>36</v>
      </c>
      <c r="E928" t="s">
        <v>37</v>
      </c>
      <c r="F928" t="s">
        <v>59</v>
      </c>
      <c r="G928" t="s">
        <v>40</v>
      </c>
      <c r="H928">
        <v>1293</v>
      </c>
      <c r="I928" s="2">
        <v>4</v>
      </c>
      <c r="J928" s="2">
        <v>4</v>
      </c>
      <c r="K928" t="s">
        <v>39</v>
      </c>
      <c r="L928" s="2">
        <v>3</v>
      </c>
      <c r="M928" s="2">
        <v>4</v>
      </c>
      <c r="N928" t="s">
        <v>41</v>
      </c>
      <c r="O928" s="2">
        <v>10231</v>
      </c>
      <c r="P928" s="2">
        <v>20364</v>
      </c>
      <c r="Q928" s="2">
        <v>3</v>
      </c>
      <c r="R928" t="s">
        <v>43</v>
      </c>
      <c r="S928" s="2">
        <v>3</v>
      </c>
      <c r="T928" s="2">
        <v>4</v>
      </c>
      <c r="U928">
        <v>80</v>
      </c>
      <c r="V928" s="2">
        <v>23</v>
      </c>
      <c r="W928">
        <v>3</v>
      </c>
      <c r="X928">
        <v>4</v>
      </c>
      <c r="Y928">
        <v>21</v>
      </c>
      <c r="Z928">
        <v>7</v>
      </c>
      <c r="AA928">
        <v>15</v>
      </c>
      <c r="AB928">
        <v>17</v>
      </c>
    </row>
    <row r="929" spans="1:28" x14ac:dyDescent="0.35">
      <c r="A929" s="2">
        <v>36</v>
      </c>
      <c r="B929" s="2" t="str" cm="1">
        <f t="array" ref="B929">_xlfn.IFS(HR_table[[#This Row],[Age]]&lt;=20, "Under 20yrs",HR_table[[#This Row],[Age]]&lt;=30,"(21-30)yrs",HR_table[[#This Row],[Age]]&lt;=40,"(31-40)yrs",HR_table[[#This Row],[Age]]&lt;=50,"(41-50)yrs",HR_table[[#This Row],[Age]]&lt;=60,"(51-60)yrs")</f>
        <v>(31-40)yrs</v>
      </c>
      <c r="C929" t="s">
        <v>43</v>
      </c>
      <c r="D929" t="s">
        <v>36</v>
      </c>
      <c r="E929" t="s">
        <v>45</v>
      </c>
      <c r="F929" t="s">
        <v>38</v>
      </c>
      <c r="G929" t="s">
        <v>53</v>
      </c>
      <c r="H929">
        <v>1294</v>
      </c>
      <c r="I929" s="2">
        <v>2</v>
      </c>
      <c r="J929" s="2">
        <v>3</v>
      </c>
      <c r="K929" t="s">
        <v>39</v>
      </c>
      <c r="L929" s="2">
        <v>2</v>
      </c>
      <c r="M929" s="2">
        <v>2</v>
      </c>
      <c r="N929" t="s">
        <v>41</v>
      </c>
      <c r="O929" s="2">
        <v>5410</v>
      </c>
      <c r="P929" s="2">
        <v>2323</v>
      </c>
      <c r="Q929" s="2">
        <v>9</v>
      </c>
      <c r="R929" t="s">
        <v>35</v>
      </c>
      <c r="S929" s="2">
        <v>3</v>
      </c>
      <c r="T929" s="2">
        <v>4</v>
      </c>
      <c r="U929">
        <v>80</v>
      </c>
      <c r="V929" s="2">
        <v>18</v>
      </c>
      <c r="W929">
        <v>2</v>
      </c>
      <c r="X929">
        <v>3</v>
      </c>
      <c r="Y929">
        <v>16</v>
      </c>
      <c r="Z929">
        <v>14</v>
      </c>
      <c r="AA929">
        <v>5</v>
      </c>
      <c r="AB929">
        <v>12</v>
      </c>
    </row>
    <row r="930" spans="1:28" x14ac:dyDescent="0.35">
      <c r="A930" s="2">
        <v>44</v>
      </c>
      <c r="B930" s="2" t="str" cm="1">
        <f t="array" ref="B930">_xlfn.IFS(HR_table[[#This Row],[Age]]&lt;=20, "Under 20yrs",HR_table[[#This Row],[Age]]&lt;=30,"(21-30)yrs",HR_table[[#This Row],[Age]]&lt;=40,"(31-40)yrs",HR_table[[#This Row],[Age]]&lt;=50,"(41-50)yrs",HR_table[[#This Row],[Age]]&lt;=60,"(51-60)yrs")</f>
        <v>(41-50)yrs</v>
      </c>
      <c r="C930" t="s">
        <v>35</v>
      </c>
      <c r="D930" t="s">
        <v>36</v>
      </c>
      <c r="E930" t="s">
        <v>45</v>
      </c>
      <c r="F930" t="s">
        <v>51</v>
      </c>
      <c r="G930" t="s">
        <v>54</v>
      </c>
      <c r="H930">
        <v>1295</v>
      </c>
      <c r="I930" s="2">
        <v>15</v>
      </c>
      <c r="J930" s="2">
        <v>1</v>
      </c>
      <c r="K930" t="s">
        <v>39</v>
      </c>
      <c r="L930" s="2">
        <v>3</v>
      </c>
      <c r="M930" s="2">
        <v>4</v>
      </c>
      <c r="N930" t="s">
        <v>48</v>
      </c>
      <c r="O930" s="2">
        <v>7978</v>
      </c>
      <c r="P930" s="2">
        <v>14075</v>
      </c>
      <c r="Q930" s="2">
        <v>1</v>
      </c>
      <c r="R930" t="s">
        <v>43</v>
      </c>
      <c r="S930" s="2">
        <v>3</v>
      </c>
      <c r="T930" s="2">
        <v>4</v>
      </c>
      <c r="U930">
        <v>80</v>
      </c>
      <c r="V930" s="2">
        <v>10</v>
      </c>
      <c r="W930">
        <v>2</v>
      </c>
      <c r="X930">
        <v>3</v>
      </c>
      <c r="Y930">
        <v>10</v>
      </c>
      <c r="Z930">
        <v>7</v>
      </c>
      <c r="AA930">
        <v>0</v>
      </c>
      <c r="AB930">
        <v>5</v>
      </c>
    </row>
    <row r="931" spans="1:28" x14ac:dyDescent="0.35">
      <c r="A931" s="2">
        <v>28</v>
      </c>
      <c r="B931" s="2" t="str" cm="1">
        <f t="array" ref="B931">_xlfn.IFS(HR_table[[#This Row],[Age]]&lt;=20, "Under 20yrs",HR_table[[#This Row],[Age]]&lt;=30,"(21-30)yrs",HR_table[[#This Row],[Age]]&lt;=40,"(31-40)yrs",HR_table[[#This Row],[Age]]&lt;=50,"(41-50)yrs",HR_table[[#This Row],[Age]]&lt;=60,"(51-60)yrs")</f>
        <v>(21-30)yrs</v>
      </c>
      <c r="C931" t="s">
        <v>43</v>
      </c>
      <c r="D931" t="s">
        <v>44</v>
      </c>
      <c r="E931" t="s">
        <v>45</v>
      </c>
      <c r="F931" t="s">
        <v>38</v>
      </c>
      <c r="G931" t="s">
        <v>50</v>
      </c>
      <c r="H931">
        <v>1296</v>
      </c>
      <c r="I931" s="2">
        <v>2</v>
      </c>
      <c r="J931" s="2">
        <v>4</v>
      </c>
      <c r="K931" t="s">
        <v>46</v>
      </c>
      <c r="L931" s="2">
        <v>1</v>
      </c>
      <c r="M931" s="2">
        <v>4</v>
      </c>
      <c r="N931" t="s">
        <v>48</v>
      </c>
      <c r="O931" s="2">
        <v>3867</v>
      </c>
      <c r="P931" s="2">
        <v>14222</v>
      </c>
      <c r="Q931" s="2">
        <v>1</v>
      </c>
      <c r="R931" t="s">
        <v>35</v>
      </c>
      <c r="S931" s="2">
        <v>3</v>
      </c>
      <c r="T931" s="2">
        <v>2</v>
      </c>
      <c r="U931">
        <v>80</v>
      </c>
      <c r="V931" s="2">
        <v>2</v>
      </c>
      <c r="W931">
        <v>2</v>
      </c>
      <c r="X931">
        <v>3</v>
      </c>
      <c r="Y931">
        <v>2</v>
      </c>
      <c r="Z931">
        <v>2</v>
      </c>
      <c r="AA931">
        <v>2</v>
      </c>
      <c r="AB931">
        <v>2</v>
      </c>
    </row>
    <row r="932" spans="1:28" x14ac:dyDescent="0.35">
      <c r="A932" s="2">
        <v>51</v>
      </c>
      <c r="B932" s="2" t="str" cm="1">
        <f t="array" ref="B932">_xlfn.IFS(HR_table[[#This Row],[Age]]&lt;=20, "Under 20yrs",HR_table[[#This Row],[Age]]&lt;=30,"(21-30)yrs",HR_table[[#This Row],[Age]]&lt;=40,"(31-40)yrs",HR_table[[#This Row],[Age]]&lt;=50,"(41-50)yrs",HR_table[[#This Row],[Age]]&lt;=60,"(51-60)yrs")</f>
        <v>(51-60)yrs</v>
      </c>
      <c r="C932" t="s">
        <v>43</v>
      </c>
      <c r="D932" t="s">
        <v>44</v>
      </c>
      <c r="E932" t="s">
        <v>45</v>
      </c>
      <c r="F932" t="s">
        <v>51</v>
      </c>
      <c r="G932" t="s">
        <v>50</v>
      </c>
      <c r="H932">
        <v>1297</v>
      </c>
      <c r="I932" s="2">
        <v>6</v>
      </c>
      <c r="J932" s="2">
        <v>2</v>
      </c>
      <c r="K932" t="s">
        <v>39</v>
      </c>
      <c r="L932" s="2">
        <v>1</v>
      </c>
      <c r="M932" s="2">
        <v>3</v>
      </c>
      <c r="N932" t="s">
        <v>41</v>
      </c>
      <c r="O932" s="2">
        <v>2838</v>
      </c>
      <c r="P932" s="2">
        <v>4257</v>
      </c>
      <c r="Q932" s="2">
        <v>0</v>
      </c>
      <c r="R932" t="s">
        <v>43</v>
      </c>
      <c r="S932" s="2">
        <v>3</v>
      </c>
      <c r="T932" s="2">
        <v>2</v>
      </c>
      <c r="U932">
        <v>80</v>
      </c>
      <c r="V932" s="2">
        <v>8</v>
      </c>
      <c r="W932">
        <v>6</v>
      </c>
      <c r="X932">
        <v>2</v>
      </c>
      <c r="Y932">
        <v>7</v>
      </c>
      <c r="Z932">
        <v>0</v>
      </c>
      <c r="AA932">
        <v>7</v>
      </c>
      <c r="AB932">
        <v>7</v>
      </c>
    </row>
    <row r="933" spans="1:28" x14ac:dyDescent="0.35">
      <c r="A933" s="2">
        <v>30</v>
      </c>
      <c r="B933" s="2" t="str" cm="1">
        <f t="array" ref="B933">_xlfn.IFS(HR_table[[#This Row],[Age]]&lt;=20, "Under 20yrs",HR_table[[#This Row],[Age]]&lt;=30,"(21-30)yrs",HR_table[[#This Row],[Age]]&lt;=40,"(31-40)yrs",HR_table[[#This Row],[Age]]&lt;=50,"(41-50)yrs",HR_table[[#This Row],[Age]]&lt;=60,"(51-60)yrs")</f>
        <v>(21-30)yrs</v>
      </c>
      <c r="C933" t="s">
        <v>43</v>
      </c>
      <c r="D933" t="s">
        <v>55</v>
      </c>
      <c r="E933" t="s">
        <v>45</v>
      </c>
      <c r="F933" t="s">
        <v>51</v>
      </c>
      <c r="G933" t="s">
        <v>53</v>
      </c>
      <c r="H933">
        <v>1298</v>
      </c>
      <c r="I933" s="2">
        <v>9</v>
      </c>
      <c r="J933" s="2">
        <v>3</v>
      </c>
      <c r="K933" t="s">
        <v>39</v>
      </c>
      <c r="L933" s="2">
        <v>2</v>
      </c>
      <c r="M933" s="2">
        <v>3</v>
      </c>
      <c r="N933" t="s">
        <v>41</v>
      </c>
      <c r="O933" s="2">
        <v>4695</v>
      </c>
      <c r="P933" s="2">
        <v>12858</v>
      </c>
      <c r="Q933" s="2">
        <v>7</v>
      </c>
      <c r="R933" t="s">
        <v>35</v>
      </c>
      <c r="S933" s="2">
        <v>3</v>
      </c>
      <c r="T933" s="2">
        <v>3</v>
      </c>
      <c r="U933">
        <v>80</v>
      </c>
      <c r="V933" s="2">
        <v>10</v>
      </c>
      <c r="W933">
        <v>3</v>
      </c>
      <c r="X933">
        <v>3</v>
      </c>
      <c r="Y933">
        <v>8</v>
      </c>
      <c r="Z933">
        <v>4</v>
      </c>
      <c r="AA933">
        <v>1</v>
      </c>
      <c r="AB933">
        <v>7</v>
      </c>
    </row>
    <row r="934" spans="1:28" x14ac:dyDescent="0.35">
      <c r="A934" s="2">
        <v>29</v>
      </c>
      <c r="B934" s="2" t="str" cm="1">
        <f t="array" ref="B934">_xlfn.IFS(HR_table[[#This Row],[Age]]&lt;=20, "Under 20yrs",HR_table[[#This Row],[Age]]&lt;=30,"(21-30)yrs",HR_table[[#This Row],[Age]]&lt;=40,"(31-40)yrs",HR_table[[#This Row],[Age]]&lt;=50,"(41-50)yrs",HR_table[[#This Row],[Age]]&lt;=60,"(51-60)yrs")</f>
        <v>(21-30)yrs</v>
      </c>
      <c r="C934" t="s">
        <v>35</v>
      </c>
      <c r="D934" t="s">
        <v>36</v>
      </c>
      <c r="E934" t="s">
        <v>45</v>
      </c>
      <c r="F934" t="s">
        <v>60</v>
      </c>
      <c r="G934" t="s">
        <v>50</v>
      </c>
      <c r="H934">
        <v>1299</v>
      </c>
      <c r="I934" s="2">
        <v>7</v>
      </c>
      <c r="J934" s="2">
        <v>2</v>
      </c>
      <c r="K934" t="s">
        <v>39</v>
      </c>
      <c r="L934" s="2">
        <v>1</v>
      </c>
      <c r="M934" s="2">
        <v>3</v>
      </c>
      <c r="N934" t="s">
        <v>52</v>
      </c>
      <c r="O934" s="2">
        <v>3339</v>
      </c>
      <c r="P934" s="2">
        <v>17285</v>
      </c>
      <c r="Q934" s="2">
        <v>3</v>
      </c>
      <c r="R934" t="s">
        <v>35</v>
      </c>
      <c r="S934" s="2">
        <v>3</v>
      </c>
      <c r="T934" s="2">
        <v>1</v>
      </c>
      <c r="U934">
        <v>80</v>
      </c>
      <c r="V934" s="2">
        <v>10</v>
      </c>
      <c r="W934">
        <v>2</v>
      </c>
      <c r="X934">
        <v>3</v>
      </c>
      <c r="Y934">
        <v>7</v>
      </c>
      <c r="Z934">
        <v>7</v>
      </c>
      <c r="AA934">
        <v>7</v>
      </c>
      <c r="AB934">
        <v>7</v>
      </c>
    </row>
    <row r="935" spans="1:28" x14ac:dyDescent="0.35">
      <c r="A935" s="2">
        <v>28</v>
      </c>
      <c r="B935" s="2" t="str" cm="1">
        <f t="array" ref="B935">_xlfn.IFS(HR_table[[#This Row],[Age]]&lt;=20, "Under 20yrs",HR_table[[#This Row],[Age]]&lt;=30,"(21-30)yrs",HR_table[[#This Row],[Age]]&lt;=40,"(31-40)yrs",HR_table[[#This Row],[Age]]&lt;=50,"(41-50)yrs",HR_table[[#This Row],[Age]]&lt;=60,"(51-60)yrs")</f>
        <v>(21-30)yrs</v>
      </c>
      <c r="C935" t="s">
        <v>43</v>
      </c>
      <c r="D935" t="s">
        <v>36</v>
      </c>
      <c r="E935" t="s">
        <v>45</v>
      </c>
      <c r="F935" t="s">
        <v>60</v>
      </c>
      <c r="G935" t="s">
        <v>47</v>
      </c>
      <c r="H935">
        <v>1301</v>
      </c>
      <c r="I935" s="2">
        <v>1</v>
      </c>
      <c r="J935" s="2">
        <v>4</v>
      </c>
      <c r="K935" t="s">
        <v>46</v>
      </c>
      <c r="L935" s="2">
        <v>1</v>
      </c>
      <c r="M935" s="2">
        <v>1</v>
      </c>
      <c r="N935" t="s">
        <v>41</v>
      </c>
      <c r="O935" s="2">
        <v>2080</v>
      </c>
      <c r="P935" s="2">
        <v>4732</v>
      </c>
      <c r="Q935" s="2">
        <v>2</v>
      </c>
      <c r="R935" t="s">
        <v>43</v>
      </c>
      <c r="S935" s="2">
        <v>3</v>
      </c>
      <c r="T935" s="2">
        <v>2</v>
      </c>
      <c r="U935">
        <v>80</v>
      </c>
      <c r="V935" s="2">
        <v>5</v>
      </c>
      <c r="W935">
        <v>2</v>
      </c>
      <c r="X935">
        <v>2</v>
      </c>
      <c r="Y935">
        <v>3</v>
      </c>
      <c r="Z935">
        <v>2</v>
      </c>
      <c r="AA935">
        <v>1</v>
      </c>
      <c r="AB935">
        <v>2</v>
      </c>
    </row>
    <row r="936" spans="1:28" x14ac:dyDescent="0.35">
      <c r="A936" s="2">
        <v>25</v>
      </c>
      <c r="B936" s="2" t="str" cm="1">
        <f t="array" ref="B936">_xlfn.IFS(HR_table[[#This Row],[Age]]&lt;=20, "Under 20yrs",HR_table[[#This Row],[Age]]&lt;=30,"(21-30)yrs",HR_table[[#This Row],[Age]]&lt;=40,"(31-40)yrs",HR_table[[#This Row],[Age]]&lt;=50,"(41-50)yrs",HR_table[[#This Row],[Age]]&lt;=60,"(51-60)yrs")</f>
        <v>(21-30)yrs</v>
      </c>
      <c r="C936" t="s">
        <v>43</v>
      </c>
      <c r="D936" t="s">
        <v>36</v>
      </c>
      <c r="E936" t="s">
        <v>45</v>
      </c>
      <c r="F936" t="s">
        <v>51</v>
      </c>
      <c r="G936" t="s">
        <v>47</v>
      </c>
      <c r="H936">
        <v>1303</v>
      </c>
      <c r="I936" s="2">
        <v>1</v>
      </c>
      <c r="J936" s="2">
        <v>4</v>
      </c>
      <c r="K936" t="s">
        <v>39</v>
      </c>
      <c r="L936" s="2">
        <v>1</v>
      </c>
      <c r="M936" s="2">
        <v>2</v>
      </c>
      <c r="N936" t="s">
        <v>41</v>
      </c>
      <c r="O936" s="2">
        <v>2096</v>
      </c>
      <c r="P936" s="2">
        <v>18830</v>
      </c>
      <c r="Q936" s="2">
        <v>1</v>
      </c>
      <c r="R936" t="s">
        <v>43</v>
      </c>
      <c r="S936" s="2">
        <v>3</v>
      </c>
      <c r="T936" s="2">
        <v>4</v>
      </c>
      <c r="U936">
        <v>80</v>
      </c>
      <c r="V936" s="2">
        <v>2</v>
      </c>
      <c r="W936">
        <v>3</v>
      </c>
      <c r="X936">
        <v>2</v>
      </c>
      <c r="Y936">
        <v>2</v>
      </c>
      <c r="Z936">
        <v>2</v>
      </c>
      <c r="AA936">
        <v>2</v>
      </c>
      <c r="AB936">
        <v>1</v>
      </c>
    </row>
    <row r="937" spans="1:28" x14ac:dyDescent="0.35">
      <c r="A937" s="2">
        <v>32</v>
      </c>
      <c r="B937" s="2" t="str" cm="1">
        <f t="array" ref="B937">_xlfn.IFS(HR_table[[#This Row],[Age]]&lt;=20, "Under 20yrs",HR_table[[#This Row],[Age]]&lt;=30,"(21-30)yrs",HR_table[[#This Row],[Age]]&lt;=40,"(31-40)yrs",HR_table[[#This Row],[Age]]&lt;=50,"(41-50)yrs",HR_table[[#This Row],[Age]]&lt;=60,"(51-60)yrs")</f>
        <v>(31-40)yrs</v>
      </c>
      <c r="C937" t="s">
        <v>43</v>
      </c>
      <c r="D937" t="s">
        <v>36</v>
      </c>
      <c r="E937" t="s">
        <v>37</v>
      </c>
      <c r="F937" t="s">
        <v>51</v>
      </c>
      <c r="G937" t="s">
        <v>40</v>
      </c>
      <c r="H937">
        <v>1304</v>
      </c>
      <c r="I937" s="2">
        <v>8</v>
      </c>
      <c r="J937" s="2">
        <v>3</v>
      </c>
      <c r="K937" t="s">
        <v>46</v>
      </c>
      <c r="L937" s="2">
        <v>2</v>
      </c>
      <c r="M937" s="2">
        <v>4</v>
      </c>
      <c r="N937" t="s">
        <v>48</v>
      </c>
      <c r="O937" s="2">
        <v>6209</v>
      </c>
      <c r="P937" s="2">
        <v>11693</v>
      </c>
      <c r="Q937" s="2">
        <v>1</v>
      </c>
      <c r="R937" t="s">
        <v>43</v>
      </c>
      <c r="S937" s="2">
        <v>3</v>
      </c>
      <c r="T937" s="2">
        <v>3</v>
      </c>
      <c r="U937">
        <v>80</v>
      </c>
      <c r="V937" s="2">
        <v>10</v>
      </c>
      <c r="W937">
        <v>4</v>
      </c>
      <c r="X937">
        <v>4</v>
      </c>
      <c r="Y937">
        <v>10</v>
      </c>
      <c r="Z937">
        <v>7</v>
      </c>
      <c r="AA937">
        <v>0</v>
      </c>
      <c r="AB937">
        <v>8</v>
      </c>
    </row>
    <row r="938" spans="1:28" x14ac:dyDescent="0.35">
      <c r="A938" s="2">
        <v>45</v>
      </c>
      <c r="B938" s="2" t="str" cm="1">
        <f t="array" ref="B938">_xlfn.IFS(HR_table[[#This Row],[Age]]&lt;=20, "Under 20yrs",HR_table[[#This Row],[Age]]&lt;=30,"(21-30)yrs",HR_table[[#This Row],[Age]]&lt;=40,"(31-40)yrs",HR_table[[#This Row],[Age]]&lt;=50,"(41-50)yrs",HR_table[[#This Row],[Age]]&lt;=60,"(51-60)yrs")</f>
        <v>(41-50)yrs</v>
      </c>
      <c r="C938" t="s">
        <v>43</v>
      </c>
      <c r="D938" t="s">
        <v>44</v>
      </c>
      <c r="E938" t="s">
        <v>45</v>
      </c>
      <c r="F938" t="s">
        <v>51</v>
      </c>
      <c r="G938" t="s">
        <v>56</v>
      </c>
      <c r="H938">
        <v>1306</v>
      </c>
      <c r="I938" s="2">
        <v>25</v>
      </c>
      <c r="J938" s="2">
        <v>2</v>
      </c>
      <c r="K938" t="s">
        <v>39</v>
      </c>
      <c r="L938" s="2">
        <v>5</v>
      </c>
      <c r="M938" s="2">
        <v>2</v>
      </c>
      <c r="N938" t="s">
        <v>41</v>
      </c>
      <c r="O938" s="2">
        <v>18061</v>
      </c>
      <c r="P938" s="2">
        <v>13035</v>
      </c>
      <c r="Q938" s="2">
        <v>3</v>
      </c>
      <c r="R938" t="s">
        <v>43</v>
      </c>
      <c r="S938" s="2">
        <v>4</v>
      </c>
      <c r="T938" s="2">
        <v>3</v>
      </c>
      <c r="U938">
        <v>80</v>
      </c>
      <c r="V938" s="2">
        <v>22</v>
      </c>
      <c r="W938">
        <v>4</v>
      </c>
      <c r="X938">
        <v>3</v>
      </c>
      <c r="Y938">
        <v>0</v>
      </c>
      <c r="Z938">
        <v>0</v>
      </c>
      <c r="AA938">
        <v>0</v>
      </c>
      <c r="AB938">
        <v>0</v>
      </c>
    </row>
    <row r="939" spans="1:28" x14ac:dyDescent="0.35">
      <c r="A939" s="2">
        <v>39</v>
      </c>
      <c r="B939" s="2" t="str" cm="1">
        <f t="array" ref="B939">_xlfn.IFS(HR_table[[#This Row],[Age]]&lt;=20, "Under 20yrs",HR_table[[#This Row],[Age]]&lt;=30,"(21-30)yrs",HR_table[[#This Row],[Age]]&lt;=40,"(31-40)yrs",HR_table[[#This Row],[Age]]&lt;=50,"(41-50)yrs",HR_table[[#This Row],[Age]]&lt;=60,"(51-60)yrs")</f>
        <v>(31-40)yrs</v>
      </c>
      <c r="C939" t="s">
        <v>43</v>
      </c>
      <c r="D939" t="s">
        <v>36</v>
      </c>
      <c r="E939" t="s">
        <v>45</v>
      </c>
      <c r="F939" t="s">
        <v>51</v>
      </c>
      <c r="G939" t="s">
        <v>56</v>
      </c>
      <c r="H939">
        <v>1307</v>
      </c>
      <c r="I939" s="2">
        <v>13</v>
      </c>
      <c r="J939" s="2">
        <v>3</v>
      </c>
      <c r="K939" t="s">
        <v>39</v>
      </c>
      <c r="L939" s="2">
        <v>4</v>
      </c>
      <c r="M939" s="2">
        <v>2</v>
      </c>
      <c r="N939" t="s">
        <v>52</v>
      </c>
      <c r="O939" s="2">
        <v>17123</v>
      </c>
      <c r="P939" s="2">
        <v>17334</v>
      </c>
      <c r="Q939" s="2">
        <v>6</v>
      </c>
      <c r="R939" t="s">
        <v>35</v>
      </c>
      <c r="S939" s="2">
        <v>3</v>
      </c>
      <c r="T939" s="2">
        <v>4</v>
      </c>
      <c r="U939">
        <v>80</v>
      </c>
      <c r="V939" s="2">
        <v>21</v>
      </c>
      <c r="W939">
        <v>4</v>
      </c>
      <c r="X939">
        <v>3</v>
      </c>
      <c r="Y939">
        <v>19</v>
      </c>
      <c r="Z939">
        <v>9</v>
      </c>
      <c r="AA939">
        <v>15</v>
      </c>
      <c r="AB939">
        <v>2</v>
      </c>
    </row>
    <row r="940" spans="1:28" x14ac:dyDescent="0.35">
      <c r="A940" s="2">
        <v>58</v>
      </c>
      <c r="B940" s="2" t="str" cm="1">
        <f t="array" ref="B940">_xlfn.IFS(HR_table[[#This Row],[Age]]&lt;=20, "Under 20yrs",HR_table[[#This Row],[Age]]&lt;=30,"(21-30)yrs",HR_table[[#This Row],[Age]]&lt;=40,"(31-40)yrs",HR_table[[#This Row],[Age]]&lt;=50,"(41-50)yrs",HR_table[[#This Row],[Age]]&lt;=60,"(51-60)yrs")</f>
        <v>(51-60)yrs</v>
      </c>
      <c r="C940" t="s">
        <v>43</v>
      </c>
      <c r="D940" t="s">
        <v>36</v>
      </c>
      <c r="E940" t="s">
        <v>45</v>
      </c>
      <c r="F940" t="s">
        <v>38</v>
      </c>
      <c r="G940" t="s">
        <v>47</v>
      </c>
      <c r="H940">
        <v>1308</v>
      </c>
      <c r="I940" s="2">
        <v>23</v>
      </c>
      <c r="J940" s="2">
        <v>1</v>
      </c>
      <c r="K940" t="s">
        <v>46</v>
      </c>
      <c r="L940" s="2">
        <v>1</v>
      </c>
      <c r="M940" s="2">
        <v>3</v>
      </c>
      <c r="N940" t="s">
        <v>52</v>
      </c>
      <c r="O940" s="2">
        <v>2372</v>
      </c>
      <c r="P940" s="2">
        <v>26076</v>
      </c>
      <c r="Q940" s="2">
        <v>1</v>
      </c>
      <c r="R940" t="s">
        <v>43</v>
      </c>
      <c r="S940" s="2">
        <v>3</v>
      </c>
      <c r="T940" s="2">
        <v>4</v>
      </c>
      <c r="U940">
        <v>80</v>
      </c>
      <c r="V940" s="2">
        <v>2</v>
      </c>
      <c r="W940">
        <v>3</v>
      </c>
      <c r="X940">
        <v>3</v>
      </c>
      <c r="Y940">
        <v>2</v>
      </c>
      <c r="Z940">
        <v>2</v>
      </c>
      <c r="AA940">
        <v>2</v>
      </c>
      <c r="AB940">
        <v>2</v>
      </c>
    </row>
    <row r="941" spans="1:28" x14ac:dyDescent="0.35">
      <c r="A941" s="2">
        <v>32</v>
      </c>
      <c r="B941" s="2" t="str" cm="1">
        <f t="array" ref="B941">_xlfn.IFS(HR_table[[#This Row],[Age]]&lt;=20, "Under 20yrs",HR_table[[#This Row],[Age]]&lt;=30,"(21-30)yrs",HR_table[[#This Row],[Age]]&lt;=40,"(31-40)yrs",HR_table[[#This Row],[Age]]&lt;=50,"(41-50)yrs",HR_table[[#This Row],[Age]]&lt;=60,"(51-60)yrs")</f>
        <v>(31-40)yrs</v>
      </c>
      <c r="C941" t="s">
        <v>35</v>
      </c>
      <c r="D941" t="s">
        <v>36</v>
      </c>
      <c r="E941" t="s">
        <v>45</v>
      </c>
      <c r="F941" t="s">
        <v>38</v>
      </c>
      <c r="G941" t="s">
        <v>50</v>
      </c>
      <c r="H941">
        <v>1309</v>
      </c>
      <c r="I941" s="2">
        <v>7</v>
      </c>
      <c r="J941" s="2">
        <v>4</v>
      </c>
      <c r="K941" t="s">
        <v>46</v>
      </c>
      <c r="L941" s="2">
        <v>2</v>
      </c>
      <c r="M941" s="2">
        <v>3</v>
      </c>
      <c r="N941" t="s">
        <v>48</v>
      </c>
      <c r="O941" s="2">
        <v>4883</v>
      </c>
      <c r="P941" s="2">
        <v>22845</v>
      </c>
      <c r="Q941" s="2">
        <v>1</v>
      </c>
      <c r="R941" t="s">
        <v>43</v>
      </c>
      <c r="S941" s="2">
        <v>3</v>
      </c>
      <c r="T941" s="2">
        <v>1</v>
      </c>
      <c r="U941">
        <v>80</v>
      </c>
      <c r="V941" s="2">
        <v>10</v>
      </c>
      <c r="W941">
        <v>3</v>
      </c>
      <c r="X941">
        <v>3</v>
      </c>
      <c r="Y941">
        <v>10</v>
      </c>
      <c r="Z941">
        <v>4</v>
      </c>
      <c r="AA941">
        <v>1</v>
      </c>
      <c r="AB941">
        <v>1</v>
      </c>
    </row>
    <row r="942" spans="1:28" x14ac:dyDescent="0.35">
      <c r="A942" s="2">
        <v>39</v>
      </c>
      <c r="B942" s="2" t="str" cm="1">
        <f t="array" ref="B942">_xlfn.IFS(HR_table[[#This Row],[Age]]&lt;=20, "Under 20yrs",HR_table[[#This Row],[Age]]&lt;=30,"(21-30)yrs",HR_table[[#This Row],[Age]]&lt;=40,"(31-40)yrs",HR_table[[#This Row],[Age]]&lt;=50,"(41-50)yrs",HR_table[[#This Row],[Age]]&lt;=60,"(51-60)yrs")</f>
        <v>(31-40)yrs</v>
      </c>
      <c r="C942" t="s">
        <v>35</v>
      </c>
      <c r="D942" t="s">
        <v>36</v>
      </c>
      <c r="E942" t="s">
        <v>45</v>
      </c>
      <c r="F942" t="s">
        <v>51</v>
      </c>
      <c r="G942" t="s">
        <v>47</v>
      </c>
      <c r="H942">
        <v>1310</v>
      </c>
      <c r="I942" s="2">
        <v>23</v>
      </c>
      <c r="J942" s="2">
        <v>3</v>
      </c>
      <c r="K942" t="s">
        <v>46</v>
      </c>
      <c r="L942" s="2">
        <v>1</v>
      </c>
      <c r="M942" s="2">
        <v>1</v>
      </c>
      <c r="N942" t="s">
        <v>41</v>
      </c>
      <c r="O942" s="2">
        <v>3904</v>
      </c>
      <c r="P942" s="2">
        <v>22154</v>
      </c>
      <c r="Q942" s="2">
        <v>0</v>
      </c>
      <c r="R942" t="s">
        <v>43</v>
      </c>
      <c r="S942" s="2">
        <v>3</v>
      </c>
      <c r="T942" s="2">
        <v>1</v>
      </c>
      <c r="U942">
        <v>80</v>
      </c>
      <c r="V942" s="2">
        <v>6</v>
      </c>
      <c r="W942">
        <v>2</v>
      </c>
      <c r="X942">
        <v>3</v>
      </c>
      <c r="Y942">
        <v>5</v>
      </c>
      <c r="Z942">
        <v>2</v>
      </c>
      <c r="AA942">
        <v>0</v>
      </c>
      <c r="AB942">
        <v>3</v>
      </c>
    </row>
    <row r="943" spans="1:28" x14ac:dyDescent="0.35">
      <c r="A943" s="2">
        <v>30</v>
      </c>
      <c r="B943" s="2" t="str" cm="1">
        <f t="array" ref="B943">_xlfn.IFS(HR_table[[#This Row],[Age]]&lt;=20, "Under 20yrs",HR_table[[#This Row],[Age]]&lt;=30,"(21-30)yrs",HR_table[[#This Row],[Age]]&lt;=40,"(31-40)yrs",HR_table[[#This Row],[Age]]&lt;=50,"(41-50)yrs",HR_table[[#This Row],[Age]]&lt;=60,"(51-60)yrs")</f>
        <v>(21-30)yrs</v>
      </c>
      <c r="C943" t="s">
        <v>43</v>
      </c>
      <c r="D943" t="s">
        <v>36</v>
      </c>
      <c r="E943" t="s">
        <v>45</v>
      </c>
      <c r="F943" t="s">
        <v>60</v>
      </c>
      <c r="G943" t="s">
        <v>50</v>
      </c>
      <c r="H943">
        <v>1311</v>
      </c>
      <c r="I943" s="2">
        <v>6</v>
      </c>
      <c r="J943" s="2">
        <v>1</v>
      </c>
      <c r="K943" t="s">
        <v>39</v>
      </c>
      <c r="L943" s="2">
        <v>2</v>
      </c>
      <c r="M943" s="2">
        <v>4</v>
      </c>
      <c r="N943" t="s">
        <v>48</v>
      </c>
      <c r="O943" s="2">
        <v>4627</v>
      </c>
      <c r="P943" s="2">
        <v>23631</v>
      </c>
      <c r="Q943" s="2">
        <v>0</v>
      </c>
      <c r="R943" t="s">
        <v>43</v>
      </c>
      <c r="S943" s="2">
        <v>3</v>
      </c>
      <c r="T943" s="2">
        <v>1</v>
      </c>
      <c r="U943">
        <v>80</v>
      </c>
      <c r="V943" s="2">
        <v>10</v>
      </c>
      <c r="W943">
        <v>6</v>
      </c>
      <c r="X943">
        <v>3</v>
      </c>
      <c r="Y943">
        <v>9</v>
      </c>
      <c r="Z943">
        <v>2</v>
      </c>
      <c r="AA943">
        <v>6</v>
      </c>
      <c r="AB943">
        <v>7</v>
      </c>
    </row>
    <row r="944" spans="1:28" x14ac:dyDescent="0.35">
      <c r="A944" s="2">
        <v>36</v>
      </c>
      <c r="B944" s="2" t="str" cm="1">
        <f t="array" ref="B944">_xlfn.IFS(HR_table[[#This Row],[Age]]&lt;=20, "Under 20yrs",HR_table[[#This Row],[Age]]&lt;=30,"(21-30)yrs",HR_table[[#This Row],[Age]]&lt;=40,"(31-40)yrs",HR_table[[#This Row],[Age]]&lt;=50,"(41-50)yrs",HR_table[[#This Row],[Age]]&lt;=60,"(51-60)yrs")</f>
        <v>(31-40)yrs</v>
      </c>
      <c r="C944" t="s">
        <v>43</v>
      </c>
      <c r="D944" t="s">
        <v>36</v>
      </c>
      <c r="E944" t="s">
        <v>45</v>
      </c>
      <c r="F944" t="s">
        <v>60</v>
      </c>
      <c r="G944" t="s">
        <v>54</v>
      </c>
      <c r="H944">
        <v>1312</v>
      </c>
      <c r="I944" s="2">
        <v>10</v>
      </c>
      <c r="J944" s="2">
        <v>4</v>
      </c>
      <c r="K944" t="s">
        <v>39</v>
      </c>
      <c r="L944" s="2">
        <v>3</v>
      </c>
      <c r="M944" s="2">
        <v>3</v>
      </c>
      <c r="N944" t="s">
        <v>48</v>
      </c>
      <c r="O944" s="2">
        <v>7094</v>
      </c>
      <c r="P944" s="2">
        <v>5747</v>
      </c>
      <c r="Q944" s="2">
        <v>3</v>
      </c>
      <c r="R944" t="s">
        <v>43</v>
      </c>
      <c r="S944" s="2">
        <v>3</v>
      </c>
      <c r="T944" s="2">
        <v>1</v>
      </c>
      <c r="U944">
        <v>80</v>
      </c>
      <c r="V944" s="2">
        <v>10</v>
      </c>
      <c r="W944">
        <v>0</v>
      </c>
      <c r="X944">
        <v>3</v>
      </c>
      <c r="Y944">
        <v>7</v>
      </c>
      <c r="Z944">
        <v>7</v>
      </c>
      <c r="AA944">
        <v>1</v>
      </c>
      <c r="AB944">
        <v>7</v>
      </c>
    </row>
    <row r="945" spans="1:28" x14ac:dyDescent="0.35">
      <c r="A945" s="2">
        <v>46</v>
      </c>
      <c r="B945" s="2" t="str" cm="1">
        <f t="array" ref="B945">_xlfn.IFS(HR_table[[#This Row],[Age]]&lt;=20, "Under 20yrs",HR_table[[#This Row],[Age]]&lt;=30,"(21-30)yrs",HR_table[[#This Row],[Age]]&lt;=40,"(31-40)yrs",HR_table[[#This Row],[Age]]&lt;=50,"(41-50)yrs",HR_table[[#This Row],[Age]]&lt;=60,"(51-60)yrs")</f>
        <v>(41-50)yrs</v>
      </c>
      <c r="C945" t="s">
        <v>43</v>
      </c>
      <c r="D945" t="s">
        <v>36</v>
      </c>
      <c r="E945" t="s">
        <v>61</v>
      </c>
      <c r="F945" t="s">
        <v>38</v>
      </c>
      <c r="G945" t="s">
        <v>61</v>
      </c>
      <c r="H945">
        <v>1314</v>
      </c>
      <c r="I945" s="2">
        <v>1</v>
      </c>
      <c r="J945" s="2">
        <v>4</v>
      </c>
      <c r="K945" t="s">
        <v>39</v>
      </c>
      <c r="L945" s="2">
        <v>1</v>
      </c>
      <c r="M945" s="2">
        <v>1</v>
      </c>
      <c r="N945" t="s">
        <v>41</v>
      </c>
      <c r="O945" s="2">
        <v>3423</v>
      </c>
      <c r="P945" s="2">
        <v>22957</v>
      </c>
      <c r="Q945" s="2">
        <v>6</v>
      </c>
      <c r="R945" t="s">
        <v>43</v>
      </c>
      <c r="S945" s="2">
        <v>3</v>
      </c>
      <c r="T945" s="2">
        <v>3</v>
      </c>
      <c r="U945">
        <v>80</v>
      </c>
      <c r="V945" s="2">
        <v>10</v>
      </c>
      <c r="W945">
        <v>3</v>
      </c>
      <c r="X945">
        <v>4</v>
      </c>
      <c r="Y945">
        <v>7</v>
      </c>
      <c r="Z945">
        <v>6</v>
      </c>
      <c r="AA945">
        <v>5</v>
      </c>
      <c r="AB945">
        <v>7</v>
      </c>
    </row>
    <row r="946" spans="1:28" x14ac:dyDescent="0.35">
      <c r="A946" s="2">
        <v>28</v>
      </c>
      <c r="B946" s="2" t="str" cm="1">
        <f t="array" ref="B946">_xlfn.IFS(HR_table[[#This Row],[Age]]&lt;=20, "Under 20yrs",HR_table[[#This Row],[Age]]&lt;=30,"(21-30)yrs",HR_table[[#This Row],[Age]]&lt;=40,"(31-40)yrs",HR_table[[#This Row],[Age]]&lt;=50,"(41-50)yrs",HR_table[[#This Row],[Age]]&lt;=60,"(51-60)yrs")</f>
        <v>(21-30)yrs</v>
      </c>
      <c r="C946" t="s">
        <v>43</v>
      </c>
      <c r="D946" t="s">
        <v>55</v>
      </c>
      <c r="E946" t="s">
        <v>45</v>
      </c>
      <c r="F946" t="s">
        <v>38</v>
      </c>
      <c r="G946" t="s">
        <v>50</v>
      </c>
      <c r="H946">
        <v>1315</v>
      </c>
      <c r="I946" s="2">
        <v>1</v>
      </c>
      <c r="J946" s="2">
        <v>3</v>
      </c>
      <c r="K946" t="s">
        <v>39</v>
      </c>
      <c r="L946" s="2">
        <v>2</v>
      </c>
      <c r="M946" s="2">
        <v>4</v>
      </c>
      <c r="N946" t="s">
        <v>48</v>
      </c>
      <c r="O946" s="2">
        <v>6674</v>
      </c>
      <c r="P946" s="2">
        <v>16392</v>
      </c>
      <c r="Q946" s="2">
        <v>0</v>
      </c>
      <c r="R946" t="s">
        <v>43</v>
      </c>
      <c r="S946" s="2">
        <v>3</v>
      </c>
      <c r="T946" s="2">
        <v>1</v>
      </c>
      <c r="U946">
        <v>80</v>
      </c>
      <c r="V946" s="2">
        <v>10</v>
      </c>
      <c r="W946">
        <v>6</v>
      </c>
      <c r="X946">
        <v>3</v>
      </c>
      <c r="Y946">
        <v>9</v>
      </c>
      <c r="Z946">
        <v>8</v>
      </c>
      <c r="AA946">
        <v>7</v>
      </c>
      <c r="AB946">
        <v>5</v>
      </c>
    </row>
    <row r="947" spans="1:28" x14ac:dyDescent="0.35">
      <c r="A947" s="2">
        <v>50</v>
      </c>
      <c r="B947" s="2" t="str" cm="1">
        <f t="array" ref="B947">_xlfn.IFS(HR_table[[#This Row],[Age]]&lt;=20, "Under 20yrs",HR_table[[#This Row],[Age]]&lt;=30,"(21-30)yrs",HR_table[[#This Row],[Age]]&lt;=40,"(31-40)yrs",HR_table[[#This Row],[Age]]&lt;=50,"(41-50)yrs",HR_table[[#This Row],[Age]]&lt;=60,"(51-60)yrs")</f>
        <v>(41-50)yrs</v>
      </c>
      <c r="C947" t="s">
        <v>43</v>
      </c>
      <c r="D947" t="s">
        <v>36</v>
      </c>
      <c r="E947" t="s">
        <v>45</v>
      </c>
      <c r="F947" t="s">
        <v>38</v>
      </c>
      <c r="G947" t="s">
        <v>58</v>
      </c>
      <c r="H947">
        <v>1317</v>
      </c>
      <c r="I947" s="2">
        <v>28</v>
      </c>
      <c r="J947" s="2">
        <v>4</v>
      </c>
      <c r="K947" t="s">
        <v>39</v>
      </c>
      <c r="L947" s="2">
        <v>4</v>
      </c>
      <c r="M947" s="2">
        <v>1</v>
      </c>
      <c r="N947" t="s">
        <v>48</v>
      </c>
      <c r="O947" s="2">
        <v>16880</v>
      </c>
      <c r="P947" s="2">
        <v>22422</v>
      </c>
      <c r="Q947" s="2">
        <v>4</v>
      </c>
      <c r="R947" t="s">
        <v>35</v>
      </c>
      <c r="S947" s="2">
        <v>3</v>
      </c>
      <c r="T947" s="2">
        <v>2</v>
      </c>
      <c r="U947">
        <v>80</v>
      </c>
      <c r="V947" s="2">
        <v>25</v>
      </c>
      <c r="W947">
        <v>2</v>
      </c>
      <c r="X947">
        <v>3</v>
      </c>
      <c r="Y947">
        <v>3</v>
      </c>
      <c r="Z947">
        <v>2</v>
      </c>
      <c r="AA947">
        <v>1</v>
      </c>
      <c r="AB947">
        <v>2</v>
      </c>
    </row>
    <row r="948" spans="1:28" x14ac:dyDescent="0.35">
      <c r="A948" s="2">
        <v>40</v>
      </c>
      <c r="B948" s="2" t="str" cm="1">
        <f t="array" ref="B948">_xlfn.IFS(HR_table[[#This Row],[Age]]&lt;=20, "Under 20yrs",HR_table[[#This Row],[Age]]&lt;=30,"(21-30)yrs",HR_table[[#This Row],[Age]]&lt;=40,"(31-40)yrs",HR_table[[#This Row],[Age]]&lt;=50,"(41-50)yrs",HR_table[[#This Row],[Age]]&lt;=60,"(51-60)yrs")</f>
        <v>(31-40)yrs</v>
      </c>
      <c r="C948" t="s">
        <v>35</v>
      </c>
      <c r="D948" t="s">
        <v>36</v>
      </c>
      <c r="E948" t="s">
        <v>37</v>
      </c>
      <c r="F948" t="s">
        <v>59</v>
      </c>
      <c r="G948" t="s">
        <v>40</v>
      </c>
      <c r="H948">
        <v>1318</v>
      </c>
      <c r="I948" s="2">
        <v>25</v>
      </c>
      <c r="J948" s="2">
        <v>4</v>
      </c>
      <c r="K948" t="s">
        <v>46</v>
      </c>
      <c r="L948" s="2">
        <v>3</v>
      </c>
      <c r="M948" s="2">
        <v>2</v>
      </c>
      <c r="N948" t="s">
        <v>41</v>
      </c>
      <c r="O948" s="2">
        <v>9094</v>
      </c>
      <c r="P948" s="2">
        <v>17235</v>
      </c>
      <c r="Q948" s="2">
        <v>2</v>
      </c>
      <c r="R948" t="s">
        <v>35</v>
      </c>
      <c r="S948" s="2">
        <v>3</v>
      </c>
      <c r="T948" s="2">
        <v>3</v>
      </c>
      <c r="U948">
        <v>80</v>
      </c>
      <c r="V948" s="2">
        <v>9</v>
      </c>
      <c r="W948">
        <v>2</v>
      </c>
      <c r="X948">
        <v>3</v>
      </c>
      <c r="Y948">
        <v>5</v>
      </c>
      <c r="Z948">
        <v>4</v>
      </c>
      <c r="AA948">
        <v>1</v>
      </c>
      <c r="AB948">
        <v>0</v>
      </c>
    </row>
    <row r="949" spans="1:28" x14ac:dyDescent="0.35">
      <c r="A949" s="2">
        <v>52</v>
      </c>
      <c r="B949" s="2" t="str" cm="1">
        <f t="array" ref="B949">_xlfn.IFS(HR_table[[#This Row],[Age]]&lt;=20, "Under 20yrs",HR_table[[#This Row],[Age]]&lt;=30,"(21-30)yrs",HR_table[[#This Row],[Age]]&lt;=40,"(31-40)yrs",HR_table[[#This Row],[Age]]&lt;=50,"(41-50)yrs",HR_table[[#This Row],[Age]]&lt;=60,"(51-60)yrs")</f>
        <v>(51-60)yrs</v>
      </c>
      <c r="C949" t="s">
        <v>35</v>
      </c>
      <c r="D949" t="s">
        <v>36</v>
      </c>
      <c r="E949" t="s">
        <v>37</v>
      </c>
      <c r="F949" t="s">
        <v>38</v>
      </c>
      <c r="G949" t="s">
        <v>40</v>
      </c>
      <c r="H949">
        <v>1319</v>
      </c>
      <c r="I949" s="2">
        <v>5</v>
      </c>
      <c r="J949" s="2">
        <v>2</v>
      </c>
      <c r="K949" t="s">
        <v>46</v>
      </c>
      <c r="L949" s="2">
        <v>3</v>
      </c>
      <c r="M949" s="2">
        <v>2</v>
      </c>
      <c r="N949" t="s">
        <v>41</v>
      </c>
      <c r="O949" s="2">
        <v>8446</v>
      </c>
      <c r="P949" s="2">
        <v>21534</v>
      </c>
      <c r="Q949" s="2">
        <v>9</v>
      </c>
      <c r="R949" t="s">
        <v>35</v>
      </c>
      <c r="S949" s="2">
        <v>3</v>
      </c>
      <c r="T949" s="2">
        <v>3</v>
      </c>
      <c r="U949">
        <v>80</v>
      </c>
      <c r="V949" s="2">
        <v>10</v>
      </c>
      <c r="W949">
        <v>2</v>
      </c>
      <c r="X949">
        <v>2</v>
      </c>
      <c r="Y949">
        <v>8</v>
      </c>
      <c r="Z949">
        <v>7</v>
      </c>
      <c r="AA949">
        <v>7</v>
      </c>
      <c r="AB949">
        <v>7</v>
      </c>
    </row>
    <row r="950" spans="1:28" x14ac:dyDescent="0.35">
      <c r="A950" s="2">
        <v>30</v>
      </c>
      <c r="B950" s="2" t="str" cm="1">
        <f t="array" ref="B950">_xlfn.IFS(HR_table[[#This Row],[Age]]&lt;=20, "Under 20yrs",HR_table[[#This Row],[Age]]&lt;=30,"(21-30)yrs",HR_table[[#This Row],[Age]]&lt;=40,"(31-40)yrs",HR_table[[#This Row],[Age]]&lt;=50,"(41-50)yrs",HR_table[[#This Row],[Age]]&lt;=60,"(51-60)yrs")</f>
        <v>(21-30)yrs</v>
      </c>
      <c r="C950" t="s">
        <v>43</v>
      </c>
      <c r="D950" t="s">
        <v>36</v>
      </c>
      <c r="E950" t="s">
        <v>45</v>
      </c>
      <c r="F950" t="s">
        <v>51</v>
      </c>
      <c r="G950" t="s">
        <v>56</v>
      </c>
      <c r="H950">
        <v>1321</v>
      </c>
      <c r="I950" s="2">
        <v>17</v>
      </c>
      <c r="J950" s="2">
        <v>2</v>
      </c>
      <c r="K950" t="s">
        <v>39</v>
      </c>
      <c r="L950" s="2">
        <v>3</v>
      </c>
      <c r="M950" s="2">
        <v>1</v>
      </c>
      <c r="N950" t="s">
        <v>48</v>
      </c>
      <c r="O950" s="2">
        <v>11916</v>
      </c>
      <c r="P950" s="2">
        <v>25927</v>
      </c>
      <c r="Q950" s="2">
        <v>1</v>
      </c>
      <c r="R950" t="s">
        <v>35</v>
      </c>
      <c r="S950" s="2">
        <v>4</v>
      </c>
      <c r="T950" s="2">
        <v>4</v>
      </c>
      <c r="U950">
        <v>80</v>
      </c>
      <c r="V950" s="2">
        <v>9</v>
      </c>
      <c r="W950">
        <v>2</v>
      </c>
      <c r="X950">
        <v>3</v>
      </c>
      <c r="Y950">
        <v>9</v>
      </c>
      <c r="Z950">
        <v>1</v>
      </c>
      <c r="AA950">
        <v>0</v>
      </c>
      <c r="AB950">
        <v>8</v>
      </c>
    </row>
    <row r="951" spans="1:28" x14ac:dyDescent="0.35">
      <c r="A951" s="2">
        <v>39</v>
      </c>
      <c r="B951" s="2" t="str" cm="1">
        <f t="array" ref="B951">_xlfn.IFS(HR_table[[#This Row],[Age]]&lt;=20, "Under 20yrs",HR_table[[#This Row],[Age]]&lt;=30,"(21-30)yrs",HR_table[[#This Row],[Age]]&lt;=40,"(31-40)yrs",HR_table[[#This Row],[Age]]&lt;=50,"(41-50)yrs",HR_table[[#This Row],[Age]]&lt;=60,"(51-60)yrs")</f>
        <v>(31-40)yrs</v>
      </c>
      <c r="C951" t="s">
        <v>43</v>
      </c>
      <c r="D951" t="s">
        <v>36</v>
      </c>
      <c r="E951" t="s">
        <v>45</v>
      </c>
      <c r="F951" t="s">
        <v>38</v>
      </c>
      <c r="G951" t="s">
        <v>53</v>
      </c>
      <c r="H951">
        <v>1322</v>
      </c>
      <c r="I951" s="2">
        <v>18</v>
      </c>
      <c r="J951" s="2">
        <v>1</v>
      </c>
      <c r="K951" t="s">
        <v>46</v>
      </c>
      <c r="L951" s="2">
        <v>2</v>
      </c>
      <c r="M951" s="2">
        <v>3</v>
      </c>
      <c r="N951" t="s">
        <v>41</v>
      </c>
      <c r="O951" s="2">
        <v>4534</v>
      </c>
      <c r="P951" s="2">
        <v>13352</v>
      </c>
      <c r="Q951" s="2">
        <v>0</v>
      </c>
      <c r="R951" t="s">
        <v>43</v>
      </c>
      <c r="S951" s="2">
        <v>3</v>
      </c>
      <c r="T951" s="2">
        <v>1</v>
      </c>
      <c r="U951">
        <v>80</v>
      </c>
      <c r="V951" s="2">
        <v>9</v>
      </c>
      <c r="W951">
        <v>6</v>
      </c>
      <c r="X951">
        <v>3</v>
      </c>
      <c r="Y951">
        <v>8</v>
      </c>
      <c r="Z951">
        <v>7</v>
      </c>
      <c r="AA951">
        <v>1</v>
      </c>
      <c r="AB951">
        <v>7</v>
      </c>
    </row>
    <row r="952" spans="1:28" x14ac:dyDescent="0.35">
      <c r="A952" s="2">
        <v>31</v>
      </c>
      <c r="B952" s="2" t="str" cm="1">
        <f t="array" ref="B952">_xlfn.IFS(HR_table[[#This Row],[Age]]&lt;=20, "Under 20yrs",HR_table[[#This Row],[Age]]&lt;=30,"(21-30)yrs",HR_table[[#This Row],[Age]]&lt;=40,"(31-40)yrs",HR_table[[#This Row],[Age]]&lt;=50,"(41-50)yrs",HR_table[[#This Row],[Age]]&lt;=60,"(51-60)yrs")</f>
        <v>(31-40)yrs</v>
      </c>
      <c r="C952" t="s">
        <v>43</v>
      </c>
      <c r="D952" t="s">
        <v>55</v>
      </c>
      <c r="E952" t="s">
        <v>37</v>
      </c>
      <c r="F952" t="s">
        <v>38</v>
      </c>
      <c r="G952" t="s">
        <v>40</v>
      </c>
      <c r="H952">
        <v>1324</v>
      </c>
      <c r="I952" s="2">
        <v>2</v>
      </c>
      <c r="J952" s="2">
        <v>4</v>
      </c>
      <c r="K952" t="s">
        <v>39</v>
      </c>
      <c r="L952" s="2">
        <v>3</v>
      </c>
      <c r="M952" s="2">
        <v>3</v>
      </c>
      <c r="N952" t="s">
        <v>52</v>
      </c>
      <c r="O952" s="2">
        <v>9852</v>
      </c>
      <c r="P952" s="2">
        <v>8935</v>
      </c>
      <c r="Q952" s="2">
        <v>1</v>
      </c>
      <c r="R952" t="s">
        <v>35</v>
      </c>
      <c r="S952" s="2">
        <v>3</v>
      </c>
      <c r="T952" s="2">
        <v>1</v>
      </c>
      <c r="U952">
        <v>80</v>
      </c>
      <c r="V952" s="2">
        <v>10</v>
      </c>
      <c r="W952">
        <v>5</v>
      </c>
      <c r="X952">
        <v>2</v>
      </c>
      <c r="Y952">
        <v>10</v>
      </c>
      <c r="Z952">
        <v>8</v>
      </c>
      <c r="AA952">
        <v>9</v>
      </c>
      <c r="AB952">
        <v>6</v>
      </c>
    </row>
    <row r="953" spans="1:28" x14ac:dyDescent="0.35">
      <c r="A953" s="2">
        <v>41</v>
      </c>
      <c r="B953" s="2" t="str" cm="1">
        <f t="array" ref="B953">_xlfn.IFS(HR_table[[#This Row],[Age]]&lt;=20, "Under 20yrs",HR_table[[#This Row],[Age]]&lt;=30,"(21-30)yrs",HR_table[[#This Row],[Age]]&lt;=40,"(31-40)yrs",HR_table[[#This Row],[Age]]&lt;=50,"(41-50)yrs",HR_table[[#This Row],[Age]]&lt;=60,"(51-60)yrs")</f>
        <v>(41-50)yrs</v>
      </c>
      <c r="C953" t="s">
        <v>43</v>
      </c>
      <c r="D953" t="s">
        <v>55</v>
      </c>
      <c r="E953" t="s">
        <v>37</v>
      </c>
      <c r="F953" t="s">
        <v>51</v>
      </c>
      <c r="G953" t="s">
        <v>40</v>
      </c>
      <c r="H953">
        <v>1329</v>
      </c>
      <c r="I953" s="2">
        <v>10</v>
      </c>
      <c r="J953" s="2">
        <v>3</v>
      </c>
      <c r="K953" t="s">
        <v>46</v>
      </c>
      <c r="L953" s="2">
        <v>2</v>
      </c>
      <c r="M953" s="2">
        <v>2</v>
      </c>
      <c r="N953" t="s">
        <v>41</v>
      </c>
      <c r="O953" s="2">
        <v>6151</v>
      </c>
      <c r="P953" s="2">
        <v>22074</v>
      </c>
      <c r="Q953" s="2">
        <v>1</v>
      </c>
      <c r="R953" t="s">
        <v>43</v>
      </c>
      <c r="S953" s="2">
        <v>3</v>
      </c>
      <c r="T953" s="2">
        <v>1</v>
      </c>
      <c r="U953">
        <v>80</v>
      </c>
      <c r="V953" s="2">
        <v>19</v>
      </c>
      <c r="W953">
        <v>4</v>
      </c>
      <c r="X953">
        <v>3</v>
      </c>
      <c r="Y953">
        <v>19</v>
      </c>
      <c r="Z953">
        <v>2</v>
      </c>
      <c r="AA953">
        <v>11</v>
      </c>
      <c r="AB953">
        <v>9</v>
      </c>
    </row>
    <row r="954" spans="1:28" x14ac:dyDescent="0.35">
      <c r="A954" s="2">
        <v>31</v>
      </c>
      <c r="B954" s="2" t="str" cm="1">
        <f t="array" ref="B954">_xlfn.IFS(HR_table[[#This Row],[Age]]&lt;=20, "Under 20yrs",HR_table[[#This Row],[Age]]&lt;=30,"(21-30)yrs",HR_table[[#This Row],[Age]]&lt;=40,"(31-40)yrs",HR_table[[#This Row],[Age]]&lt;=50,"(41-50)yrs",HR_table[[#This Row],[Age]]&lt;=60,"(51-60)yrs")</f>
        <v>(31-40)yrs</v>
      </c>
      <c r="C954" t="s">
        <v>35</v>
      </c>
      <c r="D954" t="s">
        <v>44</v>
      </c>
      <c r="E954" t="s">
        <v>37</v>
      </c>
      <c r="F954" t="s">
        <v>38</v>
      </c>
      <c r="G954" t="s">
        <v>57</v>
      </c>
      <c r="H954">
        <v>1331</v>
      </c>
      <c r="I954" s="2">
        <v>1</v>
      </c>
      <c r="J954" s="2">
        <v>4</v>
      </c>
      <c r="K954" t="s">
        <v>39</v>
      </c>
      <c r="L954" s="2">
        <v>1</v>
      </c>
      <c r="M954" s="2">
        <v>2</v>
      </c>
      <c r="N954" t="s">
        <v>41</v>
      </c>
      <c r="O954" s="2">
        <v>2302</v>
      </c>
      <c r="P954" s="2">
        <v>8319</v>
      </c>
      <c r="Q954" s="2">
        <v>1</v>
      </c>
      <c r="R954" t="s">
        <v>35</v>
      </c>
      <c r="S954" s="2">
        <v>3</v>
      </c>
      <c r="T954" s="2">
        <v>1</v>
      </c>
      <c r="U954">
        <v>80</v>
      </c>
      <c r="V954" s="2">
        <v>3</v>
      </c>
      <c r="W954">
        <v>2</v>
      </c>
      <c r="X954">
        <v>4</v>
      </c>
      <c r="Y954">
        <v>3</v>
      </c>
      <c r="Z954">
        <v>2</v>
      </c>
      <c r="AA954">
        <v>2</v>
      </c>
      <c r="AB954">
        <v>2</v>
      </c>
    </row>
    <row r="955" spans="1:28" x14ac:dyDescent="0.35">
      <c r="A955" s="2">
        <v>44</v>
      </c>
      <c r="B955" s="2" t="str" cm="1">
        <f t="array" ref="B955">_xlfn.IFS(HR_table[[#This Row],[Age]]&lt;=20, "Under 20yrs",HR_table[[#This Row],[Age]]&lt;=30,"(21-30)yrs",HR_table[[#This Row],[Age]]&lt;=40,"(31-40)yrs",HR_table[[#This Row],[Age]]&lt;=50,"(41-50)yrs",HR_table[[#This Row],[Age]]&lt;=60,"(51-60)yrs")</f>
        <v>(41-50)yrs</v>
      </c>
      <c r="C955" t="s">
        <v>35</v>
      </c>
      <c r="D955" t="s">
        <v>36</v>
      </c>
      <c r="E955" t="s">
        <v>45</v>
      </c>
      <c r="F955" t="s">
        <v>38</v>
      </c>
      <c r="G955" t="s">
        <v>50</v>
      </c>
      <c r="H955">
        <v>1333</v>
      </c>
      <c r="I955" s="2">
        <v>3</v>
      </c>
      <c r="J955" s="2">
        <v>1</v>
      </c>
      <c r="K955" t="s">
        <v>46</v>
      </c>
      <c r="L955" s="2">
        <v>1</v>
      </c>
      <c r="M955" s="2">
        <v>1</v>
      </c>
      <c r="N955" t="s">
        <v>48</v>
      </c>
      <c r="O955" s="2">
        <v>2362</v>
      </c>
      <c r="P955" s="2">
        <v>14669</v>
      </c>
      <c r="Q955" s="2">
        <v>4</v>
      </c>
      <c r="R955" t="s">
        <v>43</v>
      </c>
      <c r="S955" s="2">
        <v>3</v>
      </c>
      <c r="T955" s="2">
        <v>3</v>
      </c>
      <c r="U955">
        <v>80</v>
      </c>
      <c r="V955" s="2">
        <v>10</v>
      </c>
      <c r="W955">
        <v>4</v>
      </c>
      <c r="X955">
        <v>4</v>
      </c>
      <c r="Y955">
        <v>3</v>
      </c>
      <c r="Z955">
        <v>2</v>
      </c>
      <c r="AA955">
        <v>1</v>
      </c>
      <c r="AB955">
        <v>2</v>
      </c>
    </row>
    <row r="956" spans="1:28" x14ac:dyDescent="0.35">
      <c r="A956" s="2">
        <v>42</v>
      </c>
      <c r="B956" s="2" t="str" cm="1">
        <f t="array" ref="B956">_xlfn.IFS(HR_table[[#This Row],[Age]]&lt;=20, "Under 20yrs",HR_table[[#This Row],[Age]]&lt;=30,"(21-30)yrs",HR_table[[#This Row],[Age]]&lt;=40,"(31-40)yrs",HR_table[[#This Row],[Age]]&lt;=50,"(41-50)yrs",HR_table[[#This Row],[Age]]&lt;=60,"(51-60)yrs")</f>
        <v>(41-50)yrs</v>
      </c>
      <c r="C956" t="s">
        <v>43</v>
      </c>
      <c r="D956" t="s">
        <v>55</v>
      </c>
      <c r="E956" t="s">
        <v>45</v>
      </c>
      <c r="F956" t="s">
        <v>38</v>
      </c>
      <c r="G956" t="s">
        <v>56</v>
      </c>
      <c r="H956">
        <v>1334</v>
      </c>
      <c r="I956" s="2">
        <v>2</v>
      </c>
      <c r="J956" s="2">
        <v>3</v>
      </c>
      <c r="K956" t="s">
        <v>46</v>
      </c>
      <c r="L956" s="2">
        <v>4</v>
      </c>
      <c r="M956" s="2">
        <v>3</v>
      </c>
      <c r="N956" t="s">
        <v>48</v>
      </c>
      <c r="O956" s="2">
        <v>17861</v>
      </c>
      <c r="P956" s="2">
        <v>26582</v>
      </c>
      <c r="Q956" s="2">
        <v>0</v>
      </c>
      <c r="R956" t="s">
        <v>35</v>
      </c>
      <c r="S956" s="2">
        <v>3</v>
      </c>
      <c r="T956" s="2">
        <v>4</v>
      </c>
      <c r="U956">
        <v>80</v>
      </c>
      <c r="V956" s="2">
        <v>21</v>
      </c>
      <c r="W956">
        <v>3</v>
      </c>
      <c r="X956">
        <v>2</v>
      </c>
      <c r="Y956">
        <v>20</v>
      </c>
      <c r="Z956">
        <v>8</v>
      </c>
      <c r="AA956">
        <v>2</v>
      </c>
      <c r="AB956">
        <v>10</v>
      </c>
    </row>
    <row r="957" spans="1:28" x14ac:dyDescent="0.35">
      <c r="A957" s="2">
        <v>55</v>
      </c>
      <c r="B957" s="2" t="str" cm="1">
        <f t="array" ref="B957">_xlfn.IFS(HR_table[[#This Row],[Age]]&lt;=20, "Under 20yrs",HR_table[[#This Row],[Age]]&lt;=30,"(21-30)yrs",HR_table[[#This Row],[Age]]&lt;=40,"(31-40)yrs",HR_table[[#This Row],[Age]]&lt;=50,"(41-50)yrs",HR_table[[#This Row],[Age]]&lt;=60,"(51-60)yrs")</f>
        <v>(51-60)yrs</v>
      </c>
      <c r="C957" t="s">
        <v>43</v>
      </c>
      <c r="D957" t="s">
        <v>36</v>
      </c>
      <c r="E957" t="s">
        <v>45</v>
      </c>
      <c r="F957" t="s">
        <v>51</v>
      </c>
      <c r="G957" t="s">
        <v>56</v>
      </c>
      <c r="H957">
        <v>1336</v>
      </c>
      <c r="I957" s="2">
        <v>2</v>
      </c>
      <c r="J957" s="2">
        <v>4</v>
      </c>
      <c r="K957" t="s">
        <v>39</v>
      </c>
      <c r="L957" s="2">
        <v>5</v>
      </c>
      <c r="M957" s="2">
        <v>3</v>
      </c>
      <c r="N957" t="s">
        <v>48</v>
      </c>
      <c r="O957" s="2">
        <v>19187</v>
      </c>
      <c r="P957" s="2">
        <v>6992</v>
      </c>
      <c r="Q957" s="2">
        <v>4</v>
      </c>
      <c r="R957" t="s">
        <v>43</v>
      </c>
      <c r="S957" s="2">
        <v>3</v>
      </c>
      <c r="T957" s="2">
        <v>4</v>
      </c>
      <c r="U957">
        <v>80</v>
      </c>
      <c r="V957" s="2">
        <v>23</v>
      </c>
      <c r="W957">
        <v>5</v>
      </c>
      <c r="X957">
        <v>3</v>
      </c>
      <c r="Y957">
        <v>19</v>
      </c>
      <c r="Z957">
        <v>9</v>
      </c>
      <c r="AA957">
        <v>9</v>
      </c>
      <c r="AB957">
        <v>11</v>
      </c>
    </row>
    <row r="958" spans="1:28" x14ac:dyDescent="0.35">
      <c r="A958" s="2">
        <v>56</v>
      </c>
      <c r="B958" s="2" t="str" cm="1">
        <f t="array" ref="B958">_xlfn.IFS(HR_table[[#This Row],[Age]]&lt;=20, "Under 20yrs",HR_table[[#This Row],[Age]]&lt;=30,"(21-30)yrs",HR_table[[#This Row],[Age]]&lt;=40,"(31-40)yrs",HR_table[[#This Row],[Age]]&lt;=50,"(41-50)yrs",HR_table[[#This Row],[Age]]&lt;=60,"(51-60)yrs")</f>
        <v>(51-60)yrs</v>
      </c>
      <c r="C958" t="s">
        <v>43</v>
      </c>
      <c r="D958" t="s">
        <v>36</v>
      </c>
      <c r="E958" t="s">
        <v>61</v>
      </c>
      <c r="F958" t="s">
        <v>38</v>
      </c>
      <c r="G958" t="s">
        <v>56</v>
      </c>
      <c r="H958">
        <v>1338</v>
      </c>
      <c r="I958" s="2">
        <v>8</v>
      </c>
      <c r="J958" s="2">
        <v>4</v>
      </c>
      <c r="K958" t="s">
        <v>46</v>
      </c>
      <c r="L958" s="2">
        <v>5</v>
      </c>
      <c r="M958" s="2">
        <v>2</v>
      </c>
      <c r="N958" t="s">
        <v>41</v>
      </c>
      <c r="O958" s="2">
        <v>19717</v>
      </c>
      <c r="P958" s="2">
        <v>4022</v>
      </c>
      <c r="Q958" s="2">
        <v>6</v>
      </c>
      <c r="R958" t="s">
        <v>43</v>
      </c>
      <c r="S958" s="2">
        <v>3</v>
      </c>
      <c r="T958" s="2">
        <v>1</v>
      </c>
      <c r="U958">
        <v>80</v>
      </c>
      <c r="V958" s="2">
        <v>36</v>
      </c>
      <c r="W958">
        <v>4</v>
      </c>
      <c r="X958">
        <v>3</v>
      </c>
      <c r="Y958">
        <v>7</v>
      </c>
      <c r="Z958">
        <v>3</v>
      </c>
      <c r="AA958">
        <v>7</v>
      </c>
      <c r="AB958">
        <v>7</v>
      </c>
    </row>
    <row r="959" spans="1:28" x14ac:dyDescent="0.35">
      <c r="A959" s="2">
        <v>40</v>
      </c>
      <c r="B959" s="2" t="str" cm="1">
        <f t="array" ref="B959">_xlfn.IFS(HR_table[[#This Row],[Age]]&lt;=20, "Under 20yrs",HR_table[[#This Row],[Age]]&lt;=30,"(21-30)yrs",HR_table[[#This Row],[Age]]&lt;=40,"(31-40)yrs",HR_table[[#This Row],[Age]]&lt;=50,"(41-50)yrs",HR_table[[#This Row],[Age]]&lt;=60,"(51-60)yrs")</f>
        <v>(31-40)yrs</v>
      </c>
      <c r="C959" t="s">
        <v>43</v>
      </c>
      <c r="D959" t="s">
        <v>55</v>
      </c>
      <c r="E959" t="s">
        <v>45</v>
      </c>
      <c r="F959" t="s">
        <v>38</v>
      </c>
      <c r="G959" t="s">
        <v>47</v>
      </c>
      <c r="H959">
        <v>1340</v>
      </c>
      <c r="I959" s="2">
        <v>16</v>
      </c>
      <c r="J959" s="2">
        <v>3</v>
      </c>
      <c r="K959" t="s">
        <v>46</v>
      </c>
      <c r="L959" s="2">
        <v>1</v>
      </c>
      <c r="M959" s="2">
        <v>3</v>
      </c>
      <c r="N959" t="s">
        <v>52</v>
      </c>
      <c r="O959" s="2">
        <v>3544</v>
      </c>
      <c r="P959" s="2">
        <v>8532</v>
      </c>
      <c r="Q959" s="2">
        <v>9</v>
      </c>
      <c r="R959" t="s">
        <v>43</v>
      </c>
      <c r="S959" s="2">
        <v>3</v>
      </c>
      <c r="T959" s="2">
        <v>2</v>
      </c>
      <c r="U959">
        <v>80</v>
      </c>
      <c r="V959" s="2">
        <v>6</v>
      </c>
      <c r="W959">
        <v>0</v>
      </c>
      <c r="X959">
        <v>3</v>
      </c>
      <c r="Y959">
        <v>4</v>
      </c>
      <c r="Z959">
        <v>2</v>
      </c>
      <c r="AA959">
        <v>0</v>
      </c>
      <c r="AB959">
        <v>0</v>
      </c>
    </row>
    <row r="960" spans="1:28" x14ac:dyDescent="0.35">
      <c r="A960" s="2">
        <v>34</v>
      </c>
      <c r="B960" s="2" t="str" cm="1">
        <f t="array" ref="B960">_xlfn.IFS(HR_table[[#This Row],[Age]]&lt;=20, "Under 20yrs",HR_table[[#This Row],[Age]]&lt;=30,"(21-30)yrs",HR_table[[#This Row],[Age]]&lt;=40,"(31-40)yrs",HR_table[[#This Row],[Age]]&lt;=50,"(41-50)yrs",HR_table[[#This Row],[Age]]&lt;=60,"(51-60)yrs")</f>
        <v>(31-40)yrs</v>
      </c>
      <c r="C960" t="s">
        <v>43</v>
      </c>
      <c r="D960" t="s">
        <v>36</v>
      </c>
      <c r="E960" t="s">
        <v>45</v>
      </c>
      <c r="F960" t="s">
        <v>38</v>
      </c>
      <c r="G960" t="s">
        <v>54</v>
      </c>
      <c r="H960">
        <v>1344</v>
      </c>
      <c r="I960" s="2">
        <v>9</v>
      </c>
      <c r="J960" s="2">
        <v>4</v>
      </c>
      <c r="K960" t="s">
        <v>46</v>
      </c>
      <c r="L960" s="2">
        <v>3</v>
      </c>
      <c r="M960" s="2">
        <v>4</v>
      </c>
      <c r="N960" t="s">
        <v>52</v>
      </c>
      <c r="O960" s="2">
        <v>8500</v>
      </c>
      <c r="P960" s="2">
        <v>5494</v>
      </c>
      <c r="Q960" s="2">
        <v>0</v>
      </c>
      <c r="R960" t="s">
        <v>43</v>
      </c>
      <c r="S960" s="2">
        <v>3</v>
      </c>
      <c r="T960" s="2">
        <v>4</v>
      </c>
      <c r="U960">
        <v>80</v>
      </c>
      <c r="V960" s="2">
        <v>10</v>
      </c>
      <c r="W960">
        <v>0</v>
      </c>
      <c r="X960">
        <v>2</v>
      </c>
      <c r="Y960">
        <v>9</v>
      </c>
      <c r="Z960">
        <v>7</v>
      </c>
      <c r="AA960">
        <v>1</v>
      </c>
      <c r="AB960">
        <v>6</v>
      </c>
    </row>
    <row r="961" spans="1:28" x14ac:dyDescent="0.35">
      <c r="A961" s="2">
        <v>40</v>
      </c>
      <c r="B961" s="2" t="str" cm="1">
        <f t="array" ref="B961">_xlfn.IFS(HR_table[[#This Row],[Age]]&lt;=20, "Under 20yrs",HR_table[[#This Row],[Age]]&lt;=30,"(21-30)yrs",HR_table[[#This Row],[Age]]&lt;=40,"(31-40)yrs",HR_table[[#This Row],[Age]]&lt;=50,"(41-50)yrs",HR_table[[#This Row],[Age]]&lt;=60,"(51-60)yrs")</f>
        <v>(31-40)yrs</v>
      </c>
      <c r="C961" t="s">
        <v>43</v>
      </c>
      <c r="D961" t="s">
        <v>36</v>
      </c>
      <c r="E961" t="s">
        <v>45</v>
      </c>
      <c r="F961" t="s">
        <v>38</v>
      </c>
      <c r="G961" t="s">
        <v>47</v>
      </c>
      <c r="H961">
        <v>1346</v>
      </c>
      <c r="I961" s="2">
        <v>2</v>
      </c>
      <c r="J961" s="2">
        <v>3</v>
      </c>
      <c r="K961" t="s">
        <v>46</v>
      </c>
      <c r="L961" s="2">
        <v>2</v>
      </c>
      <c r="M961" s="2">
        <v>4</v>
      </c>
      <c r="N961" t="s">
        <v>41</v>
      </c>
      <c r="O961" s="2">
        <v>4661</v>
      </c>
      <c r="P961" s="2">
        <v>22455</v>
      </c>
      <c r="Q961" s="2">
        <v>1</v>
      </c>
      <c r="R961" t="s">
        <v>43</v>
      </c>
      <c r="S961" s="2">
        <v>3</v>
      </c>
      <c r="T961" s="2">
        <v>3</v>
      </c>
      <c r="U961">
        <v>80</v>
      </c>
      <c r="V961" s="2">
        <v>9</v>
      </c>
      <c r="W961">
        <v>4</v>
      </c>
      <c r="X961">
        <v>3</v>
      </c>
      <c r="Y961">
        <v>9</v>
      </c>
      <c r="Z961">
        <v>8</v>
      </c>
      <c r="AA961">
        <v>8</v>
      </c>
      <c r="AB961">
        <v>8</v>
      </c>
    </row>
    <row r="962" spans="1:28" x14ac:dyDescent="0.35">
      <c r="A962" s="2">
        <v>41</v>
      </c>
      <c r="B962" s="2" t="str" cm="1">
        <f t="array" ref="B962">_xlfn.IFS(HR_table[[#This Row],[Age]]&lt;=20, "Under 20yrs",HR_table[[#This Row],[Age]]&lt;=30,"(21-30)yrs",HR_table[[#This Row],[Age]]&lt;=40,"(31-40)yrs",HR_table[[#This Row],[Age]]&lt;=50,"(41-50)yrs",HR_table[[#This Row],[Age]]&lt;=60,"(51-60)yrs")</f>
        <v>(41-50)yrs</v>
      </c>
      <c r="C962" t="s">
        <v>43</v>
      </c>
      <c r="D962" t="s">
        <v>44</v>
      </c>
      <c r="E962" t="s">
        <v>37</v>
      </c>
      <c r="F962" t="s">
        <v>59</v>
      </c>
      <c r="G962" t="s">
        <v>40</v>
      </c>
      <c r="H962">
        <v>1349</v>
      </c>
      <c r="I962" s="2">
        <v>1</v>
      </c>
      <c r="J962" s="2">
        <v>3</v>
      </c>
      <c r="K962" t="s">
        <v>39</v>
      </c>
      <c r="L962" s="2">
        <v>2</v>
      </c>
      <c r="M962" s="2">
        <v>1</v>
      </c>
      <c r="N962" t="s">
        <v>52</v>
      </c>
      <c r="O962" s="2">
        <v>4103</v>
      </c>
      <c r="P962" s="2">
        <v>4297</v>
      </c>
      <c r="Q962" s="2">
        <v>0</v>
      </c>
      <c r="R962" t="s">
        <v>43</v>
      </c>
      <c r="S962" s="2">
        <v>3</v>
      </c>
      <c r="T962" s="2">
        <v>4</v>
      </c>
      <c r="U962">
        <v>80</v>
      </c>
      <c r="V962" s="2">
        <v>10</v>
      </c>
      <c r="W962">
        <v>2</v>
      </c>
      <c r="X962">
        <v>3</v>
      </c>
      <c r="Y962">
        <v>9</v>
      </c>
      <c r="Z962">
        <v>3</v>
      </c>
      <c r="AA962">
        <v>1</v>
      </c>
      <c r="AB962">
        <v>7</v>
      </c>
    </row>
    <row r="963" spans="1:28" x14ac:dyDescent="0.35">
      <c r="A963" s="2">
        <v>35</v>
      </c>
      <c r="B963" s="2" t="str" cm="1">
        <f t="array" ref="B963">_xlfn.IFS(HR_table[[#This Row],[Age]]&lt;=20, "Under 20yrs",HR_table[[#This Row],[Age]]&lt;=30,"(21-30)yrs",HR_table[[#This Row],[Age]]&lt;=40,"(31-40)yrs",HR_table[[#This Row],[Age]]&lt;=50,"(41-50)yrs",HR_table[[#This Row],[Age]]&lt;=60,"(51-60)yrs")</f>
        <v>(31-40)yrs</v>
      </c>
      <c r="C963" t="s">
        <v>43</v>
      </c>
      <c r="D963" t="s">
        <v>44</v>
      </c>
      <c r="E963" t="s">
        <v>45</v>
      </c>
      <c r="F963" t="s">
        <v>38</v>
      </c>
      <c r="G963" t="s">
        <v>47</v>
      </c>
      <c r="H963">
        <v>1350</v>
      </c>
      <c r="I963" s="2">
        <v>4</v>
      </c>
      <c r="J963" s="2">
        <v>3</v>
      </c>
      <c r="K963" t="s">
        <v>46</v>
      </c>
      <c r="L963" s="2">
        <v>2</v>
      </c>
      <c r="M963" s="2">
        <v>3</v>
      </c>
      <c r="N963" t="s">
        <v>41</v>
      </c>
      <c r="O963" s="2">
        <v>4249</v>
      </c>
      <c r="P963" s="2">
        <v>2690</v>
      </c>
      <c r="Q963" s="2">
        <v>1</v>
      </c>
      <c r="R963" t="s">
        <v>35</v>
      </c>
      <c r="S963" s="2">
        <v>3</v>
      </c>
      <c r="T963" s="2">
        <v>2</v>
      </c>
      <c r="U963">
        <v>80</v>
      </c>
      <c r="V963" s="2">
        <v>9</v>
      </c>
      <c r="W963">
        <v>3</v>
      </c>
      <c r="X963">
        <v>3</v>
      </c>
      <c r="Y963">
        <v>9</v>
      </c>
      <c r="Z963">
        <v>6</v>
      </c>
      <c r="AA963">
        <v>1</v>
      </c>
      <c r="AB963">
        <v>1</v>
      </c>
    </row>
    <row r="964" spans="1:28" x14ac:dyDescent="0.35">
      <c r="A964" s="2">
        <v>51</v>
      </c>
      <c r="B964" s="2" t="str" cm="1">
        <f t="array" ref="B964">_xlfn.IFS(HR_table[[#This Row],[Age]]&lt;=20, "Under 20yrs",HR_table[[#This Row],[Age]]&lt;=30,"(21-30)yrs",HR_table[[#This Row],[Age]]&lt;=40,"(31-40)yrs",HR_table[[#This Row],[Age]]&lt;=50,"(41-50)yrs",HR_table[[#This Row],[Age]]&lt;=60,"(51-60)yrs")</f>
        <v>(51-60)yrs</v>
      </c>
      <c r="C964" t="s">
        <v>43</v>
      </c>
      <c r="D964" t="s">
        <v>36</v>
      </c>
      <c r="E964" t="s">
        <v>61</v>
      </c>
      <c r="F964" t="s">
        <v>38</v>
      </c>
      <c r="G964" t="s">
        <v>56</v>
      </c>
      <c r="H964">
        <v>1352</v>
      </c>
      <c r="I964" s="2">
        <v>5</v>
      </c>
      <c r="J964" s="2">
        <v>3</v>
      </c>
      <c r="K964" t="s">
        <v>46</v>
      </c>
      <c r="L964" s="2">
        <v>4</v>
      </c>
      <c r="M964" s="2">
        <v>2</v>
      </c>
      <c r="N964" t="s">
        <v>52</v>
      </c>
      <c r="O964" s="2">
        <v>14026</v>
      </c>
      <c r="P964" s="2">
        <v>17588</v>
      </c>
      <c r="Q964" s="2">
        <v>1</v>
      </c>
      <c r="R964" t="s">
        <v>35</v>
      </c>
      <c r="S964" s="2">
        <v>3</v>
      </c>
      <c r="T964" s="2">
        <v>2</v>
      </c>
      <c r="U964">
        <v>80</v>
      </c>
      <c r="V964" s="2">
        <v>33</v>
      </c>
      <c r="W964">
        <v>2</v>
      </c>
      <c r="X964">
        <v>3</v>
      </c>
      <c r="Y964">
        <v>33</v>
      </c>
      <c r="Z964">
        <v>9</v>
      </c>
      <c r="AA964">
        <v>0</v>
      </c>
      <c r="AB964">
        <v>10</v>
      </c>
    </row>
    <row r="965" spans="1:28" x14ac:dyDescent="0.35">
      <c r="A965" s="2">
        <v>38</v>
      </c>
      <c r="B965" s="2" t="str" cm="1">
        <f t="array" ref="B965">_xlfn.IFS(HR_table[[#This Row],[Age]]&lt;=20, "Under 20yrs",HR_table[[#This Row],[Age]]&lt;=30,"(21-30)yrs",HR_table[[#This Row],[Age]]&lt;=40,"(31-40)yrs",HR_table[[#This Row],[Age]]&lt;=50,"(41-50)yrs",HR_table[[#This Row],[Age]]&lt;=60,"(51-60)yrs")</f>
        <v>(31-40)yrs</v>
      </c>
      <c r="C965" t="s">
        <v>43</v>
      </c>
      <c r="D965" t="s">
        <v>36</v>
      </c>
      <c r="E965" t="s">
        <v>37</v>
      </c>
      <c r="F965" t="s">
        <v>38</v>
      </c>
      <c r="G965" t="s">
        <v>40</v>
      </c>
      <c r="H965">
        <v>1355</v>
      </c>
      <c r="I965" s="2">
        <v>2</v>
      </c>
      <c r="J965" s="2">
        <v>2</v>
      </c>
      <c r="K965" t="s">
        <v>39</v>
      </c>
      <c r="L965" s="2">
        <v>2</v>
      </c>
      <c r="M965" s="2">
        <v>1</v>
      </c>
      <c r="N965" t="s">
        <v>52</v>
      </c>
      <c r="O965" s="2">
        <v>6893</v>
      </c>
      <c r="P965" s="2">
        <v>19461</v>
      </c>
      <c r="Q965" s="2">
        <v>3</v>
      </c>
      <c r="R965" t="s">
        <v>43</v>
      </c>
      <c r="S965" s="2">
        <v>3</v>
      </c>
      <c r="T965" s="2">
        <v>4</v>
      </c>
      <c r="U965">
        <v>80</v>
      </c>
      <c r="V965" s="2">
        <v>11</v>
      </c>
      <c r="W965">
        <v>3</v>
      </c>
      <c r="X965">
        <v>3</v>
      </c>
      <c r="Y965">
        <v>7</v>
      </c>
      <c r="Z965">
        <v>7</v>
      </c>
      <c r="AA965">
        <v>1</v>
      </c>
      <c r="AB965">
        <v>7</v>
      </c>
    </row>
    <row r="966" spans="1:28" x14ac:dyDescent="0.35">
      <c r="A966" s="2">
        <v>34</v>
      </c>
      <c r="B966" s="2" t="str" cm="1">
        <f t="array" ref="B966">_xlfn.IFS(HR_table[[#This Row],[Age]]&lt;=20, "Under 20yrs",HR_table[[#This Row],[Age]]&lt;=30,"(21-30)yrs",HR_table[[#This Row],[Age]]&lt;=40,"(31-40)yrs",HR_table[[#This Row],[Age]]&lt;=50,"(41-50)yrs",HR_table[[#This Row],[Age]]&lt;=60,"(51-60)yrs")</f>
        <v>(31-40)yrs</v>
      </c>
      <c r="C966" t="s">
        <v>43</v>
      </c>
      <c r="D966" t="s">
        <v>36</v>
      </c>
      <c r="E966" t="s">
        <v>37</v>
      </c>
      <c r="F966" t="s">
        <v>51</v>
      </c>
      <c r="G966" t="s">
        <v>40</v>
      </c>
      <c r="H966">
        <v>1356</v>
      </c>
      <c r="I966" s="2">
        <v>15</v>
      </c>
      <c r="J966" s="2">
        <v>3</v>
      </c>
      <c r="K966" t="s">
        <v>39</v>
      </c>
      <c r="L966" s="2">
        <v>2</v>
      </c>
      <c r="M966" s="2">
        <v>1</v>
      </c>
      <c r="N966" t="s">
        <v>41</v>
      </c>
      <c r="O966" s="2">
        <v>6125</v>
      </c>
      <c r="P966" s="2">
        <v>23553</v>
      </c>
      <c r="Q966" s="2">
        <v>1</v>
      </c>
      <c r="R966" t="s">
        <v>43</v>
      </c>
      <c r="S966" s="2">
        <v>3</v>
      </c>
      <c r="T966" s="2">
        <v>4</v>
      </c>
      <c r="U966">
        <v>80</v>
      </c>
      <c r="V966" s="2">
        <v>10</v>
      </c>
      <c r="W966">
        <v>6</v>
      </c>
      <c r="X966">
        <v>4</v>
      </c>
      <c r="Y966">
        <v>10</v>
      </c>
      <c r="Z966">
        <v>8</v>
      </c>
      <c r="AA966">
        <v>9</v>
      </c>
      <c r="AB966">
        <v>6</v>
      </c>
    </row>
    <row r="967" spans="1:28" x14ac:dyDescent="0.35">
      <c r="A967" s="2">
        <v>25</v>
      </c>
      <c r="B967" s="2" t="str" cm="1">
        <f t="array" ref="B967">_xlfn.IFS(HR_table[[#This Row],[Age]]&lt;=20, "Under 20yrs",HR_table[[#This Row],[Age]]&lt;=30,"(21-30)yrs",HR_table[[#This Row],[Age]]&lt;=40,"(31-40)yrs",HR_table[[#This Row],[Age]]&lt;=50,"(41-50)yrs",HR_table[[#This Row],[Age]]&lt;=60,"(51-60)yrs")</f>
        <v>(21-30)yrs</v>
      </c>
      <c r="C967" t="s">
        <v>43</v>
      </c>
      <c r="D967" t="s">
        <v>36</v>
      </c>
      <c r="E967" t="s">
        <v>45</v>
      </c>
      <c r="F967" t="s">
        <v>51</v>
      </c>
      <c r="G967" t="s">
        <v>50</v>
      </c>
      <c r="H967">
        <v>1358</v>
      </c>
      <c r="I967" s="2">
        <v>19</v>
      </c>
      <c r="J967" s="2">
        <v>4</v>
      </c>
      <c r="K967" t="s">
        <v>46</v>
      </c>
      <c r="L967" s="2">
        <v>1</v>
      </c>
      <c r="M967" s="2">
        <v>4</v>
      </c>
      <c r="N967" t="s">
        <v>48</v>
      </c>
      <c r="O967" s="2">
        <v>3669</v>
      </c>
      <c r="P967" s="2">
        <v>9075</v>
      </c>
      <c r="Q967" s="2">
        <v>3</v>
      </c>
      <c r="R967" t="s">
        <v>43</v>
      </c>
      <c r="S967" s="2">
        <v>3</v>
      </c>
      <c r="T967" s="2">
        <v>3</v>
      </c>
      <c r="U967">
        <v>80</v>
      </c>
      <c r="V967" s="2">
        <v>7</v>
      </c>
      <c r="W967">
        <v>6</v>
      </c>
      <c r="X967">
        <v>2</v>
      </c>
      <c r="Y967">
        <v>3</v>
      </c>
      <c r="Z967">
        <v>2</v>
      </c>
      <c r="AA967">
        <v>1</v>
      </c>
      <c r="AB967">
        <v>2</v>
      </c>
    </row>
    <row r="968" spans="1:28" x14ac:dyDescent="0.35">
      <c r="A968" s="2">
        <v>58</v>
      </c>
      <c r="B968" s="2" t="str" cm="1">
        <f t="array" ref="B968">_xlfn.IFS(HR_table[[#This Row],[Age]]&lt;=20, "Under 20yrs",HR_table[[#This Row],[Age]]&lt;=30,"(21-30)yrs",HR_table[[#This Row],[Age]]&lt;=40,"(31-40)yrs",HR_table[[#This Row],[Age]]&lt;=50,"(41-50)yrs",HR_table[[#This Row],[Age]]&lt;=60,"(51-60)yrs")</f>
        <v>(51-60)yrs</v>
      </c>
      <c r="C968" t="s">
        <v>35</v>
      </c>
      <c r="D968" t="s">
        <v>36</v>
      </c>
      <c r="E968" t="s">
        <v>45</v>
      </c>
      <c r="F968" t="s">
        <v>51</v>
      </c>
      <c r="G968" t="s">
        <v>53</v>
      </c>
      <c r="H968">
        <v>1360</v>
      </c>
      <c r="I968" s="2">
        <v>7</v>
      </c>
      <c r="J968" s="2">
        <v>3</v>
      </c>
      <c r="K968" t="s">
        <v>39</v>
      </c>
      <c r="L968" s="2">
        <v>3</v>
      </c>
      <c r="M968" s="2">
        <v>1</v>
      </c>
      <c r="N968" t="s">
        <v>48</v>
      </c>
      <c r="O968" s="2">
        <v>10008</v>
      </c>
      <c r="P968" s="2">
        <v>12023</v>
      </c>
      <c r="Q968" s="2">
        <v>7</v>
      </c>
      <c r="R968" t="s">
        <v>35</v>
      </c>
      <c r="S968" s="2">
        <v>3</v>
      </c>
      <c r="T968" s="2">
        <v>4</v>
      </c>
      <c r="U968">
        <v>80</v>
      </c>
      <c r="V968" s="2">
        <v>31</v>
      </c>
      <c r="W968">
        <v>0</v>
      </c>
      <c r="X968">
        <v>2</v>
      </c>
      <c r="Y968">
        <v>10</v>
      </c>
      <c r="Z968">
        <v>9</v>
      </c>
      <c r="AA968">
        <v>5</v>
      </c>
      <c r="AB968">
        <v>9</v>
      </c>
    </row>
    <row r="969" spans="1:28" x14ac:dyDescent="0.35">
      <c r="A969" s="2">
        <v>40</v>
      </c>
      <c r="B969" s="2" t="str" cm="1">
        <f t="array" ref="B969">_xlfn.IFS(HR_table[[#This Row],[Age]]&lt;=20, "Under 20yrs",HR_table[[#This Row],[Age]]&lt;=30,"(21-30)yrs",HR_table[[#This Row],[Age]]&lt;=40,"(31-40)yrs",HR_table[[#This Row],[Age]]&lt;=50,"(41-50)yrs",HR_table[[#This Row],[Age]]&lt;=60,"(51-60)yrs")</f>
        <v>(31-40)yrs</v>
      </c>
      <c r="C969" t="s">
        <v>43</v>
      </c>
      <c r="D969" t="s">
        <v>36</v>
      </c>
      <c r="E969" t="s">
        <v>45</v>
      </c>
      <c r="F969" t="s">
        <v>38</v>
      </c>
      <c r="G969" t="s">
        <v>50</v>
      </c>
      <c r="H969">
        <v>1361</v>
      </c>
      <c r="I969" s="2">
        <v>1</v>
      </c>
      <c r="J969" s="2">
        <v>2</v>
      </c>
      <c r="K969" t="s">
        <v>46</v>
      </c>
      <c r="L969" s="2">
        <v>1</v>
      </c>
      <c r="M969" s="2">
        <v>2</v>
      </c>
      <c r="N969" t="s">
        <v>48</v>
      </c>
      <c r="O969" s="2">
        <v>2387</v>
      </c>
      <c r="P969" s="2">
        <v>6762</v>
      </c>
      <c r="Q969" s="2">
        <v>3</v>
      </c>
      <c r="R969" t="s">
        <v>43</v>
      </c>
      <c r="S969" s="2">
        <v>4</v>
      </c>
      <c r="T969" s="2">
        <v>3</v>
      </c>
      <c r="U969">
        <v>80</v>
      </c>
      <c r="V969" s="2">
        <v>7</v>
      </c>
      <c r="W969">
        <v>3</v>
      </c>
      <c r="X969">
        <v>3</v>
      </c>
      <c r="Y969">
        <v>4</v>
      </c>
      <c r="Z969">
        <v>2</v>
      </c>
      <c r="AA969">
        <v>0</v>
      </c>
      <c r="AB969">
        <v>3</v>
      </c>
    </row>
    <row r="970" spans="1:28" x14ac:dyDescent="0.35">
      <c r="A970" s="2">
        <v>36</v>
      </c>
      <c r="B970" s="2" t="str" cm="1">
        <f t="array" ref="B970">_xlfn.IFS(HR_table[[#This Row],[Age]]&lt;=20, "Under 20yrs",HR_table[[#This Row],[Age]]&lt;=30,"(21-30)yrs",HR_table[[#This Row],[Age]]&lt;=40,"(31-40)yrs",HR_table[[#This Row],[Age]]&lt;=50,"(41-50)yrs",HR_table[[#This Row],[Age]]&lt;=60,"(51-60)yrs")</f>
        <v>(31-40)yrs</v>
      </c>
      <c r="C970" t="s">
        <v>43</v>
      </c>
      <c r="D970" t="s">
        <v>44</v>
      </c>
      <c r="E970" t="s">
        <v>37</v>
      </c>
      <c r="F970" t="s">
        <v>59</v>
      </c>
      <c r="G970" t="s">
        <v>40</v>
      </c>
      <c r="H970">
        <v>1362</v>
      </c>
      <c r="I970" s="2">
        <v>7</v>
      </c>
      <c r="J970" s="2">
        <v>1</v>
      </c>
      <c r="K970" t="s">
        <v>39</v>
      </c>
      <c r="L970" s="2">
        <v>2</v>
      </c>
      <c r="M970" s="2">
        <v>1</v>
      </c>
      <c r="N970" t="s">
        <v>48</v>
      </c>
      <c r="O970" s="2">
        <v>4639</v>
      </c>
      <c r="P970" s="2">
        <v>2261</v>
      </c>
      <c r="Q970" s="2">
        <v>2</v>
      </c>
      <c r="R970" t="s">
        <v>43</v>
      </c>
      <c r="S970" s="2">
        <v>3</v>
      </c>
      <c r="T970" s="2">
        <v>4</v>
      </c>
      <c r="U970">
        <v>80</v>
      </c>
      <c r="V970" s="2">
        <v>17</v>
      </c>
      <c r="W970">
        <v>2</v>
      </c>
      <c r="X970">
        <v>2</v>
      </c>
      <c r="Y970">
        <v>15</v>
      </c>
      <c r="Z970">
        <v>7</v>
      </c>
      <c r="AA970">
        <v>6</v>
      </c>
      <c r="AB970">
        <v>13</v>
      </c>
    </row>
    <row r="971" spans="1:28" x14ac:dyDescent="0.35">
      <c r="A971" s="2">
        <v>48</v>
      </c>
      <c r="B971" s="2" t="str" cm="1">
        <f t="array" ref="B971">_xlfn.IFS(HR_table[[#This Row],[Age]]&lt;=20, "Under 20yrs",HR_table[[#This Row],[Age]]&lt;=30,"(21-30)yrs",HR_table[[#This Row],[Age]]&lt;=40,"(31-40)yrs",HR_table[[#This Row],[Age]]&lt;=50,"(41-50)yrs",HR_table[[#This Row],[Age]]&lt;=60,"(51-60)yrs")</f>
        <v>(41-50)yrs</v>
      </c>
      <c r="C971" t="s">
        <v>43</v>
      </c>
      <c r="D971" t="s">
        <v>36</v>
      </c>
      <c r="E971" t="s">
        <v>45</v>
      </c>
      <c r="F971" t="s">
        <v>38</v>
      </c>
      <c r="G971" t="s">
        <v>53</v>
      </c>
      <c r="H971">
        <v>1363</v>
      </c>
      <c r="I971" s="2">
        <v>4</v>
      </c>
      <c r="J971" s="2">
        <v>4</v>
      </c>
      <c r="K971" t="s">
        <v>46</v>
      </c>
      <c r="L971" s="2">
        <v>3</v>
      </c>
      <c r="M971" s="2">
        <v>4</v>
      </c>
      <c r="N971" t="s">
        <v>41</v>
      </c>
      <c r="O971" s="2">
        <v>7898</v>
      </c>
      <c r="P971" s="2">
        <v>18706</v>
      </c>
      <c r="Q971" s="2">
        <v>1</v>
      </c>
      <c r="R971" t="s">
        <v>43</v>
      </c>
      <c r="S971" s="2">
        <v>3</v>
      </c>
      <c r="T971" s="2">
        <v>3</v>
      </c>
      <c r="U971">
        <v>80</v>
      </c>
      <c r="V971" s="2">
        <v>11</v>
      </c>
      <c r="W971">
        <v>2</v>
      </c>
      <c r="X971">
        <v>3</v>
      </c>
      <c r="Y971">
        <v>10</v>
      </c>
      <c r="Z971">
        <v>9</v>
      </c>
      <c r="AA971">
        <v>0</v>
      </c>
      <c r="AB971">
        <v>8</v>
      </c>
    </row>
    <row r="972" spans="1:28" x14ac:dyDescent="0.35">
      <c r="A972" s="2">
        <v>27</v>
      </c>
      <c r="B972" s="2" t="str" cm="1">
        <f t="array" ref="B972">_xlfn.IFS(HR_table[[#This Row],[Age]]&lt;=20, "Under 20yrs",HR_table[[#This Row],[Age]]&lt;=30,"(21-30)yrs",HR_table[[#This Row],[Age]]&lt;=40,"(31-40)yrs",HR_table[[#This Row],[Age]]&lt;=50,"(41-50)yrs",HR_table[[#This Row],[Age]]&lt;=60,"(51-60)yrs")</f>
        <v>(21-30)yrs</v>
      </c>
      <c r="C972" t="s">
        <v>43</v>
      </c>
      <c r="D972" t="s">
        <v>36</v>
      </c>
      <c r="E972" t="s">
        <v>37</v>
      </c>
      <c r="F972" t="s">
        <v>51</v>
      </c>
      <c r="G972" t="s">
        <v>57</v>
      </c>
      <c r="H972">
        <v>1364</v>
      </c>
      <c r="I972" s="2">
        <v>11</v>
      </c>
      <c r="J972" s="2">
        <v>3</v>
      </c>
      <c r="K972" t="s">
        <v>39</v>
      </c>
      <c r="L972" s="2">
        <v>1</v>
      </c>
      <c r="M972" s="2">
        <v>4</v>
      </c>
      <c r="N972" t="s">
        <v>48</v>
      </c>
      <c r="O972" s="2">
        <v>2534</v>
      </c>
      <c r="P972" s="2">
        <v>6527</v>
      </c>
      <c r="Q972" s="2">
        <v>8</v>
      </c>
      <c r="R972" t="s">
        <v>43</v>
      </c>
      <c r="S972" s="2">
        <v>3</v>
      </c>
      <c r="T972" s="2">
        <v>2</v>
      </c>
      <c r="U972">
        <v>80</v>
      </c>
      <c r="V972" s="2">
        <v>5</v>
      </c>
      <c r="W972">
        <v>4</v>
      </c>
      <c r="X972">
        <v>3</v>
      </c>
      <c r="Y972">
        <v>1</v>
      </c>
      <c r="Z972">
        <v>0</v>
      </c>
      <c r="AA972">
        <v>0</v>
      </c>
      <c r="AB972">
        <v>0</v>
      </c>
    </row>
    <row r="973" spans="1:28" x14ac:dyDescent="0.35">
      <c r="A973" s="2">
        <v>51</v>
      </c>
      <c r="B973" s="2" t="str" cm="1">
        <f t="array" ref="B973">_xlfn.IFS(HR_table[[#This Row],[Age]]&lt;=20, "Under 20yrs",HR_table[[#This Row],[Age]]&lt;=30,"(21-30)yrs",HR_table[[#This Row],[Age]]&lt;=40,"(31-40)yrs",HR_table[[#This Row],[Age]]&lt;=50,"(41-50)yrs",HR_table[[#This Row],[Age]]&lt;=60,"(51-60)yrs")</f>
        <v>(51-60)yrs</v>
      </c>
      <c r="C973" t="s">
        <v>43</v>
      </c>
      <c r="D973" t="s">
        <v>36</v>
      </c>
      <c r="E973" t="s">
        <v>45</v>
      </c>
      <c r="F973" t="s">
        <v>60</v>
      </c>
      <c r="G973" t="s">
        <v>53</v>
      </c>
      <c r="H973">
        <v>1367</v>
      </c>
      <c r="I973" s="2">
        <v>11</v>
      </c>
      <c r="J973" s="2">
        <v>4</v>
      </c>
      <c r="K973" t="s">
        <v>39</v>
      </c>
      <c r="L973" s="2">
        <v>4</v>
      </c>
      <c r="M973" s="2">
        <v>2</v>
      </c>
      <c r="N973" t="s">
        <v>41</v>
      </c>
      <c r="O973" s="2">
        <v>13142</v>
      </c>
      <c r="P973" s="2">
        <v>24439</v>
      </c>
      <c r="Q973" s="2">
        <v>3</v>
      </c>
      <c r="R973" t="s">
        <v>43</v>
      </c>
      <c r="S973" s="2">
        <v>3</v>
      </c>
      <c r="T973" s="2">
        <v>2</v>
      </c>
      <c r="U973">
        <v>80</v>
      </c>
      <c r="V973" s="2">
        <v>29</v>
      </c>
      <c r="W973">
        <v>1</v>
      </c>
      <c r="X973">
        <v>2</v>
      </c>
      <c r="Y973">
        <v>5</v>
      </c>
      <c r="Z973">
        <v>2</v>
      </c>
      <c r="AA973">
        <v>0</v>
      </c>
      <c r="AB973">
        <v>3</v>
      </c>
    </row>
    <row r="974" spans="1:28" x14ac:dyDescent="0.35">
      <c r="A974" s="2">
        <v>18</v>
      </c>
      <c r="B974" s="2" t="str" cm="1">
        <f t="array" ref="B974">_xlfn.IFS(HR_table[[#This Row],[Age]]&lt;=20, "Under 20yrs",HR_table[[#This Row],[Age]]&lt;=30,"(21-30)yrs",HR_table[[#This Row],[Age]]&lt;=40,"(31-40)yrs",HR_table[[#This Row],[Age]]&lt;=50,"(41-50)yrs",HR_table[[#This Row],[Age]]&lt;=60,"(51-60)yrs")</f>
        <v>Under 20yrs</v>
      </c>
      <c r="C974" t="s">
        <v>43</v>
      </c>
      <c r="D974" t="s">
        <v>55</v>
      </c>
      <c r="E974" t="s">
        <v>45</v>
      </c>
      <c r="F974" t="s">
        <v>38</v>
      </c>
      <c r="G974" t="s">
        <v>50</v>
      </c>
      <c r="H974">
        <v>1368</v>
      </c>
      <c r="I974" s="2">
        <v>1</v>
      </c>
      <c r="J974" s="2">
        <v>4</v>
      </c>
      <c r="K974" t="s">
        <v>39</v>
      </c>
      <c r="L974" s="2">
        <v>1</v>
      </c>
      <c r="M974" s="2">
        <v>4</v>
      </c>
      <c r="N974" t="s">
        <v>41</v>
      </c>
      <c r="O974" s="2">
        <v>1611</v>
      </c>
      <c r="P974" s="2">
        <v>19305</v>
      </c>
      <c r="Q974" s="2">
        <v>1</v>
      </c>
      <c r="R974" t="s">
        <v>43</v>
      </c>
      <c r="S974" s="2">
        <v>3</v>
      </c>
      <c r="T974" s="2">
        <v>3</v>
      </c>
      <c r="U974">
        <v>80</v>
      </c>
      <c r="V974" s="2">
        <v>0</v>
      </c>
      <c r="W974">
        <v>5</v>
      </c>
      <c r="X974">
        <v>4</v>
      </c>
      <c r="Y974">
        <v>0</v>
      </c>
      <c r="Z974">
        <v>0</v>
      </c>
      <c r="AA974">
        <v>0</v>
      </c>
      <c r="AB974">
        <v>0</v>
      </c>
    </row>
    <row r="975" spans="1:28" x14ac:dyDescent="0.35">
      <c r="A975" s="2">
        <v>35</v>
      </c>
      <c r="B975" s="2" t="str" cm="1">
        <f t="array" ref="B975">_xlfn.IFS(HR_table[[#This Row],[Age]]&lt;=20, "Under 20yrs",HR_table[[#This Row],[Age]]&lt;=30,"(21-30)yrs",HR_table[[#This Row],[Age]]&lt;=40,"(31-40)yrs",HR_table[[#This Row],[Age]]&lt;=50,"(41-50)yrs",HR_table[[#This Row],[Age]]&lt;=60,"(51-60)yrs")</f>
        <v>(31-40)yrs</v>
      </c>
      <c r="C975" t="s">
        <v>43</v>
      </c>
      <c r="D975" t="s">
        <v>36</v>
      </c>
      <c r="E975" t="s">
        <v>45</v>
      </c>
      <c r="F975" t="s">
        <v>51</v>
      </c>
      <c r="G975" t="s">
        <v>50</v>
      </c>
      <c r="H975">
        <v>1369</v>
      </c>
      <c r="I975" s="2">
        <v>1</v>
      </c>
      <c r="J975" s="2">
        <v>4</v>
      </c>
      <c r="K975" t="s">
        <v>39</v>
      </c>
      <c r="L975" s="2">
        <v>2</v>
      </c>
      <c r="M975" s="2">
        <v>4</v>
      </c>
      <c r="N975" t="s">
        <v>48</v>
      </c>
      <c r="O975" s="2">
        <v>5363</v>
      </c>
      <c r="P975" s="2">
        <v>10846</v>
      </c>
      <c r="Q975" s="2">
        <v>0</v>
      </c>
      <c r="R975" t="s">
        <v>43</v>
      </c>
      <c r="S975" s="2">
        <v>3</v>
      </c>
      <c r="T975" s="2">
        <v>2</v>
      </c>
      <c r="U975">
        <v>80</v>
      </c>
      <c r="V975" s="2">
        <v>10</v>
      </c>
      <c r="W975">
        <v>0</v>
      </c>
      <c r="X975">
        <v>3</v>
      </c>
      <c r="Y975">
        <v>9</v>
      </c>
      <c r="Z975">
        <v>7</v>
      </c>
      <c r="AA975">
        <v>0</v>
      </c>
      <c r="AB975">
        <v>0</v>
      </c>
    </row>
    <row r="976" spans="1:28" x14ac:dyDescent="0.35">
      <c r="A976" s="2">
        <v>27</v>
      </c>
      <c r="B976" s="2" t="str" cm="1">
        <f t="array" ref="B976">_xlfn.IFS(HR_table[[#This Row],[Age]]&lt;=20, "Under 20yrs",HR_table[[#This Row],[Age]]&lt;=30,"(21-30)yrs",HR_table[[#This Row],[Age]]&lt;=40,"(31-40)yrs",HR_table[[#This Row],[Age]]&lt;=50,"(41-50)yrs",HR_table[[#This Row],[Age]]&lt;=60,"(51-60)yrs")</f>
        <v>(21-30)yrs</v>
      </c>
      <c r="C976" t="s">
        <v>43</v>
      </c>
      <c r="D976" t="s">
        <v>44</v>
      </c>
      <c r="E976" t="s">
        <v>37</v>
      </c>
      <c r="F976" t="s">
        <v>38</v>
      </c>
      <c r="G976" t="s">
        <v>40</v>
      </c>
      <c r="H976">
        <v>1371</v>
      </c>
      <c r="I976" s="2">
        <v>2</v>
      </c>
      <c r="J976" s="2">
        <v>4</v>
      </c>
      <c r="K976" t="s">
        <v>46</v>
      </c>
      <c r="L976" s="2">
        <v>2</v>
      </c>
      <c r="M976" s="2">
        <v>4</v>
      </c>
      <c r="N976" t="s">
        <v>41</v>
      </c>
      <c r="O976" s="2">
        <v>5071</v>
      </c>
      <c r="P976" s="2">
        <v>20392</v>
      </c>
      <c r="Q976" s="2">
        <v>3</v>
      </c>
      <c r="R976" t="s">
        <v>43</v>
      </c>
      <c r="S976" s="2">
        <v>4</v>
      </c>
      <c r="T976" s="2">
        <v>2</v>
      </c>
      <c r="U976">
        <v>80</v>
      </c>
      <c r="V976" s="2">
        <v>8</v>
      </c>
      <c r="W976">
        <v>3</v>
      </c>
      <c r="X976">
        <v>3</v>
      </c>
      <c r="Y976">
        <v>6</v>
      </c>
      <c r="Z976">
        <v>2</v>
      </c>
      <c r="AA976">
        <v>0</v>
      </c>
      <c r="AB976">
        <v>0</v>
      </c>
    </row>
    <row r="977" spans="1:28" x14ac:dyDescent="0.35">
      <c r="A977" s="2">
        <v>55</v>
      </c>
      <c r="B977" s="2" t="str" cm="1">
        <f t="array" ref="B977">_xlfn.IFS(HR_table[[#This Row],[Age]]&lt;=20, "Under 20yrs",HR_table[[#This Row],[Age]]&lt;=30,"(21-30)yrs",HR_table[[#This Row],[Age]]&lt;=40,"(31-40)yrs",HR_table[[#This Row],[Age]]&lt;=50,"(41-50)yrs",HR_table[[#This Row],[Age]]&lt;=60,"(51-60)yrs")</f>
        <v>(51-60)yrs</v>
      </c>
      <c r="C977" t="s">
        <v>35</v>
      </c>
      <c r="D977" t="s">
        <v>36</v>
      </c>
      <c r="E977" t="s">
        <v>37</v>
      </c>
      <c r="F977" t="s">
        <v>59</v>
      </c>
      <c r="G977" t="s">
        <v>40</v>
      </c>
      <c r="H977">
        <v>1372</v>
      </c>
      <c r="I977" s="2">
        <v>13</v>
      </c>
      <c r="J977" s="2">
        <v>1</v>
      </c>
      <c r="K977" t="s">
        <v>46</v>
      </c>
      <c r="L977" s="2">
        <v>4</v>
      </c>
      <c r="M977" s="2">
        <v>3</v>
      </c>
      <c r="N977" t="s">
        <v>41</v>
      </c>
      <c r="O977" s="2">
        <v>13695</v>
      </c>
      <c r="P977" s="2">
        <v>9277</v>
      </c>
      <c r="Q977" s="2">
        <v>6</v>
      </c>
      <c r="R977" t="s">
        <v>35</v>
      </c>
      <c r="S977" s="2">
        <v>3</v>
      </c>
      <c r="T977" s="2">
        <v>3</v>
      </c>
      <c r="U977">
        <v>80</v>
      </c>
      <c r="V977" s="2">
        <v>24</v>
      </c>
      <c r="W977">
        <v>2</v>
      </c>
      <c r="X977">
        <v>2</v>
      </c>
      <c r="Y977">
        <v>19</v>
      </c>
      <c r="Z977">
        <v>7</v>
      </c>
      <c r="AA977">
        <v>3</v>
      </c>
      <c r="AB977">
        <v>8</v>
      </c>
    </row>
    <row r="978" spans="1:28" x14ac:dyDescent="0.35">
      <c r="A978" s="2">
        <v>56</v>
      </c>
      <c r="B978" s="2" t="str" cm="1">
        <f t="array" ref="B978">_xlfn.IFS(HR_table[[#This Row],[Age]]&lt;=20, "Under 20yrs",HR_table[[#This Row],[Age]]&lt;=30,"(21-30)yrs",HR_table[[#This Row],[Age]]&lt;=40,"(31-40)yrs",HR_table[[#This Row],[Age]]&lt;=50,"(41-50)yrs",HR_table[[#This Row],[Age]]&lt;=60,"(51-60)yrs")</f>
        <v>(51-60)yrs</v>
      </c>
      <c r="C978" t="s">
        <v>43</v>
      </c>
      <c r="D978" t="s">
        <v>36</v>
      </c>
      <c r="E978" t="s">
        <v>45</v>
      </c>
      <c r="F978" t="s">
        <v>38</v>
      </c>
      <c r="G978" t="s">
        <v>53</v>
      </c>
      <c r="H978">
        <v>1373</v>
      </c>
      <c r="I978" s="2">
        <v>23</v>
      </c>
      <c r="J978" s="2">
        <v>4</v>
      </c>
      <c r="K978" t="s">
        <v>46</v>
      </c>
      <c r="L978" s="2">
        <v>4</v>
      </c>
      <c r="M978" s="2">
        <v>2</v>
      </c>
      <c r="N978" t="s">
        <v>48</v>
      </c>
      <c r="O978" s="2">
        <v>13402</v>
      </c>
      <c r="P978" s="2">
        <v>18235</v>
      </c>
      <c r="Q978" s="2">
        <v>4</v>
      </c>
      <c r="R978" t="s">
        <v>35</v>
      </c>
      <c r="S978" s="2">
        <v>3</v>
      </c>
      <c r="T978" s="2">
        <v>1</v>
      </c>
      <c r="U978">
        <v>80</v>
      </c>
      <c r="V978" s="2">
        <v>33</v>
      </c>
      <c r="W978">
        <v>0</v>
      </c>
      <c r="X978">
        <v>3</v>
      </c>
      <c r="Y978">
        <v>19</v>
      </c>
      <c r="Z978">
        <v>16</v>
      </c>
      <c r="AA978">
        <v>15</v>
      </c>
      <c r="AB978">
        <v>9</v>
      </c>
    </row>
    <row r="979" spans="1:28" x14ac:dyDescent="0.35">
      <c r="A979" s="2">
        <v>34</v>
      </c>
      <c r="B979" s="2" t="str" cm="1">
        <f t="array" ref="B979">_xlfn.IFS(HR_table[[#This Row],[Age]]&lt;=20, "Under 20yrs",HR_table[[#This Row],[Age]]&lt;=30,"(21-30)yrs",HR_table[[#This Row],[Age]]&lt;=40,"(31-40)yrs",HR_table[[#This Row],[Age]]&lt;=50,"(41-50)yrs",HR_table[[#This Row],[Age]]&lt;=60,"(51-60)yrs")</f>
        <v>(31-40)yrs</v>
      </c>
      <c r="C979" t="s">
        <v>43</v>
      </c>
      <c r="D979" t="s">
        <v>55</v>
      </c>
      <c r="E979" t="s">
        <v>45</v>
      </c>
      <c r="F979" t="s">
        <v>60</v>
      </c>
      <c r="G979" t="s">
        <v>47</v>
      </c>
      <c r="H979">
        <v>1374</v>
      </c>
      <c r="I979" s="2">
        <v>26</v>
      </c>
      <c r="J979" s="2">
        <v>1</v>
      </c>
      <c r="K979" t="s">
        <v>39</v>
      </c>
      <c r="L979" s="2">
        <v>1</v>
      </c>
      <c r="M979" s="2">
        <v>3</v>
      </c>
      <c r="N979" t="s">
        <v>52</v>
      </c>
      <c r="O979" s="2">
        <v>2029</v>
      </c>
      <c r="P979" s="2">
        <v>15891</v>
      </c>
      <c r="Q979" s="2">
        <v>1</v>
      </c>
      <c r="R979" t="s">
        <v>43</v>
      </c>
      <c r="S979" s="2">
        <v>4</v>
      </c>
      <c r="T979" s="2">
        <v>3</v>
      </c>
      <c r="U979">
        <v>80</v>
      </c>
      <c r="V979" s="2">
        <v>5</v>
      </c>
      <c r="W979">
        <v>2</v>
      </c>
      <c r="X979">
        <v>3</v>
      </c>
      <c r="Y979">
        <v>5</v>
      </c>
      <c r="Z979">
        <v>4</v>
      </c>
      <c r="AA979">
        <v>0</v>
      </c>
      <c r="AB979">
        <v>0</v>
      </c>
    </row>
    <row r="980" spans="1:28" x14ac:dyDescent="0.35">
      <c r="A980" s="2">
        <v>40</v>
      </c>
      <c r="B980" s="2" t="str" cm="1">
        <f t="array" ref="B980">_xlfn.IFS(HR_table[[#This Row],[Age]]&lt;=20, "Under 20yrs",HR_table[[#This Row],[Age]]&lt;=30,"(21-30)yrs",HR_table[[#This Row],[Age]]&lt;=40,"(31-40)yrs",HR_table[[#This Row],[Age]]&lt;=50,"(41-50)yrs",HR_table[[#This Row],[Age]]&lt;=60,"(51-60)yrs")</f>
        <v>(31-40)yrs</v>
      </c>
      <c r="C980" t="s">
        <v>43</v>
      </c>
      <c r="D980" t="s">
        <v>36</v>
      </c>
      <c r="E980" t="s">
        <v>45</v>
      </c>
      <c r="F980" t="s">
        <v>51</v>
      </c>
      <c r="G980" t="s">
        <v>54</v>
      </c>
      <c r="H980">
        <v>1375</v>
      </c>
      <c r="I980" s="2">
        <v>2</v>
      </c>
      <c r="J980" s="2">
        <v>2</v>
      </c>
      <c r="K980" t="s">
        <v>39</v>
      </c>
      <c r="L980" s="2">
        <v>2</v>
      </c>
      <c r="M980" s="2">
        <v>3</v>
      </c>
      <c r="N980" t="s">
        <v>52</v>
      </c>
      <c r="O980" s="2">
        <v>6377</v>
      </c>
      <c r="P980" s="2">
        <v>13888</v>
      </c>
      <c r="Q980" s="2">
        <v>5</v>
      </c>
      <c r="R980" t="s">
        <v>43</v>
      </c>
      <c r="S980" s="2">
        <v>4</v>
      </c>
      <c r="T980" s="2">
        <v>2</v>
      </c>
      <c r="U980">
        <v>80</v>
      </c>
      <c r="V980" s="2">
        <v>15</v>
      </c>
      <c r="W980">
        <v>0</v>
      </c>
      <c r="X980">
        <v>3</v>
      </c>
      <c r="Y980">
        <v>12</v>
      </c>
      <c r="Z980">
        <v>11</v>
      </c>
      <c r="AA980">
        <v>11</v>
      </c>
      <c r="AB980">
        <v>8</v>
      </c>
    </row>
    <row r="981" spans="1:28" x14ac:dyDescent="0.35">
      <c r="A981" s="2">
        <v>34</v>
      </c>
      <c r="B981" s="2" t="str" cm="1">
        <f t="array" ref="B981">_xlfn.IFS(HR_table[[#This Row],[Age]]&lt;=20, "Under 20yrs",HR_table[[#This Row],[Age]]&lt;=30,"(21-30)yrs",HR_table[[#This Row],[Age]]&lt;=40,"(31-40)yrs",HR_table[[#This Row],[Age]]&lt;=50,"(41-50)yrs",HR_table[[#This Row],[Age]]&lt;=60,"(51-60)yrs")</f>
        <v>(31-40)yrs</v>
      </c>
      <c r="C981" t="s">
        <v>43</v>
      </c>
      <c r="D981" t="s">
        <v>36</v>
      </c>
      <c r="E981" t="s">
        <v>45</v>
      </c>
      <c r="F981" t="s">
        <v>51</v>
      </c>
      <c r="G981" t="s">
        <v>50</v>
      </c>
      <c r="H981">
        <v>1377</v>
      </c>
      <c r="I981" s="2">
        <v>29</v>
      </c>
      <c r="J981" s="2">
        <v>2</v>
      </c>
      <c r="K981" t="s">
        <v>46</v>
      </c>
      <c r="L981" s="2">
        <v>2</v>
      </c>
      <c r="M981" s="2">
        <v>3</v>
      </c>
      <c r="N981" t="s">
        <v>48</v>
      </c>
      <c r="O981" s="2">
        <v>5429</v>
      </c>
      <c r="P981" s="2">
        <v>17491</v>
      </c>
      <c r="Q981" s="2">
        <v>4</v>
      </c>
      <c r="R981" t="s">
        <v>43</v>
      </c>
      <c r="S981" s="2">
        <v>3</v>
      </c>
      <c r="T981" s="2">
        <v>1</v>
      </c>
      <c r="U981">
        <v>80</v>
      </c>
      <c r="V981" s="2">
        <v>10</v>
      </c>
      <c r="W981">
        <v>1</v>
      </c>
      <c r="X981">
        <v>3</v>
      </c>
      <c r="Y981">
        <v>8</v>
      </c>
      <c r="Z981">
        <v>7</v>
      </c>
      <c r="AA981">
        <v>7</v>
      </c>
      <c r="AB981">
        <v>7</v>
      </c>
    </row>
    <row r="982" spans="1:28" x14ac:dyDescent="0.35">
      <c r="A982" s="2">
        <v>31</v>
      </c>
      <c r="B982" s="2" t="str" cm="1">
        <f t="array" ref="B982">_xlfn.IFS(HR_table[[#This Row],[Age]]&lt;=20, "Under 20yrs",HR_table[[#This Row],[Age]]&lt;=30,"(21-30)yrs",HR_table[[#This Row],[Age]]&lt;=40,"(31-40)yrs",HR_table[[#This Row],[Age]]&lt;=50,"(41-50)yrs",HR_table[[#This Row],[Age]]&lt;=60,"(51-60)yrs")</f>
        <v>(31-40)yrs</v>
      </c>
      <c r="C982" t="s">
        <v>35</v>
      </c>
      <c r="D982" t="s">
        <v>44</v>
      </c>
      <c r="E982" t="s">
        <v>37</v>
      </c>
      <c r="F982" t="s">
        <v>38</v>
      </c>
      <c r="G982" t="s">
        <v>57</v>
      </c>
      <c r="H982">
        <v>1379</v>
      </c>
      <c r="I982" s="2">
        <v>2</v>
      </c>
      <c r="J982" s="2">
        <v>3</v>
      </c>
      <c r="K982" t="s">
        <v>39</v>
      </c>
      <c r="L982" s="2">
        <v>1</v>
      </c>
      <c r="M982" s="2">
        <v>4</v>
      </c>
      <c r="N982" t="s">
        <v>41</v>
      </c>
      <c r="O982" s="2">
        <v>2785</v>
      </c>
      <c r="P982" s="2">
        <v>11882</v>
      </c>
      <c r="Q982" s="2">
        <v>7</v>
      </c>
      <c r="R982" t="s">
        <v>43</v>
      </c>
      <c r="S982" s="2">
        <v>3</v>
      </c>
      <c r="T982" s="2">
        <v>3</v>
      </c>
      <c r="U982">
        <v>80</v>
      </c>
      <c r="V982" s="2">
        <v>3</v>
      </c>
      <c r="W982">
        <v>3</v>
      </c>
      <c r="X982">
        <v>4</v>
      </c>
      <c r="Y982">
        <v>1</v>
      </c>
      <c r="Z982">
        <v>0</v>
      </c>
      <c r="AA982">
        <v>0</v>
      </c>
      <c r="AB982">
        <v>0</v>
      </c>
    </row>
    <row r="983" spans="1:28" x14ac:dyDescent="0.35">
      <c r="A983" s="2">
        <v>35</v>
      </c>
      <c r="B983" s="2" t="str" cm="1">
        <f t="array" ref="B983">_xlfn.IFS(HR_table[[#This Row],[Age]]&lt;=20, "Under 20yrs",HR_table[[#This Row],[Age]]&lt;=30,"(21-30)yrs",HR_table[[#This Row],[Age]]&lt;=40,"(31-40)yrs",HR_table[[#This Row],[Age]]&lt;=50,"(41-50)yrs",HR_table[[#This Row],[Age]]&lt;=60,"(51-60)yrs")</f>
        <v>(31-40)yrs</v>
      </c>
      <c r="C983" t="s">
        <v>35</v>
      </c>
      <c r="D983" t="s">
        <v>44</v>
      </c>
      <c r="E983" t="s">
        <v>37</v>
      </c>
      <c r="F983" t="s">
        <v>59</v>
      </c>
      <c r="G983" t="s">
        <v>40</v>
      </c>
      <c r="H983">
        <v>1380</v>
      </c>
      <c r="I983" s="2">
        <v>18</v>
      </c>
      <c r="J983" s="2">
        <v>4</v>
      </c>
      <c r="K983" t="s">
        <v>39</v>
      </c>
      <c r="L983" s="2">
        <v>2</v>
      </c>
      <c r="M983" s="2">
        <v>3</v>
      </c>
      <c r="N983" t="s">
        <v>48</v>
      </c>
      <c r="O983" s="2">
        <v>4614</v>
      </c>
      <c r="P983" s="2">
        <v>23288</v>
      </c>
      <c r="Q983" s="2">
        <v>0</v>
      </c>
      <c r="R983" t="s">
        <v>35</v>
      </c>
      <c r="S983" s="2">
        <v>3</v>
      </c>
      <c r="T983" s="2">
        <v>3</v>
      </c>
      <c r="U983">
        <v>80</v>
      </c>
      <c r="V983" s="2">
        <v>5</v>
      </c>
      <c r="W983">
        <v>0</v>
      </c>
      <c r="X983">
        <v>2</v>
      </c>
      <c r="Y983">
        <v>4</v>
      </c>
      <c r="Z983">
        <v>2</v>
      </c>
      <c r="AA983">
        <v>3</v>
      </c>
      <c r="AB983">
        <v>2</v>
      </c>
    </row>
    <row r="984" spans="1:28" x14ac:dyDescent="0.35">
      <c r="A984" s="2">
        <v>38</v>
      </c>
      <c r="B984" s="2" t="str" cm="1">
        <f t="array" ref="B984">_xlfn.IFS(HR_table[[#This Row],[Age]]&lt;=20, "Under 20yrs",HR_table[[#This Row],[Age]]&lt;=30,"(21-30)yrs",HR_table[[#This Row],[Age]]&lt;=40,"(31-40)yrs",HR_table[[#This Row],[Age]]&lt;=50,"(41-50)yrs",HR_table[[#This Row],[Age]]&lt;=60,"(51-60)yrs")</f>
        <v>(31-40)yrs</v>
      </c>
      <c r="C984" t="s">
        <v>43</v>
      </c>
      <c r="D984" t="s">
        <v>44</v>
      </c>
      <c r="E984" t="s">
        <v>45</v>
      </c>
      <c r="F984" t="s">
        <v>38</v>
      </c>
      <c r="G984" t="s">
        <v>47</v>
      </c>
      <c r="H984">
        <v>1382</v>
      </c>
      <c r="I984" s="2">
        <v>7</v>
      </c>
      <c r="J984" s="2">
        <v>4</v>
      </c>
      <c r="K984" t="s">
        <v>46</v>
      </c>
      <c r="L984" s="2">
        <v>1</v>
      </c>
      <c r="M984" s="2">
        <v>3</v>
      </c>
      <c r="N984" t="s">
        <v>52</v>
      </c>
      <c r="O984" s="2">
        <v>2610</v>
      </c>
      <c r="P984" s="2">
        <v>15748</v>
      </c>
      <c r="Q984" s="2">
        <v>1</v>
      </c>
      <c r="R984" t="s">
        <v>43</v>
      </c>
      <c r="S984" s="2">
        <v>3</v>
      </c>
      <c r="T984" s="2">
        <v>4</v>
      </c>
      <c r="U984">
        <v>80</v>
      </c>
      <c r="V984" s="2">
        <v>4</v>
      </c>
      <c r="W984">
        <v>2</v>
      </c>
      <c r="X984">
        <v>3</v>
      </c>
      <c r="Y984">
        <v>4</v>
      </c>
      <c r="Z984">
        <v>2</v>
      </c>
      <c r="AA984">
        <v>0</v>
      </c>
      <c r="AB984">
        <v>3</v>
      </c>
    </row>
    <row r="985" spans="1:28" x14ac:dyDescent="0.35">
      <c r="A985" s="2">
        <v>34</v>
      </c>
      <c r="B985" s="2" t="str" cm="1">
        <f t="array" ref="B985">_xlfn.IFS(HR_table[[#This Row],[Age]]&lt;=20, "Under 20yrs",HR_table[[#This Row],[Age]]&lt;=30,"(21-30)yrs",HR_table[[#This Row],[Age]]&lt;=40,"(31-40)yrs",HR_table[[#This Row],[Age]]&lt;=50,"(41-50)yrs",HR_table[[#This Row],[Age]]&lt;=60,"(51-60)yrs")</f>
        <v>(31-40)yrs</v>
      </c>
      <c r="C985" t="s">
        <v>43</v>
      </c>
      <c r="D985" t="s">
        <v>36</v>
      </c>
      <c r="E985" t="s">
        <v>45</v>
      </c>
      <c r="F985" t="s">
        <v>60</v>
      </c>
      <c r="G985" t="s">
        <v>54</v>
      </c>
      <c r="H985">
        <v>1383</v>
      </c>
      <c r="I985" s="2">
        <v>2</v>
      </c>
      <c r="J985" s="2">
        <v>3</v>
      </c>
      <c r="K985" t="s">
        <v>39</v>
      </c>
      <c r="L985" s="2">
        <v>2</v>
      </c>
      <c r="M985" s="2">
        <v>4</v>
      </c>
      <c r="N985" t="s">
        <v>41</v>
      </c>
      <c r="O985" s="2">
        <v>6687</v>
      </c>
      <c r="P985" s="2">
        <v>6163</v>
      </c>
      <c r="Q985" s="2">
        <v>1</v>
      </c>
      <c r="R985" t="s">
        <v>43</v>
      </c>
      <c r="S985" s="2">
        <v>3</v>
      </c>
      <c r="T985" s="2">
        <v>4</v>
      </c>
      <c r="U985">
        <v>80</v>
      </c>
      <c r="V985" s="2">
        <v>14</v>
      </c>
      <c r="W985">
        <v>2</v>
      </c>
      <c r="X985">
        <v>4</v>
      </c>
      <c r="Y985">
        <v>14</v>
      </c>
      <c r="Z985">
        <v>11</v>
      </c>
      <c r="AA985">
        <v>4</v>
      </c>
      <c r="AB985">
        <v>11</v>
      </c>
    </row>
    <row r="986" spans="1:28" x14ac:dyDescent="0.35">
      <c r="A986" s="2">
        <v>28</v>
      </c>
      <c r="B986" s="2" t="str" cm="1">
        <f t="array" ref="B986">_xlfn.IFS(HR_table[[#This Row],[Age]]&lt;=20, "Under 20yrs",HR_table[[#This Row],[Age]]&lt;=30,"(21-30)yrs",HR_table[[#This Row],[Age]]&lt;=40,"(31-40)yrs",HR_table[[#This Row],[Age]]&lt;=50,"(41-50)yrs",HR_table[[#This Row],[Age]]&lt;=60,"(51-60)yrs")</f>
        <v>(21-30)yrs</v>
      </c>
      <c r="C986" t="s">
        <v>43</v>
      </c>
      <c r="D986" t="s">
        <v>36</v>
      </c>
      <c r="E986" t="s">
        <v>37</v>
      </c>
      <c r="F986" t="s">
        <v>38</v>
      </c>
      <c r="G986" t="s">
        <v>40</v>
      </c>
      <c r="H986">
        <v>1387</v>
      </c>
      <c r="I986" s="2">
        <v>26</v>
      </c>
      <c r="J986" s="2">
        <v>3</v>
      </c>
      <c r="K986" t="s">
        <v>46</v>
      </c>
      <c r="L986" s="2">
        <v>2</v>
      </c>
      <c r="M986" s="2">
        <v>1</v>
      </c>
      <c r="N986" t="s">
        <v>48</v>
      </c>
      <c r="O986" s="2">
        <v>4724</v>
      </c>
      <c r="P986" s="2">
        <v>24232</v>
      </c>
      <c r="Q986" s="2">
        <v>1</v>
      </c>
      <c r="R986" t="s">
        <v>43</v>
      </c>
      <c r="S986" s="2">
        <v>3</v>
      </c>
      <c r="T986" s="2">
        <v>3</v>
      </c>
      <c r="U986">
        <v>80</v>
      </c>
      <c r="V986" s="2">
        <v>5</v>
      </c>
      <c r="W986">
        <v>0</v>
      </c>
      <c r="X986">
        <v>3</v>
      </c>
      <c r="Y986">
        <v>5</v>
      </c>
      <c r="Z986">
        <v>3</v>
      </c>
      <c r="AA986">
        <v>0</v>
      </c>
      <c r="AB986">
        <v>4</v>
      </c>
    </row>
    <row r="987" spans="1:28" x14ac:dyDescent="0.35">
      <c r="A987" s="2">
        <v>31</v>
      </c>
      <c r="B987" s="2" t="str" cm="1">
        <f t="array" ref="B987">_xlfn.IFS(HR_table[[#This Row],[Age]]&lt;=20, "Under 20yrs",HR_table[[#This Row],[Age]]&lt;=30,"(21-30)yrs",HR_table[[#This Row],[Age]]&lt;=40,"(31-40)yrs",HR_table[[#This Row],[Age]]&lt;=50,"(41-50)yrs",HR_table[[#This Row],[Age]]&lt;=60,"(51-60)yrs")</f>
        <v>(31-40)yrs</v>
      </c>
      <c r="C987" t="s">
        <v>35</v>
      </c>
      <c r="D987" t="s">
        <v>36</v>
      </c>
      <c r="E987" t="s">
        <v>45</v>
      </c>
      <c r="F987" t="s">
        <v>51</v>
      </c>
      <c r="G987" t="s">
        <v>53</v>
      </c>
      <c r="H987">
        <v>1389</v>
      </c>
      <c r="I987" s="2">
        <v>22</v>
      </c>
      <c r="J987" s="2">
        <v>4</v>
      </c>
      <c r="K987" t="s">
        <v>46</v>
      </c>
      <c r="L987" s="2">
        <v>2</v>
      </c>
      <c r="M987" s="2">
        <v>3</v>
      </c>
      <c r="N987" t="s">
        <v>48</v>
      </c>
      <c r="O987" s="2">
        <v>6179</v>
      </c>
      <c r="P987" s="2">
        <v>21057</v>
      </c>
      <c r="Q987" s="2">
        <v>1</v>
      </c>
      <c r="R987" t="s">
        <v>35</v>
      </c>
      <c r="S987" s="2">
        <v>3</v>
      </c>
      <c r="T987" s="2">
        <v>4</v>
      </c>
      <c r="U987">
        <v>80</v>
      </c>
      <c r="V987" s="2">
        <v>10</v>
      </c>
      <c r="W987">
        <v>3</v>
      </c>
      <c r="X987">
        <v>2</v>
      </c>
      <c r="Y987">
        <v>10</v>
      </c>
      <c r="Z987">
        <v>2</v>
      </c>
      <c r="AA987">
        <v>6</v>
      </c>
      <c r="AB987">
        <v>7</v>
      </c>
    </row>
    <row r="988" spans="1:28" x14ac:dyDescent="0.35">
      <c r="A988" s="2">
        <v>39</v>
      </c>
      <c r="B988" s="2" t="str" cm="1">
        <f t="array" ref="B988">_xlfn.IFS(HR_table[[#This Row],[Age]]&lt;=20, "Under 20yrs",HR_table[[#This Row],[Age]]&lt;=30,"(21-30)yrs",HR_table[[#This Row],[Age]]&lt;=40,"(31-40)yrs",HR_table[[#This Row],[Age]]&lt;=50,"(41-50)yrs",HR_table[[#This Row],[Age]]&lt;=60,"(51-60)yrs")</f>
        <v>(31-40)yrs</v>
      </c>
      <c r="C988" t="s">
        <v>43</v>
      </c>
      <c r="D988" t="s">
        <v>36</v>
      </c>
      <c r="E988" t="s">
        <v>37</v>
      </c>
      <c r="F988" t="s">
        <v>38</v>
      </c>
      <c r="G988" t="s">
        <v>40</v>
      </c>
      <c r="H988">
        <v>1390</v>
      </c>
      <c r="I988" s="2">
        <v>21</v>
      </c>
      <c r="J988" s="2">
        <v>1</v>
      </c>
      <c r="K988" t="s">
        <v>46</v>
      </c>
      <c r="L988" s="2">
        <v>2</v>
      </c>
      <c r="M988" s="2">
        <v>4</v>
      </c>
      <c r="N988" t="s">
        <v>48</v>
      </c>
      <c r="O988" s="2">
        <v>6120</v>
      </c>
      <c r="P988" s="2">
        <v>3567</v>
      </c>
      <c r="Q988" s="2">
        <v>3</v>
      </c>
      <c r="R988" t="s">
        <v>35</v>
      </c>
      <c r="S988" s="2">
        <v>3</v>
      </c>
      <c r="T988" s="2">
        <v>4</v>
      </c>
      <c r="U988">
        <v>80</v>
      </c>
      <c r="V988" s="2">
        <v>8</v>
      </c>
      <c r="W988">
        <v>2</v>
      </c>
      <c r="X988">
        <v>4</v>
      </c>
      <c r="Y988">
        <v>5</v>
      </c>
      <c r="Z988">
        <v>4</v>
      </c>
      <c r="AA988">
        <v>1</v>
      </c>
      <c r="AB988">
        <v>4</v>
      </c>
    </row>
    <row r="989" spans="1:28" x14ac:dyDescent="0.35">
      <c r="A989" s="2">
        <v>51</v>
      </c>
      <c r="B989" s="2" t="str" cm="1">
        <f t="array" ref="B989">_xlfn.IFS(HR_table[[#This Row],[Age]]&lt;=20, "Under 20yrs",HR_table[[#This Row],[Age]]&lt;=30,"(21-30)yrs",HR_table[[#This Row],[Age]]&lt;=40,"(31-40)yrs",HR_table[[#This Row],[Age]]&lt;=50,"(41-50)yrs",HR_table[[#This Row],[Age]]&lt;=60,"(51-60)yrs")</f>
        <v>(51-60)yrs</v>
      </c>
      <c r="C989" t="s">
        <v>43</v>
      </c>
      <c r="D989" t="s">
        <v>44</v>
      </c>
      <c r="E989" t="s">
        <v>37</v>
      </c>
      <c r="F989" t="s">
        <v>59</v>
      </c>
      <c r="G989" t="s">
        <v>40</v>
      </c>
      <c r="H989">
        <v>1391</v>
      </c>
      <c r="I989" s="2">
        <v>2</v>
      </c>
      <c r="J989" s="2">
        <v>2</v>
      </c>
      <c r="K989" t="s">
        <v>46</v>
      </c>
      <c r="L989" s="2">
        <v>3</v>
      </c>
      <c r="M989" s="2">
        <v>2</v>
      </c>
      <c r="N989" t="s">
        <v>48</v>
      </c>
      <c r="O989" s="2">
        <v>10596</v>
      </c>
      <c r="P989" s="2">
        <v>15395</v>
      </c>
      <c r="Q989" s="2">
        <v>2</v>
      </c>
      <c r="R989" t="s">
        <v>43</v>
      </c>
      <c r="S989" s="2">
        <v>3</v>
      </c>
      <c r="T989" s="2">
        <v>2</v>
      </c>
      <c r="U989">
        <v>80</v>
      </c>
      <c r="V989" s="2">
        <v>14</v>
      </c>
      <c r="W989">
        <v>5</v>
      </c>
      <c r="X989">
        <v>3</v>
      </c>
      <c r="Y989">
        <v>4</v>
      </c>
      <c r="Z989">
        <v>2</v>
      </c>
      <c r="AA989">
        <v>3</v>
      </c>
      <c r="AB989">
        <v>2</v>
      </c>
    </row>
    <row r="990" spans="1:28" x14ac:dyDescent="0.35">
      <c r="A990" s="2">
        <v>41</v>
      </c>
      <c r="B990" s="2" t="str" cm="1">
        <f t="array" ref="B990">_xlfn.IFS(HR_table[[#This Row],[Age]]&lt;=20, "Under 20yrs",HR_table[[#This Row],[Age]]&lt;=30,"(21-30)yrs",HR_table[[#This Row],[Age]]&lt;=40,"(31-40)yrs",HR_table[[#This Row],[Age]]&lt;=50,"(41-50)yrs",HR_table[[#This Row],[Age]]&lt;=60,"(51-60)yrs")</f>
        <v>(41-50)yrs</v>
      </c>
      <c r="C990" t="s">
        <v>43</v>
      </c>
      <c r="D990" t="s">
        <v>44</v>
      </c>
      <c r="E990" t="s">
        <v>45</v>
      </c>
      <c r="F990" t="s">
        <v>38</v>
      </c>
      <c r="G990" t="s">
        <v>47</v>
      </c>
      <c r="H990">
        <v>1392</v>
      </c>
      <c r="I990" s="2">
        <v>22</v>
      </c>
      <c r="J990" s="2">
        <v>4</v>
      </c>
      <c r="K990" t="s">
        <v>39</v>
      </c>
      <c r="L990" s="2">
        <v>2</v>
      </c>
      <c r="M990" s="2">
        <v>4</v>
      </c>
      <c r="N990" t="s">
        <v>52</v>
      </c>
      <c r="O990" s="2">
        <v>5467</v>
      </c>
      <c r="P990" s="2">
        <v>13953</v>
      </c>
      <c r="Q990" s="2">
        <v>3</v>
      </c>
      <c r="R990" t="s">
        <v>35</v>
      </c>
      <c r="S990" s="2">
        <v>3</v>
      </c>
      <c r="T990" s="2">
        <v>1</v>
      </c>
      <c r="U990">
        <v>80</v>
      </c>
      <c r="V990" s="2">
        <v>12</v>
      </c>
      <c r="W990">
        <v>4</v>
      </c>
      <c r="X990">
        <v>2</v>
      </c>
      <c r="Y990">
        <v>6</v>
      </c>
      <c r="Z990">
        <v>2</v>
      </c>
      <c r="AA990">
        <v>3</v>
      </c>
      <c r="AB990">
        <v>3</v>
      </c>
    </row>
    <row r="991" spans="1:28" x14ac:dyDescent="0.35">
      <c r="A991" s="2">
        <v>37</v>
      </c>
      <c r="B991" s="2" t="str" cm="1">
        <f t="array" ref="B991">_xlfn.IFS(HR_table[[#This Row],[Age]]&lt;=20, "Under 20yrs",HR_table[[#This Row],[Age]]&lt;=30,"(21-30)yrs",HR_table[[#This Row],[Age]]&lt;=40,"(31-40)yrs",HR_table[[#This Row],[Age]]&lt;=50,"(41-50)yrs",HR_table[[#This Row],[Age]]&lt;=60,"(51-60)yrs")</f>
        <v>(31-40)yrs</v>
      </c>
      <c r="C991" t="s">
        <v>43</v>
      </c>
      <c r="D991" t="s">
        <v>36</v>
      </c>
      <c r="E991" t="s">
        <v>45</v>
      </c>
      <c r="F991" t="s">
        <v>38</v>
      </c>
      <c r="G991" t="s">
        <v>47</v>
      </c>
      <c r="H991">
        <v>1394</v>
      </c>
      <c r="I991" s="2">
        <v>4</v>
      </c>
      <c r="J991" s="2">
        <v>3</v>
      </c>
      <c r="K991" t="s">
        <v>46</v>
      </c>
      <c r="L991" s="2">
        <v>1</v>
      </c>
      <c r="M991" s="2">
        <v>3</v>
      </c>
      <c r="N991" t="s">
        <v>48</v>
      </c>
      <c r="O991" s="2">
        <v>2996</v>
      </c>
      <c r="P991" s="2">
        <v>5182</v>
      </c>
      <c r="Q991" s="2">
        <v>7</v>
      </c>
      <c r="R991" t="s">
        <v>35</v>
      </c>
      <c r="S991" s="2">
        <v>3</v>
      </c>
      <c r="T991" s="2">
        <v>4</v>
      </c>
      <c r="U991">
        <v>80</v>
      </c>
      <c r="V991" s="2">
        <v>8</v>
      </c>
      <c r="W991">
        <v>2</v>
      </c>
      <c r="X991">
        <v>3</v>
      </c>
      <c r="Y991">
        <v>6</v>
      </c>
      <c r="Z991">
        <v>4</v>
      </c>
      <c r="AA991">
        <v>1</v>
      </c>
      <c r="AB991">
        <v>3</v>
      </c>
    </row>
    <row r="992" spans="1:28" x14ac:dyDescent="0.35">
      <c r="A992" s="2">
        <v>33</v>
      </c>
      <c r="B992" s="2" t="str" cm="1">
        <f t="array" ref="B992">_xlfn.IFS(HR_table[[#This Row],[Age]]&lt;=20, "Under 20yrs",HR_table[[#This Row],[Age]]&lt;=30,"(21-30)yrs",HR_table[[#This Row],[Age]]&lt;=40,"(31-40)yrs",HR_table[[#This Row],[Age]]&lt;=50,"(41-50)yrs",HR_table[[#This Row],[Age]]&lt;=60,"(51-60)yrs")</f>
        <v>(31-40)yrs</v>
      </c>
      <c r="C992" t="s">
        <v>43</v>
      </c>
      <c r="D992" t="s">
        <v>44</v>
      </c>
      <c r="E992" t="s">
        <v>37</v>
      </c>
      <c r="F992" t="s">
        <v>38</v>
      </c>
      <c r="G992" t="s">
        <v>40</v>
      </c>
      <c r="H992">
        <v>1395</v>
      </c>
      <c r="I992" s="2">
        <v>5</v>
      </c>
      <c r="J992" s="2">
        <v>2</v>
      </c>
      <c r="K992" t="s">
        <v>46</v>
      </c>
      <c r="L992" s="2">
        <v>2</v>
      </c>
      <c r="M992" s="2">
        <v>4</v>
      </c>
      <c r="N992" t="s">
        <v>48</v>
      </c>
      <c r="O992" s="2">
        <v>9998</v>
      </c>
      <c r="P992" s="2">
        <v>19293</v>
      </c>
      <c r="Q992" s="2">
        <v>6</v>
      </c>
      <c r="R992" t="s">
        <v>43</v>
      </c>
      <c r="S992" s="2">
        <v>3</v>
      </c>
      <c r="T992" s="2">
        <v>1</v>
      </c>
      <c r="U992">
        <v>80</v>
      </c>
      <c r="V992" s="2">
        <v>8</v>
      </c>
      <c r="W992">
        <v>2</v>
      </c>
      <c r="X992">
        <v>4</v>
      </c>
      <c r="Y992">
        <v>5</v>
      </c>
      <c r="Z992">
        <v>4</v>
      </c>
      <c r="AA992">
        <v>1</v>
      </c>
      <c r="AB992">
        <v>2</v>
      </c>
    </row>
    <row r="993" spans="1:28" x14ac:dyDescent="0.35">
      <c r="A993" s="2">
        <v>32</v>
      </c>
      <c r="B993" s="2" t="str" cm="1">
        <f t="array" ref="B993">_xlfn.IFS(HR_table[[#This Row],[Age]]&lt;=20, "Under 20yrs",HR_table[[#This Row],[Age]]&lt;=30,"(21-30)yrs",HR_table[[#This Row],[Age]]&lt;=40,"(31-40)yrs",HR_table[[#This Row],[Age]]&lt;=50,"(41-50)yrs",HR_table[[#This Row],[Age]]&lt;=60,"(51-60)yrs")</f>
        <v>(31-40)yrs</v>
      </c>
      <c r="C993" t="s">
        <v>43</v>
      </c>
      <c r="D993" t="s">
        <v>36</v>
      </c>
      <c r="E993" t="s">
        <v>37</v>
      </c>
      <c r="F993" t="s">
        <v>59</v>
      </c>
      <c r="G993" t="s">
        <v>40</v>
      </c>
      <c r="H993">
        <v>1396</v>
      </c>
      <c r="I993" s="2">
        <v>2</v>
      </c>
      <c r="J993" s="2">
        <v>3</v>
      </c>
      <c r="K993" t="s">
        <v>46</v>
      </c>
      <c r="L993" s="2">
        <v>2</v>
      </c>
      <c r="M993" s="2">
        <v>2</v>
      </c>
      <c r="N993" t="s">
        <v>48</v>
      </c>
      <c r="O993" s="2">
        <v>4078</v>
      </c>
      <c r="P993" s="2">
        <v>20497</v>
      </c>
      <c r="Q993" s="2">
        <v>0</v>
      </c>
      <c r="R993" t="s">
        <v>35</v>
      </c>
      <c r="S993" s="2">
        <v>3</v>
      </c>
      <c r="T993" s="2">
        <v>1</v>
      </c>
      <c r="U993">
        <v>80</v>
      </c>
      <c r="V993" s="2">
        <v>4</v>
      </c>
      <c r="W993">
        <v>3</v>
      </c>
      <c r="X993">
        <v>2</v>
      </c>
      <c r="Y993">
        <v>3</v>
      </c>
      <c r="Z993">
        <v>2</v>
      </c>
      <c r="AA993">
        <v>1</v>
      </c>
      <c r="AB993">
        <v>2</v>
      </c>
    </row>
    <row r="994" spans="1:28" x14ac:dyDescent="0.35">
      <c r="A994" s="2">
        <v>39</v>
      </c>
      <c r="B994" s="2" t="str" cm="1">
        <f t="array" ref="B994">_xlfn.IFS(HR_table[[#This Row],[Age]]&lt;=20, "Under 20yrs",HR_table[[#This Row],[Age]]&lt;=30,"(21-30)yrs",HR_table[[#This Row],[Age]]&lt;=40,"(31-40)yrs",HR_table[[#This Row],[Age]]&lt;=50,"(41-50)yrs",HR_table[[#This Row],[Age]]&lt;=60,"(51-60)yrs")</f>
        <v>(31-40)yrs</v>
      </c>
      <c r="C994" t="s">
        <v>43</v>
      </c>
      <c r="D994" t="s">
        <v>55</v>
      </c>
      <c r="E994" t="s">
        <v>45</v>
      </c>
      <c r="F994" t="s">
        <v>38</v>
      </c>
      <c r="G994" t="s">
        <v>54</v>
      </c>
      <c r="H994">
        <v>1397</v>
      </c>
      <c r="I994" s="2">
        <v>25</v>
      </c>
      <c r="J994" s="2">
        <v>3</v>
      </c>
      <c r="K994" t="s">
        <v>46</v>
      </c>
      <c r="L994" s="2">
        <v>3</v>
      </c>
      <c r="M994" s="2">
        <v>3</v>
      </c>
      <c r="N994" t="s">
        <v>48</v>
      </c>
      <c r="O994" s="2">
        <v>10920</v>
      </c>
      <c r="P994" s="2">
        <v>3449</v>
      </c>
      <c r="Q994" s="2">
        <v>3</v>
      </c>
      <c r="R994" t="s">
        <v>43</v>
      </c>
      <c r="S994" s="2">
        <v>4</v>
      </c>
      <c r="T994" s="2">
        <v>2</v>
      </c>
      <c r="U994">
        <v>80</v>
      </c>
      <c r="V994" s="2">
        <v>13</v>
      </c>
      <c r="W994">
        <v>2</v>
      </c>
      <c r="X994">
        <v>3</v>
      </c>
      <c r="Y994">
        <v>6</v>
      </c>
      <c r="Z994">
        <v>4</v>
      </c>
      <c r="AA994">
        <v>0</v>
      </c>
      <c r="AB994">
        <v>5</v>
      </c>
    </row>
    <row r="995" spans="1:28" x14ac:dyDescent="0.35">
      <c r="A995" s="2">
        <v>25</v>
      </c>
      <c r="B995" s="2" t="str" cm="1">
        <f t="array" ref="B995">_xlfn.IFS(HR_table[[#This Row],[Age]]&lt;=20, "Under 20yrs",HR_table[[#This Row],[Age]]&lt;=30,"(21-30)yrs",HR_table[[#This Row],[Age]]&lt;=40,"(31-40)yrs",HR_table[[#This Row],[Age]]&lt;=50,"(41-50)yrs",HR_table[[#This Row],[Age]]&lt;=60,"(51-60)yrs")</f>
        <v>(21-30)yrs</v>
      </c>
      <c r="C995" t="s">
        <v>43</v>
      </c>
      <c r="D995" t="s">
        <v>36</v>
      </c>
      <c r="E995" t="s">
        <v>37</v>
      </c>
      <c r="F995" t="s">
        <v>38</v>
      </c>
      <c r="G995" t="s">
        <v>40</v>
      </c>
      <c r="H995">
        <v>1399</v>
      </c>
      <c r="I995" s="2">
        <v>18</v>
      </c>
      <c r="J995" s="2">
        <v>1</v>
      </c>
      <c r="K995" t="s">
        <v>46</v>
      </c>
      <c r="L995" s="2">
        <v>2</v>
      </c>
      <c r="M995" s="2">
        <v>3</v>
      </c>
      <c r="N995" t="s">
        <v>48</v>
      </c>
      <c r="O995" s="2">
        <v>6232</v>
      </c>
      <c r="P995" s="2">
        <v>12477</v>
      </c>
      <c r="Q995" s="2">
        <v>2</v>
      </c>
      <c r="R995" t="s">
        <v>43</v>
      </c>
      <c r="S995" s="2">
        <v>3</v>
      </c>
      <c r="T995" s="2">
        <v>2</v>
      </c>
      <c r="U995">
        <v>80</v>
      </c>
      <c r="V995" s="2">
        <v>6</v>
      </c>
      <c r="W995">
        <v>3</v>
      </c>
      <c r="X995">
        <v>2</v>
      </c>
      <c r="Y995">
        <v>3</v>
      </c>
      <c r="Z995">
        <v>2</v>
      </c>
      <c r="AA995">
        <v>1</v>
      </c>
      <c r="AB995">
        <v>2</v>
      </c>
    </row>
    <row r="996" spans="1:28" x14ac:dyDescent="0.35">
      <c r="A996" s="2">
        <v>52</v>
      </c>
      <c r="B996" s="2" t="str" cm="1">
        <f t="array" ref="B996">_xlfn.IFS(HR_table[[#This Row],[Age]]&lt;=20, "Under 20yrs",HR_table[[#This Row],[Age]]&lt;=30,"(21-30)yrs",HR_table[[#This Row],[Age]]&lt;=40,"(31-40)yrs",HR_table[[#This Row],[Age]]&lt;=50,"(41-50)yrs",HR_table[[#This Row],[Age]]&lt;=60,"(51-60)yrs")</f>
        <v>(51-60)yrs</v>
      </c>
      <c r="C996" t="s">
        <v>43</v>
      </c>
      <c r="D996" t="s">
        <v>44</v>
      </c>
      <c r="E996" t="s">
        <v>45</v>
      </c>
      <c r="F996" t="s">
        <v>51</v>
      </c>
      <c r="G996" t="s">
        <v>53</v>
      </c>
      <c r="H996">
        <v>1401</v>
      </c>
      <c r="I996" s="2">
        <v>28</v>
      </c>
      <c r="J996" s="2">
        <v>4</v>
      </c>
      <c r="K996" t="s">
        <v>39</v>
      </c>
      <c r="L996" s="2">
        <v>4</v>
      </c>
      <c r="M996" s="2">
        <v>3</v>
      </c>
      <c r="N996" t="s">
        <v>48</v>
      </c>
      <c r="O996" s="2">
        <v>13247</v>
      </c>
      <c r="P996" s="2">
        <v>9731</v>
      </c>
      <c r="Q996" s="2">
        <v>2</v>
      </c>
      <c r="R996" t="s">
        <v>35</v>
      </c>
      <c r="S996" s="2">
        <v>3</v>
      </c>
      <c r="T996" s="2">
        <v>2</v>
      </c>
      <c r="U996">
        <v>80</v>
      </c>
      <c r="V996" s="2">
        <v>24</v>
      </c>
      <c r="W996">
        <v>3</v>
      </c>
      <c r="X996">
        <v>2</v>
      </c>
      <c r="Y996">
        <v>5</v>
      </c>
      <c r="Z996">
        <v>3</v>
      </c>
      <c r="AA996">
        <v>0</v>
      </c>
      <c r="AB996">
        <v>2</v>
      </c>
    </row>
    <row r="997" spans="1:28" x14ac:dyDescent="0.35">
      <c r="A997" s="2">
        <v>43</v>
      </c>
      <c r="B997" s="2" t="str" cm="1">
        <f t="array" ref="B997">_xlfn.IFS(HR_table[[#This Row],[Age]]&lt;=20, "Under 20yrs",HR_table[[#This Row],[Age]]&lt;=30,"(21-30)yrs",HR_table[[#This Row],[Age]]&lt;=40,"(31-40)yrs",HR_table[[#This Row],[Age]]&lt;=50,"(41-50)yrs",HR_table[[#This Row],[Age]]&lt;=60,"(51-60)yrs")</f>
        <v>(41-50)yrs</v>
      </c>
      <c r="C997" t="s">
        <v>43</v>
      </c>
      <c r="D997" t="s">
        <v>36</v>
      </c>
      <c r="E997" t="s">
        <v>45</v>
      </c>
      <c r="F997" t="s">
        <v>51</v>
      </c>
      <c r="G997" t="s">
        <v>47</v>
      </c>
      <c r="H997">
        <v>1402</v>
      </c>
      <c r="I997" s="2">
        <v>6</v>
      </c>
      <c r="J997" s="2">
        <v>1</v>
      </c>
      <c r="K997" t="s">
        <v>39</v>
      </c>
      <c r="L997" s="2">
        <v>2</v>
      </c>
      <c r="M997" s="2">
        <v>3</v>
      </c>
      <c r="N997" t="s">
        <v>41</v>
      </c>
      <c r="O997" s="2">
        <v>4081</v>
      </c>
      <c r="P997" s="2">
        <v>20003</v>
      </c>
      <c r="Q997" s="2">
        <v>1</v>
      </c>
      <c r="R997" t="s">
        <v>35</v>
      </c>
      <c r="S997" s="2">
        <v>3</v>
      </c>
      <c r="T997" s="2">
        <v>1</v>
      </c>
      <c r="U997">
        <v>80</v>
      </c>
      <c r="V997" s="2">
        <v>20</v>
      </c>
      <c r="W997">
        <v>3</v>
      </c>
      <c r="X997">
        <v>1</v>
      </c>
      <c r="Y997">
        <v>20</v>
      </c>
      <c r="Z997">
        <v>7</v>
      </c>
      <c r="AA997">
        <v>1</v>
      </c>
      <c r="AB997">
        <v>8</v>
      </c>
    </row>
    <row r="998" spans="1:28" x14ac:dyDescent="0.35">
      <c r="A998" s="2">
        <v>27</v>
      </c>
      <c r="B998" s="2" t="str" cm="1">
        <f t="array" ref="B998">_xlfn.IFS(HR_table[[#This Row],[Age]]&lt;=20, "Under 20yrs",HR_table[[#This Row],[Age]]&lt;=30,"(21-30)yrs",HR_table[[#This Row],[Age]]&lt;=40,"(31-40)yrs",HR_table[[#This Row],[Age]]&lt;=50,"(41-50)yrs",HR_table[[#This Row],[Age]]&lt;=60,"(51-60)yrs")</f>
        <v>(21-30)yrs</v>
      </c>
      <c r="C998" t="s">
        <v>43</v>
      </c>
      <c r="D998" t="s">
        <v>36</v>
      </c>
      <c r="E998" t="s">
        <v>37</v>
      </c>
      <c r="F998" t="s">
        <v>59</v>
      </c>
      <c r="G998" t="s">
        <v>40</v>
      </c>
      <c r="H998">
        <v>1403</v>
      </c>
      <c r="I998" s="2">
        <v>10</v>
      </c>
      <c r="J998" s="2">
        <v>4</v>
      </c>
      <c r="K998" t="s">
        <v>39</v>
      </c>
      <c r="L998" s="2">
        <v>2</v>
      </c>
      <c r="M998" s="2">
        <v>4</v>
      </c>
      <c r="N998" t="s">
        <v>48</v>
      </c>
      <c r="O998" s="2">
        <v>5769</v>
      </c>
      <c r="P998" s="2">
        <v>7100</v>
      </c>
      <c r="Q998" s="2">
        <v>1</v>
      </c>
      <c r="R998" t="s">
        <v>35</v>
      </c>
      <c r="S998" s="2">
        <v>3</v>
      </c>
      <c r="T998" s="2">
        <v>4</v>
      </c>
      <c r="U998">
        <v>80</v>
      </c>
      <c r="V998" s="2">
        <v>6</v>
      </c>
      <c r="W998">
        <v>3</v>
      </c>
      <c r="X998">
        <v>3</v>
      </c>
      <c r="Y998">
        <v>6</v>
      </c>
      <c r="Z998">
        <v>2</v>
      </c>
      <c r="AA998">
        <v>4</v>
      </c>
      <c r="AB998">
        <v>4</v>
      </c>
    </row>
    <row r="999" spans="1:28" x14ac:dyDescent="0.35">
      <c r="A999" s="2">
        <v>27</v>
      </c>
      <c r="B999" s="2" t="str" cm="1">
        <f t="array" ref="B999">_xlfn.IFS(HR_table[[#This Row],[Age]]&lt;=20, "Under 20yrs",HR_table[[#This Row],[Age]]&lt;=30,"(21-30)yrs",HR_table[[#This Row],[Age]]&lt;=40,"(31-40)yrs",HR_table[[#This Row],[Age]]&lt;=50,"(41-50)yrs",HR_table[[#This Row],[Age]]&lt;=60,"(51-60)yrs")</f>
        <v>(21-30)yrs</v>
      </c>
      <c r="C999" t="s">
        <v>35</v>
      </c>
      <c r="D999" t="s">
        <v>36</v>
      </c>
      <c r="E999" t="s">
        <v>45</v>
      </c>
      <c r="F999" t="s">
        <v>38</v>
      </c>
      <c r="G999" t="s">
        <v>47</v>
      </c>
      <c r="H999">
        <v>1405</v>
      </c>
      <c r="I999" s="2">
        <v>17</v>
      </c>
      <c r="J999" s="2">
        <v>4</v>
      </c>
      <c r="K999" t="s">
        <v>39</v>
      </c>
      <c r="L999" s="2">
        <v>1</v>
      </c>
      <c r="M999" s="2">
        <v>3</v>
      </c>
      <c r="N999" t="s">
        <v>41</v>
      </c>
      <c r="O999" s="2">
        <v>2394</v>
      </c>
      <c r="P999" s="2">
        <v>25681</v>
      </c>
      <c r="Q999" s="2">
        <v>1</v>
      </c>
      <c r="R999" t="s">
        <v>35</v>
      </c>
      <c r="S999" s="2">
        <v>3</v>
      </c>
      <c r="T999" s="2">
        <v>4</v>
      </c>
      <c r="U999">
        <v>80</v>
      </c>
      <c r="V999" s="2">
        <v>8</v>
      </c>
      <c r="W999">
        <v>2</v>
      </c>
      <c r="X999">
        <v>3</v>
      </c>
      <c r="Y999">
        <v>8</v>
      </c>
      <c r="Z999">
        <v>2</v>
      </c>
      <c r="AA999">
        <v>7</v>
      </c>
      <c r="AB999">
        <v>7</v>
      </c>
    </row>
    <row r="1000" spans="1:28" x14ac:dyDescent="0.35">
      <c r="A1000" s="2">
        <v>26</v>
      </c>
      <c r="B1000" s="2" t="str" cm="1">
        <f t="array" ref="B1000">_xlfn.IFS(HR_table[[#This Row],[Age]]&lt;=20, "Under 20yrs",HR_table[[#This Row],[Age]]&lt;=30,"(21-30)yrs",HR_table[[#This Row],[Age]]&lt;=40,"(31-40)yrs",HR_table[[#This Row],[Age]]&lt;=50,"(41-50)yrs",HR_table[[#This Row],[Age]]&lt;=60,"(51-60)yrs")</f>
        <v>(21-30)yrs</v>
      </c>
      <c r="C1000" t="s">
        <v>43</v>
      </c>
      <c r="D1000" t="s">
        <v>36</v>
      </c>
      <c r="E1000" t="s">
        <v>45</v>
      </c>
      <c r="F1000" t="s">
        <v>51</v>
      </c>
      <c r="G1000" t="s">
        <v>47</v>
      </c>
      <c r="H1000">
        <v>1407</v>
      </c>
      <c r="I1000" s="2">
        <v>2</v>
      </c>
      <c r="J1000" s="2">
        <v>1</v>
      </c>
      <c r="K1000" t="s">
        <v>46</v>
      </c>
      <c r="L1000" s="2">
        <v>1</v>
      </c>
      <c r="M1000" s="2">
        <v>4</v>
      </c>
      <c r="N1000" t="s">
        <v>41</v>
      </c>
      <c r="O1000" s="2">
        <v>3904</v>
      </c>
      <c r="P1000" s="2">
        <v>4050</v>
      </c>
      <c r="Q1000" s="2">
        <v>0</v>
      </c>
      <c r="R1000" t="s">
        <v>43</v>
      </c>
      <c r="S1000" s="2">
        <v>3</v>
      </c>
      <c r="T1000" s="2">
        <v>4</v>
      </c>
      <c r="U1000">
        <v>80</v>
      </c>
      <c r="V1000" s="2">
        <v>5</v>
      </c>
      <c r="W1000">
        <v>2</v>
      </c>
      <c r="X1000">
        <v>3</v>
      </c>
      <c r="Y1000">
        <v>4</v>
      </c>
      <c r="Z1000">
        <v>3</v>
      </c>
      <c r="AA1000">
        <v>1</v>
      </c>
      <c r="AB1000">
        <v>1</v>
      </c>
    </row>
    <row r="1001" spans="1:28" x14ac:dyDescent="0.35">
      <c r="A1001" s="2">
        <v>42</v>
      </c>
      <c r="B1001" s="2" t="str" cm="1">
        <f t="array" ref="B1001">_xlfn.IFS(HR_table[[#This Row],[Age]]&lt;=20, "Under 20yrs",HR_table[[#This Row],[Age]]&lt;=30,"(21-30)yrs",HR_table[[#This Row],[Age]]&lt;=40,"(31-40)yrs",HR_table[[#This Row],[Age]]&lt;=50,"(41-50)yrs",HR_table[[#This Row],[Age]]&lt;=60,"(51-60)yrs")</f>
        <v>(41-50)yrs</v>
      </c>
      <c r="C1001" t="s">
        <v>43</v>
      </c>
      <c r="D1001" t="s">
        <v>36</v>
      </c>
      <c r="E1001" t="s">
        <v>61</v>
      </c>
      <c r="F1001" t="s">
        <v>61</v>
      </c>
      <c r="G1001" t="s">
        <v>56</v>
      </c>
      <c r="H1001">
        <v>1408</v>
      </c>
      <c r="I1001" s="2">
        <v>10</v>
      </c>
      <c r="J1001" s="2">
        <v>3</v>
      </c>
      <c r="K1001" t="s">
        <v>39</v>
      </c>
      <c r="L1001" s="2">
        <v>4</v>
      </c>
      <c r="M1001" s="2">
        <v>1</v>
      </c>
      <c r="N1001" t="s">
        <v>48</v>
      </c>
      <c r="O1001" s="2">
        <v>16799</v>
      </c>
      <c r="P1001" s="2">
        <v>16616</v>
      </c>
      <c r="Q1001" s="2">
        <v>0</v>
      </c>
      <c r="R1001" t="s">
        <v>43</v>
      </c>
      <c r="S1001" s="2">
        <v>3</v>
      </c>
      <c r="T1001" s="2">
        <v>3</v>
      </c>
      <c r="U1001">
        <v>80</v>
      </c>
      <c r="V1001" s="2">
        <v>21</v>
      </c>
      <c r="W1001">
        <v>5</v>
      </c>
      <c r="X1001">
        <v>3</v>
      </c>
      <c r="Y1001">
        <v>20</v>
      </c>
      <c r="Z1001">
        <v>7</v>
      </c>
      <c r="AA1001">
        <v>0</v>
      </c>
      <c r="AB1001">
        <v>9</v>
      </c>
    </row>
    <row r="1002" spans="1:28" x14ac:dyDescent="0.35">
      <c r="A1002" s="2">
        <v>52</v>
      </c>
      <c r="B1002" s="2" t="str" cm="1">
        <f t="array" ref="B1002">_xlfn.IFS(HR_table[[#This Row],[Age]]&lt;=20, "Under 20yrs",HR_table[[#This Row],[Age]]&lt;=30,"(21-30)yrs",HR_table[[#This Row],[Age]]&lt;=40,"(31-40)yrs",HR_table[[#This Row],[Age]]&lt;=50,"(41-50)yrs",HR_table[[#This Row],[Age]]&lt;=60,"(51-60)yrs")</f>
        <v>(51-60)yrs</v>
      </c>
      <c r="C1002" t="s">
        <v>43</v>
      </c>
      <c r="D1002" t="s">
        <v>36</v>
      </c>
      <c r="E1002" t="s">
        <v>45</v>
      </c>
      <c r="F1002" t="s">
        <v>49</v>
      </c>
      <c r="G1002" t="s">
        <v>50</v>
      </c>
      <c r="H1002">
        <v>1409</v>
      </c>
      <c r="I1002" s="2">
        <v>8</v>
      </c>
      <c r="J1002" s="2">
        <v>3</v>
      </c>
      <c r="K1002" t="s">
        <v>39</v>
      </c>
      <c r="L1002" s="2">
        <v>1</v>
      </c>
      <c r="M1002" s="2">
        <v>1</v>
      </c>
      <c r="N1002" t="s">
        <v>48</v>
      </c>
      <c r="O1002" s="2">
        <v>2950</v>
      </c>
      <c r="P1002" s="2">
        <v>17363</v>
      </c>
      <c r="Q1002" s="2">
        <v>9</v>
      </c>
      <c r="R1002" t="s">
        <v>43</v>
      </c>
      <c r="S1002" s="2">
        <v>3</v>
      </c>
      <c r="T1002" s="2">
        <v>3</v>
      </c>
      <c r="U1002">
        <v>80</v>
      </c>
      <c r="V1002" s="2">
        <v>12</v>
      </c>
      <c r="W1002">
        <v>2</v>
      </c>
      <c r="X1002">
        <v>1</v>
      </c>
      <c r="Y1002">
        <v>5</v>
      </c>
      <c r="Z1002">
        <v>4</v>
      </c>
      <c r="AA1002">
        <v>0</v>
      </c>
      <c r="AB1002">
        <v>4</v>
      </c>
    </row>
    <row r="1003" spans="1:28" x14ac:dyDescent="0.35">
      <c r="A1003" s="2">
        <v>37</v>
      </c>
      <c r="B1003" s="2" t="str" cm="1">
        <f t="array" ref="B1003">_xlfn.IFS(HR_table[[#This Row],[Age]]&lt;=20, "Under 20yrs",HR_table[[#This Row],[Age]]&lt;=30,"(21-30)yrs",HR_table[[#This Row],[Age]]&lt;=40,"(31-40)yrs",HR_table[[#This Row],[Age]]&lt;=50,"(41-50)yrs",HR_table[[#This Row],[Age]]&lt;=60,"(51-60)yrs")</f>
        <v>(31-40)yrs</v>
      </c>
      <c r="C1003" t="s">
        <v>43</v>
      </c>
      <c r="D1003" t="s">
        <v>36</v>
      </c>
      <c r="E1003" t="s">
        <v>45</v>
      </c>
      <c r="F1003" t="s">
        <v>51</v>
      </c>
      <c r="G1003" t="s">
        <v>50</v>
      </c>
      <c r="H1003">
        <v>1411</v>
      </c>
      <c r="I1003" s="2">
        <v>11</v>
      </c>
      <c r="J1003" s="2">
        <v>1</v>
      </c>
      <c r="K1003" t="s">
        <v>39</v>
      </c>
      <c r="L1003" s="2">
        <v>1</v>
      </c>
      <c r="M1003" s="2">
        <v>3</v>
      </c>
      <c r="N1003" t="s">
        <v>41</v>
      </c>
      <c r="O1003" s="2">
        <v>3629</v>
      </c>
      <c r="P1003" s="2">
        <v>19106</v>
      </c>
      <c r="Q1003" s="2">
        <v>4</v>
      </c>
      <c r="R1003" t="s">
        <v>43</v>
      </c>
      <c r="S1003" s="2">
        <v>3</v>
      </c>
      <c r="T1003" s="2">
        <v>1</v>
      </c>
      <c r="U1003">
        <v>80</v>
      </c>
      <c r="V1003" s="2">
        <v>8</v>
      </c>
      <c r="W1003">
        <v>6</v>
      </c>
      <c r="X1003">
        <v>3</v>
      </c>
      <c r="Y1003">
        <v>3</v>
      </c>
      <c r="Z1003">
        <v>2</v>
      </c>
      <c r="AA1003">
        <v>0</v>
      </c>
      <c r="AB1003">
        <v>2</v>
      </c>
    </row>
    <row r="1004" spans="1:28" x14ac:dyDescent="0.35">
      <c r="A1004" s="2">
        <v>35</v>
      </c>
      <c r="B1004" s="2" t="str" cm="1">
        <f t="array" ref="B1004">_xlfn.IFS(HR_table[[#This Row],[Age]]&lt;=20, "Under 20yrs",HR_table[[#This Row],[Age]]&lt;=30,"(21-30)yrs",HR_table[[#This Row],[Age]]&lt;=40,"(31-40)yrs",HR_table[[#This Row],[Age]]&lt;=50,"(41-50)yrs",HR_table[[#This Row],[Age]]&lt;=60,"(51-60)yrs")</f>
        <v>(31-40)yrs</v>
      </c>
      <c r="C1004" t="s">
        <v>43</v>
      </c>
      <c r="D1004" t="s">
        <v>44</v>
      </c>
      <c r="E1004" t="s">
        <v>45</v>
      </c>
      <c r="F1004" t="s">
        <v>38</v>
      </c>
      <c r="G1004" t="s">
        <v>53</v>
      </c>
      <c r="H1004">
        <v>1412</v>
      </c>
      <c r="I1004" s="2">
        <v>18</v>
      </c>
      <c r="J1004" s="2">
        <v>3</v>
      </c>
      <c r="K1004" t="s">
        <v>46</v>
      </c>
      <c r="L1004" s="2">
        <v>3</v>
      </c>
      <c r="M1004" s="2">
        <v>4</v>
      </c>
      <c r="N1004" t="s">
        <v>41</v>
      </c>
      <c r="O1004" s="2">
        <v>9362</v>
      </c>
      <c r="P1004" s="2">
        <v>19944</v>
      </c>
      <c r="Q1004" s="2">
        <v>2</v>
      </c>
      <c r="R1004" t="s">
        <v>43</v>
      </c>
      <c r="S1004" s="2">
        <v>3</v>
      </c>
      <c r="T1004" s="2">
        <v>3</v>
      </c>
      <c r="U1004">
        <v>80</v>
      </c>
      <c r="V1004" s="2">
        <v>10</v>
      </c>
      <c r="W1004">
        <v>2</v>
      </c>
      <c r="X1004">
        <v>3</v>
      </c>
      <c r="Y1004">
        <v>2</v>
      </c>
      <c r="Z1004">
        <v>2</v>
      </c>
      <c r="AA1004">
        <v>2</v>
      </c>
      <c r="AB1004">
        <v>2</v>
      </c>
    </row>
    <row r="1005" spans="1:28" x14ac:dyDescent="0.35">
      <c r="A1005" s="2">
        <v>25</v>
      </c>
      <c r="B1005" s="2" t="str" cm="1">
        <f t="array" ref="B1005">_xlfn.IFS(HR_table[[#This Row],[Age]]&lt;=20, "Under 20yrs",HR_table[[#This Row],[Age]]&lt;=30,"(21-30)yrs",HR_table[[#This Row],[Age]]&lt;=40,"(31-40)yrs",HR_table[[#This Row],[Age]]&lt;=50,"(41-50)yrs",HR_table[[#This Row],[Age]]&lt;=60,"(51-60)yrs")</f>
        <v>(21-30)yrs</v>
      </c>
      <c r="C1005" t="s">
        <v>43</v>
      </c>
      <c r="D1005" t="s">
        <v>36</v>
      </c>
      <c r="E1005" t="s">
        <v>45</v>
      </c>
      <c r="F1005" t="s">
        <v>60</v>
      </c>
      <c r="G1005" t="s">
        <v>50</v>
      </c>
      <c r="H1005">
        <v>1415</v>
      </c>
      <c r="I1005" s="2">
        <v>1</v>
      </c>
      <c r="J1005" s="2">
        <v>1</v>
      </c>
      <c r="K1005" t="s">
        <v>46</v>
      </c>
      <c r="L1005" s="2">
        <v>1</v>
      </c>
      <c r="M1005" s="2">
        <v>4</v>
      </c>
      <c r="N1005" t="s">
        <v>48</v>
      </c>
      <c r="O1005" s="2">
        <v>3229</v>
      </c>
      <c r="P1005" s="2">
        <v>4910</v>
      </c>
      <c r="Q1005" s="2">
        <v>4</v>
      </c>
      <c r="R1005" t="s">
        <v>43</v>
      </c>
      <c r="S1005" s="2">
        <v>3</v>
      </c>
      <c r="T1005" s="2">
        <v>2</v>
      </c>
      <c r="U1005">
        <v>80</v>
      </c>
      <c r="V1005" s="2">
        <v>7</v>
      </c>
      <c r="W1005">
        <v>2</v>
      </c>
      <c r="X1005">
        <v>2</v>
      </c>
      <c r="Y1005">
        <v>3</v>
      </c>
      <c r="Z1005">
        <v>2</v>
      </c>
      <c r="AA1005">
        <v>0</v>
      </c>
      <c r="AB1005">
        <v>2</v>
      </c>
    </row>
    <row r="1006" spans="1:28" x14ac:dyDescent="0.35">
      <c r="A1006" s="2">
        <v>26</v>
      </c>
      <c r="B1006" s="2" t="str" cm="1">
        <f t="array" ref="B1006">_xlfn.IFS(HR_table[[#This Row],[Age]]&lt;=20, "Under 20yrs",HR_table[[#This Row],[Age]]&lt;=30,"(21-30)yrs",HR_table[[#This Row],[Age]]&lt;=40,"(31-40)yrs",HR_table[[#This Row],[Age]]&lt;=50,"(41-50)yrs",HR_table[[#This Row],[Age]]&lt;=60,"(51-60)yrs")</f>
        <v>(21-30)yrs</v>
      </c>
      <c r="C1006" t="s">
        <v>43</v>
      </c>
      <c r="D1006" t="s">
        <v>36</v>
      </c>
      <c r="E1006" t="s">
        <v>45</v>
      </c>
      <c r="F1006" t="s">
        <v>49</v>
      </c>
      <c r="G1006" t="s">
        <v>50</v>
      </c>
      <c r="H1006">
        <v>1417</v>
      </c>
      <c r="I1006" s="2">
        <v>7</v>
      </c>
      <c r="J1006" s="2">
        <v>3</v>
      </c>
      <c r="K1006" t="s">
        <v>46</v>
      </c>
      <c r="L1006" s="2">
        <v>1</v>
      </c>
      <c r="M1006" s="2">
        <v>1</v>
      </c>
      <c r="N1006" t="s">
        <v>41</v>
      </c>
      <c r="O1006" s="2">
        <v>3578</v>
      </c>
      <c r="P1006" s="2">
        <v>23577</v>
      </c>
      <c r="Q1006" s="2">
        <v>0</v>
      </c>
      <c r="R1006" t="s">
        <v>43</v>
      </c>
      <c r="S1006" s="2">
        <v>3</v>
      </c>
      <c r="T1006" s="2">
        <v>4</v>
      </c>
      <c r="U1006">
        <v>80</v>
      </c>
      <c r="V1006" s="2">
        <v>8</v>
      </c>
      <c r="W1006">
        <v>2</v>
      </c>
      <c r="X1006">
        <v>3</v>
      </c>
      <c r="Y1006">
        <v>7</v>
      </c>
      <c r="Z1006">
        <v>7</v>
      </c>
      <c r="AA1006">
        <v>0</v>
      </c>
      <c r="AB1006">
        <v>7</v>
      </c>
    </row>
    <row r="1007" spans="1:28" x14ac:dyDescent="0.35">
      <c r="A1007" s="2">
        <v>29</v>
      </c>
      <c r="B1007" s="2" t="str" cm="1">
        <f t="array" ref="B1007">_xlfn.IFS(HR_table[[#This Row],[Age]]&lt;=20, "Under 20yrs",HR_table[[#This Row],[Age]]&lt;=30,"(21-30)yrs",HR_table[[#This Row],[Age]]&lt;=40,"(31-40)yrs",HR_table[[#This Row],[Age]]&lt;=50,"(41-50)yrs",HR_table[[#This Row],[Age]]&lt;=60,"(51-60)yrs")</f>
        <v>(21-30)yrs</v>
      </c>
      <c r="C1007" t="s">
        <v>43</v>
      </c>
      <c r="D1007" t="s">
        <v>36</v>
      </c>
      <c r="E1007" t="s">
        <v>61</v>
      </c>
      <c r="F1007" t="s">
        <v>49</v>
      </c>
      <c r="G1007" t="s">
        <v>61</v>
      </c>
      <c r="H1007">
        <v>1419</v>
      </c>
      <c r="I1007" s="2">
        <v>17</v>
      </c>
      <c r="J1007" s="2">
        <v>2</v>
      </c>
      <c r="K1007" t="s">
        <v>46</v>
      </c>
      <c r="L1007" s="2">
        <v>3</v>
      </c>
      <c r="M1007" s="2">
        <v>1</v>
      </c>
      <c r="N1007" t="s">
        <v>41</v>
      </c>
      <c r="O1007" s="2">
        <v>7988</v>
      </c>
      <c r="P1007" s="2">
        <v>9769</v>
      </c>
      <c r="Q1007" s="2">
        <v>1</v>
      </c>
      <c r="R1007" t="s">
        <v>43</v>
      </c>
      <c r="S1007" s="2">
        <v>3</v>
      </c>
      <c r="T1007" s="2">
        <v>1</v>
      </c>
      <c r="U1007">
        <v>80</v>
      </c>
      <c r="V1007" s="2">
        <v>10</v>
      </c>
      <c r="W1007">
        <v>3</v>
      </c>
      <c r="X1007">
        <v>2</v>
      </c>
      <c r="Y1007">
        <v>10</v>
      </c>
      <c r="Z1007">
        <v>9</v>
      </c>
      <c r="AA1007">
        <v>0</v>
      </c>
      <c r="AB1007">
        <v>9</v>
      </c>
    </row>
    <row r="1008" spans="1:28" x14ac:dyDescent="0.35">
      <c r="A1008" s="2">
        <v>49</v>
      </c>
      <c r="B1008" s="2" t="str" cm="1">
        <f t="array" ref="B1008">_xlfn.IFS(HR_table[[#This Row],[Age]]&lt;=20, "Under 20yrs",HR_table[[#This Row],[Age]]&lt;=30,"(21-30)yrs",HR_table[[#This Row],[Age]]&lt;=40,"(31-40)yrs",HR_table[[#This Row],[Age]]&lt;=50,"(41-50)yrs",HR_table[[#This Row],[Age]]&lt;=60,"(51-60)yrs")</f>
        <v>(41-50)yrs</v>
      </c>
      <c r="C1008" t="s">
        <v>35</v>
      </c>
      <c r="D1008" t="s">
        <v>44</v>
      </c>
      <c r="E1008" t="s">
        <v>45</v>
      </c>
      <c r="F1008" t="s">
        <v>38</v>
      </c>
      <c r="G1008" t="s">
        <v>50</v>
      </c>
      <c r="H1008">
        <v>1420</v>
      </c>
      <c r="I1008" s="2">
        <v>28</v>
      </c>
      <c r="J1008" s="2">
        <v>1</v>
      </c>
      <c r="K1008" t="s">
        <v>46</v>
      </c>
      <c r="L1008" s="2">
        <v>2</v>
      </c>
      <c r="M1008" s="2">
        <v>1</v>
      </c>
      <c r="N1008" t="s">
        <v>41</v>
      </c>
      <c r="O1008" s="2">
        <v>4284</v>
      </c>
      <c r="P1008" s="2">
        <v>22710</v>
      </c>
      <c r="Q1008" s="2">
        <v>3</v>
      </c>
      <c r="R1008" t="s">
        <v>43</v>
      </c>
      <c r="S1008" s="2">
        <v>4</v>
      </c>
      <c r="T1008" s="2">
        <v>1</v>
      </c>
      <c r="U1008">
        <v>80</v>
      </c>
      <c r="V1008" s="2">
        <v>20</v>
      </c>
      <c r="W1008">
        <v>2</v>
      </c>
      <c r="X1008">
        <v>3</v>
      </c>
      <c r="Y1008">
        <v>4</v>
      </c>
      <c r="Z1008">
        <v>3</v>
      </c>
      <c r="AA1008">
        <v>1</v>
      </c>
      <c r="AB1008">
        <v>3</v>
      </c>
    </row>
    <row r="1009" spans="1:28" x14ac:dyDescent="0.35">
      <c r="A1009" s="2">
        <v>29</v>
      </c>
      <c r="B1009" s="2" t="str" cm="1">
        <f t="array" ref="B1009">_xlfn.IFS(HR_table[[#This Row],[Age]]&lt;=20, "Under 20yrs",HR_table[[#This Row],[Age]]&lt;=30,"(21-30)yrs",HR_table[[#This Row],[Age]]&lt;=40,"(31-40)yrs",HR_table[[#This Row],[Age]]&lt;=50,"(41-50)yrs",HR_table[[#This Row],[Age]]&lt;=60,"(51-60)yrs")</f>
        <v>(21-30)yrs</v>
      </c>
      <c r="C1009" t="s">
        <v>35</v>
      </c>
      <c r="D1009" t="s">
        <v>44</v>
      </c>
      <c r="E1009" t="s">
        <v>45</v>
      </c>
      <c r="F1009" t="s">
        <v>49</v>
      </c>
      <c r="G1009" t="s">
        <v>54</v>
      </c>
      <c r="H1009">
        <v>1421</v>
      </c>
      <c r="I1009" s="2">
        <v>14</v>
      </c>
      <c r="J1009" s="2">
        <v>3</v>
      </c>
      <c r="K1009" t="s">
        <v>39</v>
      </c>
      <c r="L1009" s="2">
        <v>3</v>
      </c>
      <c r="M1009" s="2">
        <v>4</v>
      </c>
      <c r="N1009" t="s">
        <v>41</v>
      </c>
      <c r="O1009" s="2">
        <v>7553</v>
      </c>
      <c r="P1009" s="2">
        <v>22930</v>
      </c>
      <c r="Q1009" s="2">
        <v>0</v>
      </c>
      <c r="R1009" t="s">
        <v>35</v>
      </c>
      <c r="S1009" s="2">
        <v>3</v>
      </c>
      <c r="T1009" s="2">
        <v>1</v>
      </c>
      <c r="U1009">
        <v>80</v>
      </c>
      <c r="V1009" s="2">
        <v>9</v>
      </c>
      <c r="W1009">
        <v>1</v>
      </c>
      <c r="X1009">
        <v>3</v>
      </c>
      <c r="Y1009">
        <v>8</v>
      </c>
      <c r="Z1009">
        <v>7</v>
      </c>
      <c r="AA1009">
        <v>7</v>
      </c>
      <c r="AB1009">
        <v>7</v>
      </c>
    </row>
    <row r="1010" spans="1:28" x14ac:dyDescent="0.35">
      <c r="A1010" s="2">
        <v>54</v>
      </c>
      <c r="B1010" s="2" t="str" cm="1">
        <f t="array" ref="B1010">_xlfn.IFS(HR_table[[#This Row],[Age]]&lt;=20, "Under 20yrs",HR_table[[#This Row],[Age]]&lt;=30,"(21-30)yrs",HR_table[[#This Row],[Age]]&lt;=40,"(31-40)yrs",HR_table[[#This Row],[Age]]&lt;=50,"(41-50)yrs",HR_table[[#This Row],[Age]]&lt;=60,"(51-60)yrs")</f>
        <v>(51-60)yrs</v>
      </c>
      <c r="C1010" t="s">
        <v>43</v>
      </c>
      <c r="D1010" t="s">
        <v>36</v>
      </c>
      <c r="E1010" t="s">
        <v>45</v>
      </c>
      <c r="F1010" t="s">
        <v>51</v>
      </c>
      <c r="G1010" t="s">
        <v>58</v>
      </c>
      <c r="H1010">
        <v>1422</v>
      </c>
      <c r="I1010" s="2">
        <v>1</v>
      </c>
      <c r="J1010" s="2">
        <v>4</v>
      </c>
      <c r="K1010" t="s">
        <v>39</v>
      </c>
      <c r="L1010" s="2">
        <v>4</v>
      </c>
      <c r="M1010" s="2">
        <v>4</v>
      </c>
      <c r="N1010" t="s">
        <v>41</v>
      </c>
      <c r="O1010" s="2">
        <v>17328</v>
      </c>
      <c r="P1010" s="2">
        <v>5652</v>
      </c>
      <c r="Q1010" s="2">
        <v>6</v>
      </c>
      <c r="R1010" t="s">
        <v>43</v>
      </c>
      <c r="S1010" s="2">
        <v>3</v>
      </c>
      <c r="T1010" s="2">
        <v>4</v>
      </c>
      <c r="U1010">
        <v>80</v>
      </c>
      <c r="V1010" s="2">
        <v>29</v>
      </c>
      <c r="W1010">
        <v>3</v>
      </c>
      <c r="X1010">
        <v>2</v>
      </c>
      <c r="Y1010">
        <v>20</v>
      </c>
      <c r="Z1010">
        <v>7</v>
      </c>
      <c r="AA1010">
        <v>12</v>
      </c>
      <c r="AB1010">
        <v>7</v>
      </c>
    </row>
    <row r="1011" spans="1:28" x14ac:dyDescent="0.35">
      <c r="A1011" s="2">
        <v>58</v>
      </c>
      <c r="B1011" s="2" t="str" cm="1">
        <f t="array" ref="B1011">_xlfn.IFS(HR_table[[#This Row],[Age]]&lt;=20, "Under 20yrs",HR_table[[#This Row],[Age]]&lt;=30,"(21-30)yrs",HR_table[[#This Row],[Age]]&lt;=40,"(31-40)yrs",HR_table[[#This Row],[Age]]&lt;=50,"(41-50)yrs",HR_table[[#This Row],[Age]]&lt;=60,"(51-60)yrs")</f>
        <v>(51-60)yrs</v>
      </c>
      <c r="C1011" t="s">
        <v>43</v>
      </c>
      <c r="D1011" t="s">
        <v>36</v>
      </c>
      <c r="E1011" t="s">
        <v>45</v>
      </c>
      <c r="F1011" t="s">
        <v>51</v>
      </c>
      <c r="G1011" t="s">
        <v>58</v>
      </c>
      <c r="H1011">
        <v>1423</v>
      </c>
      <c r="I1011" s="2">
        <v>1</v>
      </c>
      <c r="J1011" s="2">
        <v>4</v>
      </c>
      <c r="K1011" t="s">
        <v>39</v>
      </c>
      <c r="L1011" s="2">
        <v>5</v>
      </c>
      <c r="M1011" s="2">
        <v>1</v>
      </c>
      <c r="N1011" t="s">
        <v>48</v>
      </c>
      <c r="O1011" s="2">
        <v>19701</v>
      </c>
      <c r="P1011" s="2">
        <v>22456</v>
      </c>
      <c r="Q1011" s="2">
        <v>3</v>
      </c>
      <c r="R1011" t="s">
        <v>35</v>
      </c>
      <c r="S1011" s="2">
        <v>4</v>
      </c>
      <c r="T1011" s="2">
        <v>3</v>
      </c>
      <c r="U1011">
        <v>80</v>
      </c>
      <c r="V1011" s="2">
        <v>32</v>
      </c>
      <c r="W1011">
        <v>3</v>
      </c>
      <c r="X1011">
        <v>3</v>
      </c>
      <c r="Y1011">
        <v>9</v>
      </c>
      <c r="Z1011">
        <v>8</v>
      </c>
      <c r="AA1011">
        <v>1</v>
      </c>
      <c r="AB1011">
        <v>5</v>
      </c>
    </row>
    <row r="1012" spans="1:28" x14ac:dyDescent="0.35">
      <c r="A1012" s="2">
        <v>55</v>
      </c>
      <c r="B1012" s="2" t="str" cm="1">
        <f t="array" ref="B1012">_xlfn.IFS(HR_table[[#This Row],[Age]]&lt;=20, "Under 20yrs",HR_table[[#This Row],[Age]]&lt;=30,"(21-30)yrs",HR_table[[#This Row],[Age]]&lt;=40,"(31-40)yrs",HR_table[[#This Row],[Age]]&lt;=50,"(41-50)yrs",HR_table[[#This Row],[Age]]&lt;=60,"(51-60)yrs")</f>
        <v>(51-60)yrs</v>
      </c>
      <c r="C1012" t="s">
        <v>43</v>
      </c>
      <c r="D1012" t="s">
        <v>36</v>
      </c>
      <c r="E1012" t="s">
        <v>45</v>
      </c>
      <c r="F1012" t="s">
        <v>51</v>
      </c>
      <c r="G1012" t="s">
        <v>58</v>
      </c>
      <c r="H1012">
        <v>1424</v>
      </c>
      <c r="I1012" s="2">
        <v>1</v>
      </c>
      <c r="J1012" s="2">
        <v>2</v>
      </c>
      <c r="K1012" t="s">
        <v>46</v>
      </c>
      <c r="L1012" s="2">
        <v>4</v>
      </c>
      <c r="M1012" s="2">
        <v>4</v>
      </c>
      <c r="N1012" t="s">
        <v>52</v>
      </c>
      <c r="O1012" s="2">
        <v>14732</v>
      </c>
      <c r="P1012" s="2">
        <v>12414</v>
      </c>
      <c r="Q1012" s="2">
        <v>2</v>
      </c>
      <c r="R1012" t="s">
        <v>43</v>
      </c>
      <c r="S1012" s="2">
        <v>3</v>
      </c>
      <c r="T1012" s="2">
        <v>4</v>
      </c>
      <c r="U1012">
        <v>80</v>
      </c>
      <c r="V1012" s="2">
        <v>31</v>
      </c>
      <c r="W1012">
        <v>4</v>
      </c>
      <c r="X1012">
        <v>4</v>
      </c>
      <c r="Y1012">
        <v>7</v>
      </c>
      <c r="Z1012">
        <v>7</v>
      </c>
      <c r="AA1012">
        <v>0</v>
      </c>
      <c r="AB1012">
        <v>0</v>
      </c>
    </row>
    <row r="1013" spans="1:28" x14ac:dyDescent="0.35">
      <c r="A1013" s="2">
        <v>36</v>
      </c>
      <c r="B1013" s="2" t="str" cm="1">
        <f t="array" ref="B1013">_xlfn.IFS(HR_table[[#This Row],[Age]]&lt;=20, "Under 20yrs",HR_table[[#This Row],[Age]]&lt;=30,"(21-30)yrs",HR_table[[#This Row],[Age]]&lt;=40,"(31-40)yrs",HR_table[[#This Row],[Age]]&lt;=50,"(41-50)yrs",HR_table[[#This Row],[Age]]&lt;=60,"(51-60)yrs")</f>
        <v>(31-40)yrs</v>
      </c>
      <c r="C1013" t="s">
        <v>43</v>
      </c>
      <c r="D1013" t="s">
        <v>36</v>
      </c>
      <c r="E1013" t="s">
        <v>37</v>
      </c>
      <c r="F1013" t="s">
        <v>59</v>
      </c>
      <c r="G1013" t="s">
        <v>40</v>
      </c>
      <c r="H1013">
        <v>1425</v>
      </c>
      <c r="I1013" s="2">
        <v>3</v>
      </c>
      <c r="J1013" s="2">
        <v>1</v>
      </c>
      <c r="K1013" t="s">
        <v>39</v>
      </c>
      <c r="L1013" s="2">
        <v>2</v>
      </c>
      <c r="M1013" s="2">
        <v>2</v>
      </c>
      <c r="N1013" t="s">
        <v>41</v>
      </c>
      <c r="O1013" s="2">
        <v>9278</v>
      </c>
      <c r="P1013" s="2">
        <v>20763</v>
      </c>
      <c r="Q1013" s="2">
        <v>3</v>
      </c>
      <c r="R1013" t="s">
        <v>35</v>
      </c>
      <c r="S1013" s="2">
        <v>3</v>
      </c>
      <c r="T1013" s="2">
        <v>4</v>
      </c>
      <c r="U1013">
        <v>80</v>
      </c>
      <c r="V1013" s="2">
        <v>15</v>
      </c>
      <c r="W1013">
        <v>3</v>
      </c>
      <c r="X1013">
        <v>3</v>
      </c>
      <c r="Y1013">
        <v>5</v>
      </c>
      <c r="Z1013">
        <v>4</v>
      </c>
      <c r="AA1013">
        <v>0</v>
      </c>
      <c r="AB1013">
        <v>1</v>
      </c>
    </row>
    <row r="1014" spans="1:28" x14ac:dyDescent="0.35">
      <c r="A1014" s="2">
        <v>31</v>
      </c>
      <c r="B1014" s="2" t="str" cm="1">
        <f t="array" ref="B1014">_xlfn.IFS(HR_table[[#This Row],[Age]]&lt;=20, "Under 20yrs",HR_table[[#This Row],[Age]]&lt;=30,"(21-30)yrs",HR_table[[#This Row],[Age]]&lt;=40,"(31-40)yrs",HR_table[[#This Row],[Age]]&lt;=50,"(41-50)yrs",HR_table[[#This Row],[Age]]&lt;=60,"(51-60)yrs")</f>
        <v>(31-40)yrs</v>
      </c>
      <c r="C1014" t="s">
        <v>35</v>
      </c>
      <c r="D1014" t="s">
        <v>44</v>
      </c>
      <c r="E1014" t="s">
        <v>37</v>
      </c>
      <c r="F1014" t="s">
        <v>38</v>
      </c>
      <c r="G1014" t="s">
        <v>57</v>
      </c>
      <c r="H1014">
        <v>1427</v>
      </c>
      <c r="I1014" s="2">
        <v>1</v>
      </c>
      <c r="J1014" s="2">
        <v>2</v>
      </c>
      <c r="K1014" t="s">
        <v>39</v>
      </c>
      <c r="L1014" s="2">
        <v>1</v>
      </c>
      <c r="M1014" s="2">
        <v>3</v>
      </c>
      <c r="N1014" t="s">
        <v>41</v>
      </c>
      <c r="O1014" s="2">
        <v>1359</v>
      </c>
      <c r="P1014" s="2">
        <v>16154</v>
      </c>
      <c r="Q1014" s="2">
        <v>1</v>
      </c>
      <c r="R1014" t="s">
        <v>43</v>
      </c>
      <c r="S1014" s="2">
        <v>3</v>
      </c>
      <c r="T1014" s="2">
        <v>2</v>
      </c>
      <c r="U1014">
        <v>80</v>
      </c>
      <c r="V1014" s="2">
        <v>1</v>
      </c>
      <c r="W1014">
        <v>3</v>
      </c>
      <c r="X1014">
        <v>3</v>
      </c>
      <c r="Y1014">
        <v>1</v>
      </c>
      <c r="Z1014">
        <v>0</v>
      </c>
      <c r="AA1014">
        <v>0</v>
      </c>
      <c r="AB1014">
        <v>0</v>
      </c>
    </row>
    <row r="1015" spans="1:28" x14ac:dyDescent="0.35">
      <c r="A1015" s="2">
        <v>30</v>
      </c>
      <c r="B1015" s="2" t="str" cm="1">
        <f t="array" ref="B1015">_xlfn.IFS(HR_table[[#This Row],[Age]]&lt;=20, "Under 20yrs",HR_table[[#This Row],[Age]]&lt;=30,"(21-30)yrs",HR_table[[#This Row],[Age]]&lt;=40,"(31-40)yrs",HR_table[[#This Row],[Age]]&lt;=50,"(41-50)yrs",HR_table[[#This Row],[Age]]&lt;=60,"(51-60)yrs")</f>
        <v>(21-30)yrs</v>
      </c>
      <c r="C1015" t="s">
        <v>43</v>
      </c>
      <c r="D1015" t="s">
        <v>36</v>
      </c>
      <c r="E1015" t="s">
        <v>37</v>
      </c>
      <c r="F1015" t="s">
        <v>59</v>
      </c>
      <c r="G1015" t="s">
        <v>40</v>
      </c>
      <c r="H1015">
        <v>1428</v>
      </c>
      <c r="I1015" s="2">
        <v>7</v>
      </c>
      <c r="J1015" s="2">
        <v>4</v>
      </c>
      <c r="K1015" t="s">
        <v>39</v>
      </c>
      <c r="L1015" s="2">
        <v>2</v>
      </c>
      <c r="M1015" s="2">
        <v>1</v>
      </c>
      <c r="N1015" t="s">
        <v>52</v>
      </c>
      <c r="O1015" s="2">
        <v>4779</v>
      </c>
      <c r="P1015" s="2">
        <v>12761</v>
      </c>
      <c r="Q1015" s="2">
        <v>7</v>
      </c>
      <c r="R1015" t="s">
        <v>43</v>
      </c>
      <c r="S1015" s="2">
        <v>3</v>
      </c>
      <c r="T1015" s="2">
        <v>2</v>
      </c>
      <c r="U1015">
        <v>80</v>
      </c>
      <c r="V1015" s="2">
        <v>8</v>
      </c>
      <c r="W1015">
        <v>3</v>
      </c>
      <c r="X1015">
        <v>3</v>
      </c>
      <c r="Y1015">
        <v>3</v>
      </c>
      <c r="Z1015">
        <v>2</v>
      </c>
      <c r="AA1015">
        <v>0</v>
      </c>
      <c r="AB1015">
        <v>2</v>
      </c>
    </row>
    <row r="1016" spans="1:28" x14ac:dyDescent="0.35">
      <c r="A1016" s="2">
        <v>31</v>
      </c>
      <c r="B1016" s="2" t="str" cm="1">
        <f t="array" ref="B1016">_xlfn.IFS(HR_table[[#This Row],[Age]]&lt;=20, "Under 20yrs",HR_table[[#This Row],[Age]]&lt;=30,"(21-30)yrs",HR_table[[#This Row],[Age]]&lt;=40,"(31-40)yrs",HR_table[[#This Row],[Age]]&lt;=50,"(41-50)yrs",HR_table[[#This Row],[Age]]&lt;=60,"(51-60)yrs")</f>
        <v>(31-40)yrs</v>
      </c>
      <c r="C1016" t="s">
        <v>43</v>
      </c>
      <c r="D1016" t="s">
        <v>36</v>
      </c>
      <c r="E1016" t="s">
        <v>45</v>
      </c>
      <c r="F1016" t="s">
        <v>38</v>
      </c>
      <c r="G1016" t="s">
        <v>58</v>
      </c>
      <c r="H1016">
        <v>1430</v>
      </c>
      <c r="I1016" s="2">
        <v>8</v>
      </c>
      <c r="J1016" s="2">
        <v>1</v>
      </c>
      <c r="K1016" t="s">
        <v>39</v>
      </c>
      <c r="L1016" s="2">
        <v>4</v>
      </c>
      <c r="M1016" s="2">
        <v>2</v>
      </c>
      <c r="N1016" t="s">
        <v>41</v>
      </c>
      <c r="O1016" s="2">
        <v>16422</v>
      </c>
      <c r="P1016" s="2">
        <v>8847</v>
      </c>
      <c r="Q1016" s="2">
        <v>3</v>
      </c>
      <c r="R1016" t="s">
        <v>43</v>
      </c>
      <c r="S1016" s="2">
        <v>3</v>
      </c>
      <c r="T1016" s="2">
        <v>3</v>
      </c>
      <c r="U1016">
        <v>80</v>
      </c>
      <c r="V1016" s="2">
        <v>9</v>
      </c>
      <c r="W1016">
        <v>3</v>
      </c>
      <c r="X1016">
        <v>4</v>
      </c>
      <c r="Y1016">
        <v>3</v>
      </c>
      <c r="Z1016">
        <v>2</v>
      </c>
      <c r="AA1016">
        <v>1</v>
      </c>
      <c r="AB1016">
        <v>0</v>
      </c>
    </row>
    <row r="1017" spans="1:28" x14ac:dyDescent="0.35">
      <c r="A1017" s="2">
        <v>34</v>
      </c>
      <c r="B1017" s="2" t="str" cm="1">
        <f t="array" ref="B1017">_xlfn.IFS(HR_table[[#This Row],[Age]]&lt;=20, "Under 20yrs",HR_table[[#This Row],[Age]]&lt;=30,"(21-30)yrs",HR_table[[#This Row],[Age]]&lt;=40,"(31-40)yrs",HR_table[[#This Row],[Age]]&lt;=50,"(41-50)yrs",HR_table[[#This Row],[Age]]&lt;=60,"(51-60)yrs")</f>
        <v>(31-40)yrs</v>
      </c>
      <c r="C1017" t="s">
        <v>43</v>
      </c>
      <c r="D1017" t="s">
        <v>44</v>
      </c>
      <c r="E1017" t="s">
        <v>45</v>
      </c>
      <c r="F1017" t="s">
        <v>49</v>
      </c>
      <c r="G1017" t="s">
        <v>47</v>
      </c>
      <c r="H1017">
        <v>1431</v>
      </c>
      <c r="I1017" s="2">
        <v>1</v>
      </c>
      <c r="J1017" s="2">
        <v>4</v>
      </c>
      <c r="K1017" t="s">
        <v>46</v>
      </c>
      <c r="L1017" s="2">
        <v>1</v>
      </c>
      <c r="M1017" s="2">
        <v>1</v>
      </c>
      <c r="N1017" t="s">
        <v>52</v>
      </c>
      <c r="O1017" s="2">
        <v>2996</v>
      </c>
      <c r="P1017" s="2">
        <v>20284</v>
      </c>
      <c r="Q1017" s="2">
        <v>5</v>
      </c>
      <c r="R1017" t="s">
        <v>43</v>
      </c>
      <c r="S1017" s="2">
        <v>3</v>
      </c>
      <c r="T1017" s="2">
        <v>3</v>
      </c>
      <c r="U1017">
        <v>80</v>
      </c>
      <c r="V1017" s="2">
        <v>10</v>
      </c>
      <c r="W1017">
        <v>2</v>
      </c>
      <c r="X1017">
        <v>3</v>
      </c>
      <c r="Y1017">
        <v>4</v>
      </c>
      <c r="Z1017">
        <v>3</v>
      </c>
      <c r="AA1017">
        <v>1</v>
      </c>
      <c r="AB1017">
        <v>3</v>
      </c>
    </row>
    <row r="1018" spans="1:28" x14ac:dyDescent="0.35">
      <c r="A1018" s="2">
        <v>31</v>
      </c>
      <c r="B1018" s="2" t="str" cm="1">
        <f t="array" ref="B1018">_xlfn.IFS(HR_table[[#This Row],[Age]]&lt;=20, "Under 20yrs",HR_table[[#This Row],[Age]]&lt;=30,"(21-30)yrs",HR_table[[#This Row],[Age]]&lt;=40,"(31-40)yrs",HR_table[[#This Row],[Age]]&lt;=50,"(41-50)yrs",HR_table[[#This Row],[Age]]&lt;=60,"(51-60)yrs")</f>
        <v>(31-40)yrs</v>
      </c>
      <c r="C1018" t="s">
        <v>35</v>
      </c>
      <c r="D1018" t="s">
        <v>36</v>
      </c>
      <c r="E1018" t="s">
        <v>45</v>
      </c>
      <c r="F1018" t="s">
        <v>38</v>
      </c>
      <c r="G1018" t="s">
        <v>47</v>
      </c>
      <c r="H1018">
        <v>1433</v>
      </c>
      <c r="I1018" s="2">
        <v>8</v>
      </c>
      <c r="J1018" s="2">
        <v>1</v>
      </c>
      <c r="K1018" t="s">
        <v>39</v>
      </c>
      <c r="L1018" s="2">
        <v>1</v>
      </c>
      <c r="M1018" s="2">
        <v>2</v>
      </c>
      <c r="N1018" t="s">
        <v>41</v>
      </c>
      <c r="O1018" s="2">
        <v>1261</v>
      </c>
      <c r="P1018" s="2">
        <v>22262</v>
      </c>
      <c r="Q1018" s="2">
        <v>1</v>
      </c>
      <c r="R1018" t="s">
        <v>43</v>
      </c>
      <c r="S1018" s="2">
        <v>3</v>
      </c>
      <c r="T1018" s="2">
        <v>3</v>
      </c>
      <c r="U1018">
        <v>80</v>
      </c>
      <c r="V1018" s="2">
        <v>1</v>
      </c>
      <c r="W1018">
        <v>3</v>
      </c>
      <c r="X1018">
        <v>4</v>
      </c>
      <c r="Y1018">
        <v>1</v>
      </c>
      <c r="Z1018">
        <v>0</v>
      </c>
      <c r="AA1018">
        <v>0</v>
      </c>
      <c r="AB1018">
        <v>0</v>
      </c>
    </row>
    <row r="1019" spans="1:28" x14ac:dyDescent="0.35">
      <c r="A1019" s="2">
        <v>27</v>
      </c>
      <c r="B1019" s="2" t="str" cm="1">
        <f t="array" ref="B1019">_xlfn.IFS(HR_table[[#This Row],[Age]]&lt;=20, "Under 20yrs",HR_table[[#This Row],[Age]]&lt;=30,"(21-30)yrs",HR_table[[#This Row],[Age]]&lt;=40,"(31-40)yrs",HR_table[[#This Row],[Age]]&lt;=50,"(41-50)yrs",HR_table[[#This Row],[Age]]&lt;=60,"(51-60)yrs")</f>
        <v>(21-30)yrs</v>
      </c>
      <c r="C1019" t="s">
        <v>43</v>
      </c>
      <c r="D1019" t="s">
        <v>36</v>
      </c>
      <c r="E1019" t="s">
        <v>45</v>
      </c>
      <c r="F1019" t="s">
        <v>38</v>
      </c>
      <c r="G1019" t="s">
        <v>50</v>
      </c>
      <c r="H1019">
        <v>1434</v>
      </c>
      <c r="I1019" s="2">
        <v>11</v>
      </c>
      <c r="J1019" s="2">
        <v>2</v>
      </c>
      <c r="K1019" t="s">
        <v>46</v>
      </c>
      <c r="L1019" s="2">
        <v>1</v>
      </c>
      <c r="M1019" s="2">
        <v>1</v>
      </c>
      <c r="N1019" t="s">
        <v>48</v>
      </c>
      <c r="O1019" s="2">
        <v>2099</v>
      </c>
      <c r="P1019" s="2">
        <v>7679</v>
      </c>
      <c r="Q1019" s="2">
        <v>0</v>
      </c>
      <c r="R1019" t="s">
        <v>43</v>
      </c>
      <c r="S1019" s="2">
        <v>3</v>
      </c>
      <c r="T1019" s="2">
        <v>2</v>
      </c>
      <c r="U1019">
        <v>80</v>
      </c>
      <c r="V1019" s="2">
        <v>6</v>
      </c>
      <c r="W1019">
        <v>3</v>
      </c>
      <c r="X1019">
        <v>4</v>
      </c>
      <c r="Y1019">
        <v>5</v>
      </c>
      <c r="Z1019">
        <v>0</v>
      </c>
      <c r="AA1019">
        <v>1</v>
      </c>
      <c r="AB1019">
        <v>4</v>
      </c>
    </row>
    <row r="1020" spans="1:28" x14ac:dyDescent="0.35">
      <c r="A1020" s="2">
        <v>36</v>
      </c>
      <c r="B1020" s="2" t="str" cm="1">
        <f t="array" ref="B1020">_xlfn.IFS(HR_table[[#This Row],[Age]]&lt;=20, "Under 20yrs",HR_table[[#This Row],[Age]]&lt;=30,"(21-30)yrs",HR_table[[#This Row],[Age]]&lt;=40,"(31-40)yrs",HR_table[[#This Row],[Age]]&lt;=50,"(41-50)yrs",HR_table[[#This Row],[Age]]&lt;=60,"(51-60)yrs")</f>
        <v>(31-40)yrs</v>
      </c>
      <c r="C1020" t="s">
        <v>43</v>
      </c>
      <c r="D1020" t="s">
        <v>36</v>
      </c>
      <c r="E1020" t="s">
        <v>45</v>
      </c>
      <c r="F1020" t="s">
        <v>38</v>
      </c>
      <c r="G1020" t="s">
        <v>50</v>
      </c>
      <c r="H1020">
        <v>1435</v>
      </c>
      <c r="I1020" s="2">
        <v>4</v>
      </c>
      <c r="J1020" s="2">
        <v>1</v>
      </c>
      <c r="K1020" t="s">
        <v>46</v>
      </c>
      <c r="L1020" s="2">
        <v>2</v>
      </c>
      <c r="M1020" s="2">
        <v>4</v>
      </c>
      <c r="N1020" t="s">
        <v>41</v>
      </c>
      <c r="O1020" s="2">
        <v>5810</v>
      </c>
      <c r="P1020" s="2">
        <v>22604</v>
      </c>
      <c r="Q1020" s="2">
        <v>1</v>
      </c>
      <c r="R1020" t="s">
        <v>43</v>
      </c>
      <c r="S1020" s="2">
        <v>3</v>
      </c>
      <c r="T1020" s="2">
        <v>3</v>
      </c>
      <c r="U1020">
        <v>80</v>
      </c>
      <c r="V1020" s="2">
        <v>10</v>
      </c>
      <c r="W1020">
        <v>2</v>
      </c>
      <c r="X1020">
        <v>2</v>
      </c>
      <c r="Y1020">
        <v>10</v>
      </c>
      <c r="Z1020">
        <v>4</v>
      </c>
      <c r="AA1020">
        <v>1</v>
      </c>
      <c r="AB1020">
        <v>8</v>
      </c>
    </row>
    <row r="1021" spans="1:28" x14ac:dyDescent="0.35">
      <c r="A1021" s="2">
        <v>36</v>
      </c>
      <c r="B1021" s="2" t="str" cm="1">
        <f t="array" ref="B1021">_xlfn.IFS(HR_table[[#This Row],[Age]]&lt;=20, "Under 20yrs",HR_table[[#This Row],[Age]]&lt;=30,"(21-30)yrs",HR_table[[#This Row],[Age]]&lt;=40,"(31-40)yrs",HR_table[[#This Row],[Age]]&lt;=50,"(41-50)yrs",HR_table[[#This Row],[Age]]&lt;=60,"(51-60)yrs")</f>
        <v>(31-40)yrs</v>
      </c>
      <c r="C1021" t="s">
        <v>43</v>
      </c>
      <c r="D1021" t="s">
        <v>36</v>
      </c>
      <c r="E1021" t="s">
        <v>37</v>
      </c>
      <c r="F1021" t="s">
        <v>59</v>
      </c>
      <c r="G1021" t="s">
        <v>40</v>
      </c>
      <c r="H1021">
        <v>1436</v>
      </c>
      <c r="I1021" s="2">
        <v>16</v>
      </c>
      <c r="J1021" s="2">
        <v>3</v>
      </c>
      <c r="K1021" t="s">
        <v>39</v>
      </c>
      <c r="L1021" s="2">
        <v>2</v>
      </c>
      <c r="M1021" s="2">
        <v>1</v>
      </c>
      <c r="N1021" t="s">
        <v>48</v>
      </c>
      <c r="O1021" s="2">
        <v>5647</v>
      </c>
      <c r="P1021" s="2">
        <v>13494</v>
      </c>
      <c r="Q1021" s="2">
        <v>4</v>
      </c>
      <c r="R1021" t="s">
        <v>43</v>
      </c>
      <c r="S1021" s="2">
        <v>3</v>
      </c>
      <c r="T1021" s="2">
        <v>1</v>
      </c>
      <c r="U1021">
        <v>80</v>
      </c>
      <c r="V1021" s="2">
        <v>11</v>
      </c>
      <c r="W1021">
        <v>3</v>
      </c>
      <c r="X1021">
        <v>2</v>
      </c>
      <c r="Y1021">
        <v>3</v>
      </c>
      <c r="Z1021">
        <v>2</v>
      </c>
      <c r="AA1021">
        <v>0</v>
      </c>
      <c r="AB1021">
        <v>2</v>
      </c>
    </row>
    <row r="1022" spans="1:28" x14ac:dyDescent="0.35">
      <c r="A1022" s="2">
        <v>47</v>
      </c>
      <c r="B1022" s="2" t="str" cm="1">
        <f t="array" ref="B1022">_xlfn.IFS(HR_table[[#This Row],[Age]]&lt;=20, "Under 20yrs",HR_table[[#This Row],[Age]]&lt;=30,"(21-30)yrs",HR_table[[#This Row],[Age]]&lt;=40,"(31-40)yrs",HR_table[[#This Row],[Age]]&lt;=50,"(41-50)yrs",HR_table[[#This Row],[Age]]&lt;=60,"(51-60)yrs")</f>
        <v>(41-50)yrs</v>
      </c>
      <c r="C1022" t="s">
        <v>43</v>
      </c>
      <c r="D1022" t="s">
        <v>36</v>
      </c>
      <c r="E1022" t="s">
        <v>45</v>
      </c>
      <c r="F1022" t="s">
        <v>60</v>
      </c>
      <c r="G1022" t="s">
        <v>47</v>
      </c>
      <c r="H1022">
        <v>1438</v>
      </c>
      <c r="I1022" s="2">
        <v>1</v>
      </c>
      <c r="J1022" s="2">
        <v>1</v>
      </c>
      <c r="K1022" t="s">
        <v>46</v>
      </c>
      <c r="L1022" s="2">
        <v>1</v>
      </c>
      <c r="M1022" s="2">
        <v>4</v>
      </c>
      <c r="N1022" t="s">
        <v>48</v>
      </c>
      <c r="O1022" s="2">
        <v>3420</v>
      </c>
      <c r="P1022" s="2">
        <v>10205</v>
      </c>
      <c r="Q1022" s="2">
        <v>7</v>
      </c>
      <c r="R1022" t="s">
        <v>43</v>
      </c>
      <c r="S1022" s="2">
        <v>3</v>
      </c>
      <c r="T1022" s="2">
        <v>3</v>
      </c>
      <c r="U1022">
        <v>80</v>
      </c>
      <c r="V1022" s="2">
        <v>17</v>
      </c>
      <c r="W1022">
        <v>2</v>
      </c>
      <c r="X1022">
        <v>2</v>
      </c>
      <c r="Y1022">
        <v>6</v>
      </c>
      <c r="Z1022">
        <v>5</v>
      </c>
      <c r="AA1022">
        <v>1</v>
      </c>
      <c r="AB1022">
        <v>2</v>
      </c>
    </row>
    <row r="1023" spans="1:28" x14ac:dyDescent="0.35">
      <c r="A1023" s="2">
        <v>25</v>
      </c>
      <c r="B1023" s="2" t="str" cm="1">
        <f t="array" ref="B1023">_xlfn.IFS(HR_table[[#This Row],[Age]]&lt;=20, "Under 20yrs",HR_table[[#This Row],[Age]]&lt;=30,"(21-30)yrs",HR_table[[#This Row],[Age]]&lt;=40,"(31-40)yrs",HR_table[[#This Row],[Age]]&lt;=50,"(41-50)yrs",HR_table[[#This Row],[Age]]&lt;=60,"(51-60)yrs")</f>
        <v>(21-30)yrs</v>
      </c>
      <c r="C1023" t="s">
        <v>35</v>
      </c>
      <c r="D1023" t="s">
        <v>36</v>
      </c>
      <c r="E1023" t="s">
        <v>37</v>
      </c>
      <c r="F1023" t="s">
        <v>38</v>
      </c>
      <c r="G1023" t="s">
        <v>57</v>
      </c>
      <c r="H1023">
        <v>1439</v>
      </c>
      <c r="I1023" s="2">
        <v>9</v>
      </c>
      <c r="J1023" s="2">
        <v>1</v>
      </c>
      <c r="K1023" t="s">
        <v>46</v>
      </c>
      <c r="L1023" s="2">
        <v>1</v>
      </c>
      <c r="M1023" s="2">
        <v>1</v>
      </c>
      <c r="N1023" t="s">
        <v>48</v>
      </c>
      <c r="O1023" s="2">
        <v>4400</v>
      </c>
      <c r="P1023" s="2">
        <v>15182</v>
      </c>
      <c r="Q1023" s="2">
        <v>3</v>
      </c>
      <c r="R1023" t="s">
        <v>43</v>
      </c>
      <c r="S1023" s="2">
        <v>3</v>
      </c>
      <c r="T1023" s="2">
        <v>1</v>
      </c>
      <c r="U1023">
        <v>80</v>
      </c>
      <c r="V1023" s="2">
        <v>6</v>
      </c>
      <c r="W1023">
        <v>2</v>
      </c>
      <c r="X1023">
        <v>3</v>
      </c>
      <c r="Y1023">
        <v>3</v>
      </c>
      <c r="Z1023">
        <v>2</v>
      </c>
      <c r="AA1023">
        <v>2</v>
      </c>
      <c r="AB1023">
        <v>2</v>
      </c>
    </row>
    <row r="1024" spans="1:28" x14ac:dyDescent="0.35">
      <c r="A1024" s="2">
        <v>37</v>
      </c>
      <c r="B1024" s="2" t="str" cm="1">
        <f t="array" ref="B1024">_xlfn.IFS(HR_table[[#This Row],[Age]]&lt;=20, "Under 20yrs",HR_table[[#This Row],[Age]]&lt;=30,"(21-30)yrs",HR_table[[#This Row],[Age]]&lt;=40,"(31-40)yrs",HR_table[[#This Row],[Age]]&lt;=50,"(41-50)yrs",HR_table[[#This Row],[Age]]&lt;=60,"(51-60)yrs")</f>
        <v>(31-40)yrs</v>
      </c>
      <c r="C1024" t="s">
        <v>43</v>
      </c>
      <c r="D1024" t="s">
        <v>55</v>
      </c>
      <c r="E1024" t="s">
        <v>45</v>
      </c>
      <c r="F1024" t="s">
        <v>60</v>
      </c>
      <c r="G1024" t="s">
        <v>50</v>
      </c>
      <c r="H1024">
        <v>1440</v>
      </c>
      <c r="I1024" s="2">
        <v>5</v>
      </c>
      <c r="J1024" s="2">
        <v>3</v>
      </c>
      <c r="K1024" t="s">
        <v>46</v>
      </c>
      <c r="L1024" s="2">
        <v>1</v>
      </c>
      <c r="M1024" s="2">
        <v>3</v>
      </c>
      <c r="N1024" t="s">
        <v>41</v>
      </c>
      <c r="O1024" s="2">
        <v>3500</v>
      </c>
      <c r="P1024" s="2">
        <v>25470</v>
      </c>
      <c r="Q1024" s="2">
        <v>0</v>
      </c>
      <c r="R1024" t="s">
        <v>43</v>
      </c>
      <c r="S1024" s="2">
        <v>3</v>
      </c>
      <c r="T1024" s="2">
        <v>1</v>
      </c>
      <c r="U1024">
        <v>80</v>
      </c>
      <c r="V1024" s="2">
        <v>7</v>
      </c>
      <c r="W1024">
        <v>2</v>
      </c>
      <c r="X1024">
        <v>1</v>
      </c>
      <c r="Y1024">
        <v>6</v>
      </c>
      <c r="Z1024">
        <v>5</v>
      </c>
      <c r="AA1024">
        <v>1</v>
      </c>
      <c r="AB1024">
        <v>3</v>
      </c>
    </row>
    <row r="1025" spans="1:28" x14ac:dyDescent="0.35">
      <c r="A1025" s="2">
        <v>56</v>
      </c>
      <c r="B1025" s="2" t="str" cm="1">
        <f t="array" ref="B1025">_xlfn.IFS(HR_table[[#This Row],[Age]]&lt;=20, "Under 20yrs",HR_table[[#This Row],[Age]]&lt;=30,"(21-30)yrs",HR_table[[#This Row],[Age]]&lt;=40,"(31-40)yrs",HR_table[[#This Row],[Age]]&lt;=50,"(41-50)yrs",HR_table[[#This Row],[Age]]&lt;=60,"(51-60)yrs")</f>
        <v>(51-60)yrs</v>
      </c>
      <c r="C1025" t="s">
        <v>43</v>
      </c>
      <c r="D1025" t="s">
        <v>36</v>
      </c>
      <c r="E1025" t="s">
        <v>45</v>
      </c>
      <c r="F1025" t="s">
        <v>38</v>
      </c>
      <c r="G1025" t="s">
        <v>47</v>
      </c>
      <c r="H1025">
        <v>1441</v>
      </c>
      <c r="I1025" s="2">
        <v>1</v>
      </c>
      <c r="J1025" s="2">
        <v>1</v>
      </c>
      <c r="K1025" t="s">
        <v>39</v>
      </c>
      <c r="L1025" s="2">
        <v>1</v>
      </c>
      <c r="M1025" s="2">
        <v>1</v>
      </c>
      <c r="N1025" t="s">
        <v>48</v>
      </c>
      <c r="O1025" s="2">
        <v>2066</v>
      </c>
      <c r="P1025" s="2">
        <v>10494</v>
      </c>
      <c r="Q1025" s="2">
        <v>2</v>
      </c>
      <c r="R1025" t="s">
        <v>43</v>
      </c>
      <c r="S1025" s="2">
        <v>4</v>
      </c>
      <c r="T1025" s="2">
        <v>4</v>
      </c>
      <c r="U1025">
        <v>80</v>
      </c>
      <c r="V1025" s="2">
        <v>5</v>
      </c>
      <c r="W1025">
        <v>3</v>
      </c>
      <c r="X1025">
        <v>4</v>
      </c>
      <c r="Y1025">
        <v>3</v>
      </c>
      <c r="Z1025">
        <v>2</v>
      </c>
      <c r="AA1025">
        <v>1</v>
      </c>
      <c r="AB1025">
        <v>0</v>
      </c>
    </row>
    <row r="1026" spans="1:28" x14ac:dyDescent="0.35">
      <c r="A1026" s="2">
        <v>47</v>
      </c>
      <c r="B1026" s="2" t="str" cm="1">
        <f t="array" ref="B1026">_xlfn.IFS(HR_table[[#This Row],[Age]]&lt;=20, "Under 20yrs",HR_table[[#This Row],[Age]]&lt;=30,"(21-30)yrs",HR_table[[#This Row],[Age]]&lt;=40,"(31-40)yrs",HR_table[[#This Row],[Age]]&lt;=50,"(41-50)yrs",HR_table[[#This Row],[Age]]&lt;=60,"(51-60)yrs")</f>
        <v>(41-50)yrs</v>
      </c>
      <c r="C1026" t="s">
        <v>43</v>
      </c>
      <c r="D1026" t="s">
        <v>36</v>
      </c>
      <c r="E1026" t="s">
        <v>45</v>
      </c>
      <c r="F1026" t="s">
        <v>51</v>
      </c>
      <c r="G1026" t="s">
        <v>58</v>
      </c>
      <c r="H1026">
        <v>1443</v>
      </c>
      <c r="I1026" s="2">
        <v>2</v>
      </c>
      <c r="J1026" s="2">
        <v>1</v>
      </c>
      <c r="K1026" t="s">
        <v>39</v>
      </c>
      <c r="L1026" s="2">
        <v>4</v>
      </c>
      <c r="M1026" s="2">
        <v>3</v>
      </c>
      <c r="N1026" t="s">
        <v>48</v>
      </c>
      <c r="O1026" s="2">
        <v>17169</v>
      </c>
      <c r="P1026" s="2">
        <v>26703</v>
      </c>
      <c r="Q1026" s="2">
        <v>3</v>
      </c>
      <c r="R1026" t="s">
        <v>43</v>
      </c>
      <c r="S1026" s="2">
        <v>3</v>
      </c>
      <c r="T1026" s="2">
        <v>2</v>
      </c>
      <c r="U1026">
        <v>80</v>
      </c>
      <c r="V1026" s="2">
        <v>26</v>
      </c>
      <c r="W1026">
        <v>2</v>
      </c>
      <c r="X1026">
        <v>4</v>
      </c>
      <c r="Y1026">
        <v>20</v>
      </c>
      <c r="Z1026">
        <v>17</v>
      </c>
      <c r="AA1026">
        <v>5</v>
      </c>
      <c r="AB1026">
        <v>6</v>
      </c>
    </row>
    <row r="1027" spans="1:28" x14ac:dyDescent="0.35">
      <c r="A1027" s="2">
        <v>24</v>
      </c>
      <c r="B1027" s="2" t="str" cm="1">
        <f t="array" ref="B1027">_xlfn.IFS(HR_table[[#This Row],[Age]]&lt;=20, "Under 20yrs",HR_table[[#This Row],[Age]]&lt;=30,"(21-30)yrs",HR_table[[#This Row],[Age]]&lt;=40,"(31-40)yrs",HR_table[[#This Row],[Age]]&lt;=50,"(41-50)yrs",HR_table[[#This Row],[Age]]&lt;=60,"(51-60)yrs")</f>
        <v>(21-30)yrs</v>
      </c>
      <c r="C1027" t="s">
        <v>43</v>
      </c>
      <c r="D1027" t="s">
        <v>36</v>
      </c>
      <c r="E1027" t="s">
        <v>37</v>
      </c>
      <c r="F1027" t="s">
        <v>51</v>
      </c>
      <c r="G1027" t="s">
        <v>40</v>
      </c>
      <c r="H1027">
        <v>1445</v>
      </c>
      <c r="I1027" s="2">
        <v>4</v>
      </c>
      <c r="J1027" s="2">
        <v>4</v>
      </c>
      <c r="K1027" t="s">
        <v>39</v>
      </c>
      <c r="L1027" s="2">
        <v>2</v>
      </c>
      <c r="M1027" s="2">
        <v>3</v>
      </c>
      <c r="N1027" t="s">
        <v>48</v>
      </c>
      <c r="O1027" s="2">
        <v>4162</v>
      </c>
      <c r="P1027" s="2">
        <v>15211</v>
      </c>
      <c r="Q1027" s="2">
        <v>1</v>
      </c>
      <c r="R1027" t="s">
        <v>35</v>
      </c>
      <c r="S1027" s="2">
        <v>3</v>
      </c>
      <c r="T1027" s="2">
        <v>3</v>
      </c>
      <c r="U1027">
        <v>80</v>
      </c>
      <c r="V1027" s="2">
        <v>5</v>
      </c>
      <c r="W1027">
        <v>3</v>
      </c>
      <c r="X1027">
        <v>3</v>
      </c>
      <c r="Y1027">
        <v>5</v>
      </c>
      <c r="Z1027">
        <v>4</v>
      </c>
      <c r="AA1027">
        <v>0</v>
      </c>
      <c r="AB1027">
        <v>3</v>
      </c>
    </row>
    <row r="1028" spans="1:28" x14ac:dyDescent="0.35">
      <c r="A1028" s="2">
        <v>32</v>
      </c>
      <c r="B1028" s="2" t="str" cm="1">
        <f t="array" ref="B1028">_xlfn.IFS(HR_table[[#This Row],[Age]]&lt;=20, "Under 20yrs",HR_table[[#This Row],[Age]]&lt;=30,"(21-30)yrs",HR_table[[#This Row],[Age]]&lt;=40,"(31-40)yrs",HR_table[[#This Row],[Age]]&lt;=50,"(41-50)yrs",HR_table[[#This Row],[Age]]&lt;=60,"(51-60)yrs")</f>
        <v>(31-40)yrs</v>
      </c>
      <c r="C1028" t="s">
        <v>43</v>
      </c>
      <c r="D1028" t="s">
        <v>36</v>
      </c>
      <c r="E1028" t="s">
        <v>37</v>
      </c>
      <c r="F1028" t="s">
        <v>59</v>
      </c>
      <c r="G1028" t="s">
        <v>40</v>
      </c>
      <c r="H1028">
        <v>1446</v>
      </c>
      <c r="I1028" s="2">
        <v>7</v>
      </c>
      <c r="J1028" s="2">
        <v>4</v>
      </c>
      <c r="K1028" t="s">
        <v>46</v>
      </c>
      <c r="L1028" s="2">
        <v>2</v>
      </c>
      <c r="M1028" s="2">
        <v>4</v>
      </c>
      <c r="N1028" t="s">
        <v>48</v>
      </c>
      <c r="O1028" s="2">
        <v>9204</v>
      </c>
      <c r="P1028" s="2">
        <v>23343</v>
      </c>
      <c r="Q1028" s="2">
        <v>4</v>
      </c>
      <c r="R1028" t="s">
        <v>43</v>
      </c>
      <c r="S1028" s="2">
        <v>3</v>
      </c>
      <c r="T1028" s="2">
        <v>3</v>
      </c>
      <c r="U1028">
        <v>80</v>
      </c>
      <c r="V1028" s="2">
        <v>7</v>
      </c>
      <c r="W1028">
        <v>3</v>
      </c>
      <c r="X1028">
        <v>2</v>
      </c>
      <c r="Y1028">
        <v>4</v>
      </c>
      <c r="Z1028">
        <v>3</v>
      </c>
      <c r="AA1028">
        <v>0</v>
      </c>
      <c r="AB1028">
        <v>3</v>
      </c>
    </row>
    <row r="1029" spans="1:28" x14ac:dyDescent="0.35">
      <c r="A1029" s="2">
        <v>34</v>
      </c>
      <c r="B1029" s="2" t="str" cm="1">
        <f t="array" ref="B1029">_xlfn.IFS(HR_table[[#This Row],[Age]]&lt;=20, "Under 20yrs",HR_table[[#This Row],[Age]]&lt;=30,"(21-30)yrs",HR_table[[#This Row],[Age]]&lt;=40,"(31-40)yrs",HR_table[[#This Row],[Age]]&lt;=50,"(41-50)yrs",HR_table[[#This Row],[Age]]&lt;=60,"(51-60)yrs")</f>
        <v>(31-40)yrs</v>
      </c>
      <c r="C1029" t="s">
        <v>43</v>
      </c>
      <c r="D1029" t="s">
        <v>36</v>
      </c>
      <c r="E1029" t="s">
        <v>45</v>
      </c>
      <c r="F1029" t="s">
        <v>38</v>
      </c>
      <c r="G1029" t="s">
        <v>50</v>
      </c>
      <c r="H1029">
        <v>1447</v>
      </c>
      <c r="I1029" s="2">
        <v>1</v>
      </c>
      <c r="J1029" s="2">
        <v>4</v>
      </c>
      <c r="K1029" t="s">
        <v>39</v>
      </c>
      <c r="L1029" s="2">
        <v>1</v>
      </c>
      <c r="M1029" s="2">
        <v>2</v>
      </c>
      <c r="N1029" t="s">
        <v>48</v>
      </c>
      <c r="O1029" s="2">
        <v>3294</v>
      </c>
      <c r="P1029" s="2">
        <v>3708</v>
      </c>
      <c r="Q1029" s="2">
        <v>5</v>
      </c>
      <c r="R1029" t="s">
        <v>43</v>
      </c>
      <c r="S1029" s="2">
        <v>3</v>
      </c>
      <c r="T1029" s="2">
        <v>1</v>
      </c>
      <c r="U1029">
        <v>80</v>
      </c>
      <c r="V1029" s="2">
        <v>7</v>
      </c>
      <c r="W1029">
        <v>2</v>
      </c>
      <c r="X1029">
        <v>2</v>
      </c>
      <c r="Y1029">
        <v>5</v>
      </c>
      <c r="Z1029">
        <v>4</v>
      </c>
      <c r="AA1029">
        <v>0</v>
      </c>
      <c r="AB1029">
        <v>2</v>
      </c>
    </row>
    <row r="1030" spans="1:28" x14ac:dyDescent="0.35">
      <c r="A1030" s="2">
        <v>41</v>
      </c>
      <c r="B1030" s="2" t="str" cm="1">
        <f t="array" ref="B1030">_xlfn.IFS(HR_table[[#This Row],[Age]]&lt;=20, "Under 20yrs",HR_table[[#This Row],[Age]]&lt;=30,"(21-30)yrs",HR_table[[#This Row],[Age]]&lt;=40,"(31-40)yrs",HR_table[[#This Row],[Age]]&lt;=50,"(41-50)yrs",HR_table[[#This Row],[Age]]&lt;=60,"(51-60)yrs")</f>
        <v>(41-50)yrs</v>
      </c>
      <c r="C1030" t="s">
        <v>43</v>
      </c>
      <c r="D1030" t="s">
        <v>36</v>
      </c>
      <c r="E1030" t="s">
        <v>45</v>
      </c>
      <c r="F1030" t="s">
        <v>51</v>
      </c>
      <c r="G1030" t="s">
        <v>47</v>
      </c>
      <c r="H1030">
        <v>1448</v>
      </c>
      <c r="I1030" s="2">
        <v>5</v>
      </c>
      <c r="J1030" s="2">
        <v>2</v>
      </c>
      <c r="K1030" t="s">
        <v>46</v>
      </c>
      <c r="L1030" s="2">
        <v>1</v>
      </c>
      <c r="M1030" s="2">
        <v>3</v>
      </c>
      <c r="N1030" t="s">
        <v>48</v>
      </c>
      <c r="O1030" s="2">
        <v>2127</v>
      </c>
      <c r="P1030" s="2">
        <v>5561</v>
      </c>
      <c r="Q1030" s="2">
        <v>2</v>
      </c>
      <c r="R1030" t="s">
        <v>35</v>
      </c>
      <c r="S1030" s="2">
        <v>3</v>
      </c>
      <c r="T1030" s="2">
        <v>1</v>
      </c>
      <c r="U1030">
        <v>80</v>
      </c>
      <c r="V1030" s="2">
        <v>7</v>
      </c>
      <c r="W1030">
        <v>5</v>
      </c>
      <c r="X1030">
        <v>2</v>
      </c>
      <c r="Y1030">
        <v>4</v>
      </c>
      <c r="Z1030">
        <v>2</v>
      </c>
      <c r="AA1030">
        <v>0</v>
      </c>
      <c r="AB1030">
        <v>3</v>
      </c>
    </row>
    <row r="1031" spans="1:28" x14ac:dyDescent="0.35">
      <c r="A1031" s="2">
        <v>40</v>
      </c>
      <c r="B1031" s="2" t="str" cm="1">
        <f t="array" ref="B1031">_xlfn.IFS(HR_table[[#This Row],[Age]]&lt;=20, "Under 20yrs",HR_table[[#This Row],[Age]]&lt;=30,"(21-30)yrs",HR_table[[#This Row],[Age]]&lt;=40,"(31-40)yrs",HR_table[[#This Row],[Age]]&lt;=50,"(41-50)yrs",HR_table[[#This Row],[Age]]&lt;=60,"(51-60)yrs")</f>
        <v>(31-40)yrs</v>
      </c>
      <c r="C1031" t="s">
        <v>43</v>
      </c>
      <c r="D1031" t="s">
        <v>55</v>
      </c>
      <c r="E1031" t="s">
        <v>45</v>
      </c>
      <c r="F1031" t="s">
        <v>49</v>
      </c>
      <c r="G1031" t="s">
        <v>50</v>
      </c>
      <c r="H1031">
        <v>1449</v>
      </c>
      <c r="I1031" s="2">
        <v>9</v>
      </c>
      <c r="J1031" s="2">
        <v>3</v>
      </c>
      <c r="K1031" t="s">
        <v>46</v>
      </c>
      <c r="L1031" s="2">
        <v>2</v>
      </c>
      <c r="M1031" s="2">
        <v>3</v>
      </c>
      <c r="N1031" t="s">
        <v>52</v>
      </c>
      <c r="O1031" s="2">
        <v>3975</v>
      </c>
      <c r="P1031" s="2">
        <v>23099</v>
      </c>
      <c r="Q1031" s="2">
        <v>3</v>
      </c>
      <c r="R1031" t="s">
        <v>43</v>
      </c>
      <c r="S1031" s="2">
        <v>3</v>
      </c>
      <c r="T1031" s="2">
        <v>3</v>
      </c>
      <c r="U1031">
        <v>80</v>
      </c>
      <c r="V1031" s="2">
        <v>11</v>
      </c>
      <c r="W1031">
        <v>2</v>
      </c>
      <c r="X1031">
        <v>4</v>
      </c>
      <c r="Y1031">
        <v>8</v>
      </c>
      <c r="Z1031">
        <v>7</v>
      </c>
      <c r="AA1031">
        <v>0</v>
      </c>
      <c r="AB1031">
        <v>7</v>
      </c>
    </row>
    <row r="1032" spans="1:28" x14ac:dyDescent="0.35">
      <c r="A1032" s="2">
        <v>31</v>
      </c>
      <c r="B1032" s="2" t="str" cm="1">
        <f t="array" ref="B1032">_xlfn.IFS(HR_table[[#This Row],[Age]]&lt;=20, "Under 20yrs",HR_table[[#This Row],[Age]]&lt;=30,"(21-30)yrs",HR_table[[#This Row],[Age]]&lt;=40,"(31-40)yrs",HR_table[[#This Row],[Age]]&lt;=50,"(41-50)yrs",HR_table[[#This Row],[Age]]&lt;=60,"(51-60)yrs")</f>
        <v>(31-40)yrs</v>
      </c>
      <c r="C1032" t="s">
        <v>43</v>
      </c>
      <c r="D1032" t="s">
        <v>36</v>
      </c>
      <c r="E1032" t="s">
        <v>37</v>
      </c>
      <c r="F1032" t="s">
        <v>38</v>
      </c>
      <c r="G1032" t="s">
        <v>40</v>
      </c>
      <c r="H1032">
        <v>1453</v>
      </c>
      <c r="I1032" s="2">
        <v>8</v>
      </c>
      <c r="J1032" s="2">
        <v>1</v>
      </c>
      <c r="K1032" t="s">
        <v>46</v>
      </c>
      <c r="L1032" s="2">
        <v>3</v>
      </c>
      <c r="M1032" s="2">
        <v>4</v>
      </c>
      <c r="N1032" t="s">
        <v>52</v>
      </c>
      <c r="O1032" s="2">
        <v>10793</v>
      </c>
      <c r="P1032" s="2">
        <v>8386</v>
      </c>
      <c r="Q1032" s="2">
        <v>1</v>
      </c>
      <c r="R1032" t="s">
        <v>43</v>
      </c>
      <c r="S1032" s="2">
        <v>3</v>
      </c>
      <c r="T1032" s="2">
        <v>1</v>
      </c>
      <c r="U1032">
        <v>80</v>
      </c>
      <c r="V1032" s="2">
        <v>13</v>
      </c>
      <c r="W1032">
        <v>5</v>
      </c>
      <c r="X1032">
        <v>3</v>
      </c>
      <c r="Y1032">
        <v>13</v>
      </c>
      <c r="Z1032">
        <v>7</v>
      </c>
      <c r="AA1032">
        <v>9</v>
      </c>
      <c r="AB1032">
        <v>9</v>
      </c>
    </row>
    <row r="1033" spans="1:28" x14ac:dyDescent="0.35">
      <c r="A1033" s="2">
        <v>46</v>
      </c>
      <c r="B1033" s="2" t="str" cm="1">
        <f t="array" ref="B1033">_xlfn.IFS(HR_table[[#This Row],[Age]]&lt;=20, "Under 20yrs",HR_table[[#This Row],[Age]]&lt;=30,"(21-30)yrs",HR_table[[#This Row],[Age]]&lt;=40,"(31-40)yrs",HR_table[[#This Row],[Age]]&lt;=50,"(41-50)yrs",HR_table[[#This Row],[Age]]&lt;=60,"(51-60)yrs")</f>
        <v>(41-50)yrs</v>
      </c>
      <c r="C1033" t="s">
        <v>35</v>
      </c>
      <c r="D1033" t="s">
        <v>36</v>
      </c>
      <c r="E1033" t="s">
        <v>37</v>
      </c>
      <c r="F1033" t="s">
        <v>59</v>
      </c>
      <c r="G1033" t="s">
        <v>40</v>
      </c>
      <c r="H1033">
        <v>1457</v>
      </c>
      <c r="I1033" s="2">
        <v>9</v>
      </c>
      <c r="J1033" s="2">
        <v>1</v>
      </c>
      <c r="K1033" t="s">
        <v>46</v>
      </c>
      <c r="L1033" s="2">
        <v>3</v>
      </c>
      <c r="M1033" s="2">
        <v>4</v>
      </c>
      <c r="N1033" t="s">
        <v>52</v>
      </c>
      <c r="O1033" s="2">
        <v>10096</v>
      </c>
      <c r="P1033" s="2">
        <v>15986</v>
      </c>
      <c r="Q1033" s="2">
        <v>4</v>
      </c>
      <c r="R1033" t="s">
        <v>43</v>
      </c>
      <c r="S1033" s="2">
        <v>3</v>
      </c>
      <c r="T1033" s="2">
        <v>1</v>
      </c>
      <c r="U1033">
        <v>80</v>
      </c>
      <c r="V1033" s="2">
        <v>28</v>
      </c>
      <c r="W1033">
        <v>1</v>
      </c>
      <c r="X1033">
        <v>4</v>
      </c>
      <c r="Y1033">
        <v>7</v>
      </c>
      <c r="Z1033">
        <v>7</v>
      </c>
      <c r="AA1033">
        <v>4</v>
      </c>
      <c r="AB1033">
        <v>3</v>
      </c>
    </row>
    <row r="1034" spans="1:28" x14ac:dyDescent="0.35">
      <c r="A1034" s="2">
        <v>39</v>
      </c>
      <c r="B1034" s="2" t="str" cm="1">
        <f t="array" ref="B1034">_xlfn.IFS(HR_table[[#This Row],[Age]]&lt;=20, "Under 20yrs",HR_table[[#This Row],[Age]]&lt;=30,"(21-30)yrs",HR_table[[#This Row],[Age]]&lt;=40,"(31-40)yrs",HR_table[[#This Row],[Age]]&lt;=50,"(41-50)yrs",HR_table[[#This Row],[Age]]&lt;=60,"(51-60)yrs")</f>
        <v>(31-40)yrs</v>
      </c>
      <c r="C1034" t="s">
        <v>35</v>
      </c>
      <c r="D1034" t="s">
        <v>55</v>
      </c>
      <c r="E1034" t="s">
        <v>45</v>
      </c>
      <c r="F1034" t="s">
        <v>38</v>
      </c>
      <c r="G1034" t="s">
        <v>50</v>
      </c>
      <c r="H1034">
        <v>1458</v>
      </c>
      <c r="I1034" s="2">
        <v>2</v>
      </c>
      <c r="J1034" s="2">
        <v>1</v>
      </c>
      <c r="K1034" t="s">
        <v>39</v>
      </c>
      <c r="L1034" s="2">
        <v>1</v>
      </c>
      <c r="M1034" s="2">
        <v>1</v>
      </c>
      <c r="N1034" t="s">
        <v>41</v>
      </c>
      <c r="O1034" s="2">
        <v>3646</v>
      </c>
      <c r="P1034" s="2">
        <v>17181</v>
      </c>
      <c r="Q1034" s="2">
        <v>2</v>
      </c>
      <c r="R1034" t="s">
        <v>35</v>
      </c>
      <c r="S1034" s="2">
        <v>4</v>
      </c>
      <c r="T1034" s="2">
        <v>2</v>
      </c>
      <c r="U1034">
        <v>80</v>
      </c>
      <c r="V1034" s="2">
        <v>11</v>
      </c>
      <c r="W1034">
        <v>2</v>
      </c>
      <c r="X1034">
        <v>4</v>
      </c>
      <c r="Y1034">
        <v>1</v>
      </c>
      <c r="Z1034">
        <v>0</v>
      </c>
      <c r="AA1034">
        <v>0</v>
      </c>
      <c r="AB1034">
        <v>0</v>
      </c>
    </row>
    <row r="1035" spans="1:28" x14ac:dyDescent="0.35">
      <c r="A1035" s="2">
        <v>31</v>
      </c>
      <c r="B1035" s="2" t="str" cm="1">
        <f t="array" ref="B1035">_xlfn.IFS(HR_table[[#This Row],[Age]]&lt;=20, "Under 20yrs",HR_table[[#This Row],[Age]]&lt;=30,"(21-30)yrs",HR_table[[#This Row],[Age]]&lt;=40,"(31-40)yrs",HR_table[[#This Row],[Age]]&lt;=50,"(41-50)yrs",HR_table[[#This Row],[Age]]&lt;=60,"(51-60)yrs")</f>
        <v>(31-40)yrs</v>
      </c>
      <c r="C1035" t="s">
        <v>35</v>
      </c>
      <c r="D1035" t="s">
        <v>44</v>
      </c>
      <c r="E1035" t="s">
        <v>45</v>
      </c>
      <c r="F1035" t="s">
        <v>38</v>
      </c>
      <c r="G1035" t="s">
        <v>53</v>
      </c>
      <c r="H1035">
        <v>1459</v>
      </c>
      <c r="I1035" s="2">
        <v>1</v>
      </c>
      <c r="J1035" s="2">
        <v>3</v>
      </c>
      <c r="K1035" t="s">
        <v>39</v>
      </c>
      <c r="L1035" s="2">
        <v>3</v>
      </c>
      <c r="M1035" s="2">
        <v>2</v>
      </c>
      <c r="N1035" t="s">
        <v>41</v>
      </c>
      <c r="O1035" s="2">
        <v>7446</v>
      </c>
      <c r="P1035" s="2">
        <v>8931</v>
      </c>
      <c r="Q1035" s="2">
        <v>1</v>
      </c>
      <c r="R1035" t="s">
        <v>43</v>
      </c>
      <c r="S1035" s="2">
        <v>3</v>
      </c>
      <c r="T1035" s="2">
        <v>1</v>
      </c>
      <c r="U1035">
        <v>80</v>
      </c>
      <c r="V1035" s="2">
        <v>10</v>
      </c>
      <c r="W1035">
        <v>2</v>
      </c>
      <c r="X1035">
        <v>3</v>
      </c>
      <c r="Y1035">
        <v>10</v>
      </c>
      <c r="Z1035">
        <v>8</v>
      </c>
      <c r="AA1035">
        <v>4</v>
      </c>
      <c r="AB1035">
        <v>7</v>
      </c>
    </row>
    <row r="1036" spans="1:28" x14ac:dyDescent="0.35">
      <c r="A1036" s="2">
        <v>45</v>
      </c>
      <c r="B1036" s="2" t="str" cm="1">
        <f t="array" ref="B1036">_xlfn.IFS(HR_table[[#This Row],[Age]]&lt;=20, "Under 20yrs",HR_table[[#This Row],[Age]]&lt;=30,"(21-30)yrs",HR_table[[#This Row],[Age]]&lt;=40,"(31-40)yrs",HR_table[[#This Row],[Age]]&lt;=50,"(41-50)yrs",HR_table[[#This Row],[Age]]&lt;=60,"(51-60)yrs")</f>
        <v>(41-50)yrs</v>
      </c>
      <c r="C1036" t="s">
        <v>43</v>
      </c>
      <c r="D1036" t="s">
        <v>36</v>
      </c>
      <c r="E1036" t="s">
        <v>45</v>
      </c>
      <c r="F1036" t="s">
        <v>51</v>
      </c>
      <c r="G1036" t="s">
        <v>54</v>
      </c>
      <c r="H1036">
        <v>1460</v>
      </c>
      <c r="I1036" s="2">
        <v>20</v>
      </c>
      <c r="J1036" s="2">
        <v>2</v>
      </c>
      <c r="K1036" t="s">
        <v>46</v>
      </c>
      <c r="L1036" s="2">
        <v>3</v>
      </c>
      <c r="M1036" s="2">
        <v>1</v>
      </c>
      <c r="N1036" t="s">
        <v>52</v>
      </c>
      <c r="O1036" s="2">
        <v>10851</v>
      </c>
      <c r="P1036" s="2">
        <v>19863</v>
      </c>
      <c r="Q1036" s="2">
        <v>2</v>
      </c>
      <c r="R1036" t="s">
        <v>35</v>
      </c>
      <c r="S1036" s="2">
        <v>3</v>
      </c>
      <c r="T1036" s="2">
        <v>2</v>
      </c>
      <c r="U1036">
        <v>80</v>
      </c>
      <c r="V1036" s="2">
        <v>24</v>
      </c>
      <c r="W1036">
        <v>2</v>
      </c>
      <c r="X1036">
        <v>3</v>
      </c>
      <c r="Y1036">
        <v>7</v>
      </c>
      <c r="Z1036">
        <v>7</v>
      </c>
      <c r="AA1036">
        <v>0</v>
      </c>
      <c r="AB1036">
        <v>7</v>
      </c>
    </row>
    <row r="1037" spans="1:28" x14ac:dyDescent="0.35">
      <c r="A1037" s="2">
        <v>31</v>
      </c>
      <c r="B1037" s="2" t="str" cm="1">
        <f t="array" ref="B1037">_xlfn.IFS(HR_table[[#This Row],[Age]]&lt;=20, "Under 20yrs",HR_table[[#This Row],[Age]]&lt;=30,"(21-30)yrs",HR_table[[#This Row],[Age]]&lt;=40,"(31-40)yrs",HR_table[[#This Row],[Age]]&lt;=50,"(41-50)yrs",HR_table[[#This Row],[Age]]&lt;=60,"(51-60)yrs")</f>
        <v>(31-40)yrs</v>
      </c>
      <c r="C1037" t="s">
        <v>43</v>
      </c>
      <c r="D1037" t="s">
        <v>36</v>
      </c>
      <c r="E1037" t="s">
        <v>61</v>
      </c>
      <c r="F1037" t="s">
        <v>51</v>
      </c>
      <c r="G1037" t="s">
        <v>61</v>
      </c>
      <c r="H1037">
        <v>1461</v>
      </c>
      <c r="I1037" s="2">
        <v>8</v>
      </c>
      <c r="J1037" s="2">
        <v>4</v>
      </c>
      <c r="K1037" t="s">
        <v>39</v>
      </c>
      <c r="L1037" s="2">
        <v>1</v>
      </c>
      <c r="M1037" s="2">
        <v>2</v>
      </c>
      <c r="N1037" t="s">
        <v>41</v>
      </c>
      <c r="O1037" s="2">
        <v>2109</v>
      </c>
      <c r="P1037" s="2">
        <v>24609</v>
      </c>
      <c r="Q1037" s="2">
        <v>9</v>
      </c>
      <c r="R1037" t="s">
        <v>43</v>
      </c>
      <c r="S1037" s="2">
        <v>3</v>
      </c>
      <c r="T1037" s="2">
        <v>4</v>
      </c>
      <c r="U1037">
        <v>80</v>
      </c>
      <c r="V1037" s="2">
        <v>8</v>
      </c>
      <c r="W1037">
        <v>3</v>
      </c>
      <c r="X1037">
        <v>3</v>
      </c>
      <c r="Y1037">
        <v>3</v>
      </c>
      <c r="Z1037">
        <v>2</v>
      </c>
      <c r="AA1037">
        <v>0</v>
      </c>
      <c r="AB1037">
        <v>2</v>
      </c>
    </row>
    <row r="1038" spans="1:28" x14ac:dyDescent="0.35">
      <c r="A1038" s="2">
        <v>31</v>
      </c>
      <c r="B1038" s="2" t="str" cm="1">
        <f t="array" ref="B1038">_xlfn.IFS(HR_table[[#This Row],[Age]]&lt;=20, "Under 20yrs",HR_table[[#This Row],[Age]]&lt;=30,"(21-30)yrs",HR_table[[#This Row],[Age]]&lt;=40,"(31-40)yrs",HR_table[[#This Row],[Age]]&lt;=50,"(41-50)yrs",HR_table[[#This Row],[Age]]&lt;=60,"(51-60)yrs")</f>
        <v>(31-40)yrs</v>
      </c>
      <c r="C1038" t="s">
        <v>35</v>
      </c>
      <c r="D1038" t="s">
        <v>44</v>
      </c>
      <c r="E1038" t="s">
        <v>45</v>
      </c>
      <c r="F1038" t="s">
        <v>38</v>
      </c>
      <c r="G1038" t="s">
        <v>50</v>
      </c>
      <c r="H1038">
        <v>1464</v>
      </c>
      <c r="I1038" s="2">
        <v>2</v>
      </c>
      <c r="J1038" s="2">
        <v>2</v>
      </c>
      <c r="K1038" t="s">
        <v>46</v>
      </c>
      <c r="L1038" s="2">
        <v>1</v>
      </c>
      <c r="M1038" s="2">
        <v>4</v>
      </c>
      <c r="N1038" t="s">
        <v>48</v>
      </c>
      <c r="O1038" s="2">
        <v>3722</v>
      </c>
      <c r="P1038" s="2">
        <v>21081</v>
      </c>
      <c r="Q1038" s="2">
        <v>6</v>
      </c>
      <c r="R1038" t="s">
        <v>35</v>
      </c>
      <c r="S1038" s="2">
        <v>3</v>
      </c>
      <c r="T1038" s="2">
        <v>3</v>
      </c>
      <c r="U1038">
        <v>80</v>
      </c>
      <c r="V1038" s="2">
        <v>7</v>
      </c>
      <c r="W1038">
        <v>2</v>
      </c>
      <c r="X1038">
        <v>1</v>
      </c>
      <c r="Y1038">
        <v>2</v>
      </c>
      <c r="Z1038">
        <v>2</v>
      </c>
      <c r="AA1038">
        <v>2</v>
      </c>
      <c r="AB1038">
        <v>2</v>
      </c>
    </row>
    <row r="1039" spans="1:28" x14ac:dyDescent="0.35">
      <c r="A1039" s="2">
        <v>45</v>
      </c>
      <c r="B1039" s="2" t="str" cm="1">
        <f t="array" ref="B1039">_xlfn.IFS(HR_table[[#This Row],[Age]]&lt;=20, "Under 20yrs",HR_table[[#This Row],[Age]]&lt;=30,"(21-30)yrs",HR_table[[#This Row],[Age]]&lt;=40,"(31-40)yrs",HR_table[[#This Row],[Age]]&lt;=50,"(41-50)yrs",HR_table[[#This Row],[Age]]&lt;=60,"(51-60)yrs")</f>
        <v>(41-50)yrs</v>
      </c>
      <c r="C1039" t="s">
        <v>43</v>
      </c>
      <c r="D1039" t="s">
        <v>36</v>
      </c>
      <c r="E1039" t="s">
        <v>45</v>
      </c>
      <c r="F1039" t="s">
        <v>60</v>
      </c>
      <c r="G1039" t="s">
        <v>53</v>
      </c>
      <c r="H1039">
        <v>1465</v>
      </c>
      <c r="I1039" s="2">
        <v>29</v>
      </c>
      <c r="J1039" s="2">
        <v>2</v>
      </c>
      <c r="K1039" t="s">
        <v>46</v>
      </c>
      <c r="L1039" s="2">
        <v>3</v>
      </c>
      <c r="M1039" s="2">
        <v>4</v>
      </c>
      <c r="N1039" t="s">
        <v>48</v>
      </c>
      <c r="O1039" s="2">
        <v>9380</v>
      </c>
      <c r="P1039" s="2">
        <v>14720</v>
      </c>
      <c r="Q1039" s="2">
        <v>4</v>
      </c>
      <c r="R1039" t="s">
        <v>35</v>
      </c>
      <c r="S1039" s="2">
        <v>3</v>
      </c>
      <c r="T1039" s="2">
        <v>4</v>
      </c>
      <c r="U1039">
        <v>80</v>
      </c>
      <c r="V1039" s="2">
        <v>10</v>
      </c>
      <c r="W1039">
        <v>4</v>
      </c>
      <c r="X1039">
        <v>4</v>
      </c>
      <c r="Y1039">
        <v>3</v>
      </c>
      <c r="Z1039">
        <v>1</v>
      </c>
      <c r="AA1039">
        <v>1</v>
      </c>
      <c r="AB1039">
        <v>2</v>
      </c>
    </row>
    <row r="1040" spans="1:28" x14ac:dyDescent="0.35">
      <c r="A1040" s="2">
        <v>48</v>
      </c>
      <c r="B1040" s="2" t="str" cm="1">
        <f t="array" ref="B1040">_xlfn.IFS(HR_table[[#This Row],[Age]]&lt;=20, "Under 20yrs",HR_table[[#This Row],[Age]]&lt;=30,"(21-30)yrs",HR_table[[#This Row],[Age]]&lt;=40,"(31-40)yrs",HR_table[[#This Row],[Age]]&lt;=50,"(41-50)yrs",HR_table[[#This Row],[Age]]&lt;=60,"(51-60)yrs")</f>
        <v>(41-50)yrs</v>
      </c>
      <c r="C1040" t="s">
        <v>43</v>
      </c>
      <c r="D1040" t="s">
        <v>36</v>
      </c>
      <c r="E1040" t="s">
        <v>37</v>
      </c>
      <c r="F1040" t="s">
        <v>59</v>
      </c>
      <c r="G1040" t="s">
        <v>40</v>
      </c>
      <c r="H1040">
        <v>1466</v>
      </c>
      <c r="I1040" s="2">
        <v>7</v>
      </c>
      <c r="J1040" s="2">
        <v>3</v>
      </c>
      <c r="K1040" t="s">
        <v>46</v>
      </c>
      <c r="L1040" s="2">
        <v>2</v>
      </c>
      <c r="M1040" s="2">
        <v>1</v>
      </c>
      <c r="N1040" t="s">
        <v>52</v>
      </c>
      <c r="O1040" s="2">
        <v>5486</v>
      </c>
      <c r="P1040" s="2">
        <v>24795</v>
      </c>
      <c r="Q1040" s="2">
        <v>4</v>
      </c>
      <c r="R1040" t="s">
        <v>43</v>
      </c>
      <c r="S1040" s="2">
        <v>3</v>
      </c>
      <c r="T1040" s="2">
        <v>1</v>
      </c>
      <c r="U1040">
        <v>80</v>
      </c>
      <c r="V1040" s="2">
        <v>15</v>
      </c>
      <c r="W1040">
        <v>3</v>
      </c>
      <c r="X1040">
        <v>3</v>
      </c>
      <c r="Y1040">
        <v>2</v>
      </c>
      <c r="Z1040">
        <v>2</v>
      </c>
      <c r="AA1040">
        <v>2</v>
      </c>
      <c r="AB1040">
        <v>2</v>
      </c>
    </row>
    <row r="1041" spans="1:28" x14ac:dyDescent="0.35">
      <c r="A1041" s="2">
        <v>34</v>
      </c>
      <c r="B1041" s="2" t="str" cm="1">
        <f t="array" ref="B1041">_xlfn.IFS(HR_table[[#This Row],[Age]]&lt;=20, "Under 20yrs",HR_table[[#This Row],[Age]]&lt;=30,"(21-30)yrs",HR_table[[#This Row],[Age]]&lt;=40,"(31-40)yrs",HR_table[[#This Row],[Age]]&lt;=50,"(41-50)yrs",HR_table[[#This Row],[Age]]&lt;=60,"(51-60)yrs")</f>
        <v>(31-40)yrs</v>
      </c>
      <c r="C1041" t="s">
        <v>35</v>
      </c>
      <c r="D1041" t="s">
        <v>36</v>
      </c>
      <c r="E1041" t="s">
        <v>61</v>
      </c>
      <c r="F1041" t="s">
        <v>60</v>
      </c>
      <c r="G1041" t="s">
        <v>61</v>
      </c>
      <c r="H1041">
        <v>1467</v>
      </c>
      <c r="I1041" s="2">
        <v>9</v>
      </c>
      <c r="J1041" s="2">
        <v>1</v>
      </c>
      <c r="K1041" t="s">
        <v>39</v>
      </c>
      <c r="L1041" s="2">
        <v>1</v>
      </c>
      <c r="M1041" s="2">
        <v>3</v>
      </c>
      <c r="N1041" t="s">
        <v>48</v>
      </c>
      <c r="O1041" s="2">
        <v>2742</v>
      </c>
      <c r="P1041" s="2">
        <v>3072</v>
      </c>
      <c r="Q1041" s="2">
        <v>1</v>
      </c>
      <c r="R1041" t="s">
        <v>43</v>
      </c>
      <c r="S1041" s="2">
        <v>3</v>
      </c>
      <c r="T1041" s="2">
        <v>4</v>
      </c>
      <c r="U1041">
        <v>80</v>
      </c>
      <c r="V1041" s="2">
        <v>2</v>
      </c>
      <c r="W1041">
        <v>0</v>
      </c>
      <c r="X1041">
        <v>3</v>
      </c>
      <c r="Y1041">
        <v>2</v>
      </c>
      <c r="Z1041">
        <v>2</v>
      </c>
      <c r="AA1041">
        <v>2</v>
      </c>
      <c r="AB1041">
        <v>2</v>
      </c>
    </row>
    <row r="1042" spans="1:28" x14ac:dyDescent="0.35">
      <c r="A1042" s="2">
        <v>40</v>
      </c>
      <c r="B1042" s="2" t="str" cm="1">
        <f t="array" ref="B1042">_xlfn.IFS(HR_table[[#This Row],[Age]]&lt;=20, "Under 20yrs",HR_table[[#This Row],[Age]]&lt;=30,"(21-30)yrs",HR_table[[#This Row],[Age]]&lt;=40,"(31-40)yrs",HR_table[[#This Row],[Age]]&lt;=50,"(41-50)yrs",HR_table[[#This Row],[Age]]&lt;=60,"(51-60)yrs")</f>
        <v>(31-40)yrs</v>
      </c>
      <c r="C1042" t="s">
        <v>43</v>
      </c>
      <c r="D1042" t="s">
        <v>55</v>
      </c>
      <c r="E1042" t="s">
        <v>45</v>
      </c>
      <c r="F1042" t="s">
        <v>51</v>
      </c>
      <c r="G1042" t="s">
        <v>58</v>
      </c>
      <c r="H1042">
        <v>1468</v>
      </c>
      <c r="I1042" s="2">
        <v>8</v>
      </c>
      <c r="J1042" s="2">
        <v>4</v>
      </c>
      <c r="K1042" t="s">
        <v>46</v>
      </c>
      <c r="L1042" s="2">
        <v>3</v>
      </c>
      <c r="M1042" s="2">
        <v>2</v>
      </c>
      <c r="N1042" t="s">
        <v>52</v>
      </c>
      <c r="O1042" s="2">
        <v>13757</v>
      </c>
      <c r="P1042" s="2">
        <v>25178</v>
      </c>
      <c r="Q1042" s="2">
        <v>2</v>
      </c>
      <c r="R1042" t="s">
        <v>43</v>
      </c>
      <c r="S1042" s="2">
        <v>3</v>
      </c>
      <c r="T1042" s="2">
        <v>3</v>
      </c>
      <c r="U1042">
        <v>80</v>
      </c>
      <c r="V1042" s="2">
        <v>16</v>
      </c>
      <c r="W1042">
        <v>5</v>
      </c>
      <c r="X1042">
        <v>3</v>
      </c>
      <c r="Y1042">
        <v>9</v>
      </c>
      <c r="Z1042">
        <v>8</v>
      </c>
      <c r="AA1042">
        <v>4</v>
      </c>
      <c r="AB1042">
        <v>8</v>
      </c>
    </row>
    <row r="1043" spans="1:28" x14ac:dyDescent="0.35">
      <c r="A1043" s="2">
        <v>28</v>
      </c>
      <c r="B1043" s="2" t="str" cm="1">
        <f t="array" ref="B1043">_xlfn.IFS(HR_table[[#This Row],[Age]]&lt;=20, "Under 20yrs",HR_table[[#This Row],[Age]]&lt;=30,"(21-30)yrs",HR_table[[#This Row],[Age]]&lt;=40,"(31-40)yrs",HR_table[[#This Row],[Age]]&lt;=50,"(41-50)yrs",HR_table[[#This Row],[Age]]&lt;=60,"(51-60)yrs")</f>
        <v>(21-30)yrs</v>
      </c>
      <c r="C1043" t="s">
        <v>43</v>
      </c>
      <c r="D1043" t="s">
        <v>36</v>
      </c>
      <c r="E1043" t="s">
        <v>37</v>
      </c>
      <c r="F1043" t="s">
        <v>51</v>
      </c>
      <c r="G1043" t="s">
        <v>40</v>
      </c>
      <c r="H1043">
        <v>1469</v>
      </c>
      <c r="I1043" s="2">
        <v>5</v>
      </c>
      <c r="J1043" s="2">
        <v>4</v>
      </c>
      <c r="K1043" t="s">
        <v>46</v>
      </c>
      <c r="L1043" s="2">
        <v>2</v>
      </c>
      <c r="M1043" s="2">
        <v>1</v>
      </c>
      <c r="N1043" t="s">
        <v>41</v>
      </c>
      <c r="O1043" s="2">
        <v>8463</v>
      </c>
      <c r="P1043" s="2">
        <v>23490</v>
      </c>
      <c r="Q1043" s="2">
        <v>0</v>
      </c>
      <c r="R1043" t="s">
        <v>43</v>
      </c>
      <c r="S1043" s="2">
        <v>3</v>
      </c>
      <c r="T1043" s="2">
        <v>4</v>
      </c>
      <c r="U1043">
        <v>80</v>
      </c>
      <c r="V1043" s="2">
        <v>6</v>
      </c>
      <c r="W1043">
        <v>4</v>
      </c>
      <c r="X1043">
        <v>3</v>
      </c>
      <c r="Y1043">
        <v>5</v>
      </c>
      <c r="Z1043">
        <v>4</v>
      </c>
      <c r="AA1043">
        <v>1</v>
      </c>
      <c r="AB1043">
        <v>3</v>
      </c>
    </row>
    <row r="1044" spans="1:28" x14ac:dyDescent="0.35">
      <c r="A1044" s="2">
        <v>44</v>
      </c>
      <c r="B1044" s="2" t="str" cm="1">
        <f t="array" ref="B1044">_xlfn.IFS(HR_table[[#This Row],[Age]]&lt;=20, "Under 20yrs",HR_table[[#This Row],[Age]]&lt;=30,"(21-30)yrs",HR_table[[#This Row],[Age]]&lt;=40,"(31-40)yrs",HR_table[[#This Row],[Age]]&lt;=50,"(41-50)yrs",HR_table[[#This Row],[Age]]&lt;=60,"(51-60)yrs")</f>
        <v>(41-50)yrs</v>
      </c>
      <c r="C1044" t="s">
        <v>43</v>
      </c>
      <c r="D1044" t="s">
        <v>55</v>
      </c>
      <c r="E1044" t="s">
        <v>45</v>
      </c>
      <c r="F1044" t="s">
        <v>38</v>
      </c>
      <c r="G1044" t="s">
        <v>50</v>
      </c>
      <c r="H1044">
        <v>1471</v>
      </c>
      <c r="I1044" s="2">
        <v>5</v>
      </c>
      <c r="J1044" s="2">
        <v>3</v>
      </c>
      <c r="K1044" t="s">
        <v>46</v>
      </c>
      <c r="L1044" s="2">
        <v>1</v>
      </c>
      <c r="M1044" s="2">
        <v>3</v>
      </c>
      <c r="N1044" t="s">
        <v>41</v>
      </c>
      <c r="O1044" s="2">
        <v>3162</v>
      </c>
      <c r="P1044" s="2">
        <v>7973</v>
      </c>
      <c r="Q1044" s="2">
        <v>3</v>
      </c>
      <c r="R1044" t="s">
        <v>43</v>
      </c>
      <c r="S1044" s="2">
        <v>3</v>
      </c>
      <c r="T1044" s="2">
        <v>4</v>
      </c>
      <c r="U1044">
        <v>80</v>
      </c>
      <c r="V1044" s="2">
        <v>7</v>
      </c>
      <c r="W1044">
        <v>5</v>
      </c>
      <c r="X1044">
        <v>3</v>
      </c>
      <c r="Y1044">
        <v>5</v>
      </c>
      <c r="Z1044">
        <v>2</v>
      </c>
      <c r="AA1044">
        <v>0</v>
      </c>
      <c r="AB1044">
        <v>3</v>
      </c>
    </row>
    <row r="1045" spans="1:28" x14ac:dyDescent="0.35">
      <c r="A1045" s="2">
        <v>53</v>
      </c>
      <c r="B1045" s="2" t="str" cm="1">
        <f t="array" ref="B1045">_xlfn.IFS(HR_table[[#This Row],[Age]]&lt;=20, "Under 20yrs",HR_table[[#This Row],[Age]]&lt;=30,"(21-30)yrs",HR_table[[#This Row],[Age]]&lt;=40,"(31-40)yrs",HR_table[[#This Row],[Age]]&lt;=50,"(41-50)yrs",HR_table[[#This Row],[Age]]&lt;=60,"(51-60)yrs")</f>
        <v>(51-60)yrs</v>
      </c>
      <c r="C1045" t="s">
        <v>43</v>
      </c>
      <c r="D1045" t="s">
        <v>36</v>
      </c>
      <c r="E1045" t="s">
        <v>45</v>
      </c>
      <c r="F1045" t="s">
        <v>51</v>
      </c>
      <c r="G1045" t="s">
        <v>58</v>
      </c>
      <c r="H1045">
        <v>1472</v>
      </c>
      <c r="I1045" s="2">
        <v>2</v>
      </c>
      <c r="J1045" s="2">
        <v>4</v>
      </c>
      <c r="K1045" t="s">
        <v>46</v>
      </c>
      <c r="L1045" s="2">
        <v>4</v>
      </c>
      <c r="M1045" s="2">
        <v>2</v>
      </c>
      <c r="N1045" t="s">
        <v>41</v>
      </c>
      <c r="O1045" s="2">
        <v>16598</v>
      </c>
      <c r="P1045" s="2">
        <v>19764</v>
      </c>
      <c r="Q1045" s="2">
        <v>4</v>
      </c>
      <c r="R1045" t="s">
        <v>43</v>
      </c>
      <c r="S1045" s="2">
        <v>3</v>
      </c>
      <c r="T1045" s="2">
        <v>2</v>
      </c>
      <c r="U1045">
        <v>80</v>
      </c>
      <c r="V1045" s="2">
        <v>35</v>
      </c>
      <c r="W1045">
        <v>2</v>
      </c>
      <c r="X1045">
        <v>2</v>
      </c>
      <c r="Y1045">
        <v>9</v>
      </c>
      <c r="Z1045">
        <v>8</v>
      </c>
      <c r="AA1045">
        <v>8</v>
      </c>
      <c r="AB1045">
        <v>8</v>
      </c>
    </row>
    <row r="1046" spans="1:28" x14ac:dyDescent="0.35">
      <c r="A1046" s="2">
        <v>49</v>
      </c>
      <c r="B1046" s="2" t="str" cm="1">
        <f t="array" ref="B1046">_xlfn.IFS(HR_table[[#This Row],[Age]]&lt;=20, "Under 20yrs",HR_table[[#This Row],[Age]]&lt;=30,"(21-30)yrs",HR_table[[#This Row],[Age]]&lt;=40,"(31-40)yrs",HR_table[[#This Row],[Age]]&lt;=50,"(41-50)yrs",HR_table[[#This Row],[Age]]&lt;=60,"(51-60)yrs")</f>
        <v>(41-50)yrs</v>
      </c>
      <c r="C1046" t="s">
        <v>43</v>
      </c>
      <c r="D1046" t="s">
        <v>36</v>
      </c>
      <c r="E1046" t="s">
        <v>45</v>
      </c>
      <c r="F1046" t="s">
        <v>60</v>
      </c>
      <c r="G1046" t="s">
        <v>54</v>
      </c>
      <c r="H1046">
        <v>1473</v>
      </c>
      <c r="I1046" s="2">
        <v>5</v>
      </c>
      <c r="J1046" s="2">
        <v>1</v>
      </c>
      <c r="K1046" t="s">
        <v>46</v>
      </c>
      <c r="L1046" s="2">
        <v>2</v>
      </c>
      <c r="M1046" s="2">
        <v>3</v>
      </c>
      <c r="N1046" t="s">
        <v>48</v>
      </c>
      <c r="O1046" s="2">
        <v>6651</v>
      </c>
      <c r="P1046" s="2">
        <v>21534</v>
      </c>
      <c r="Q1046" s="2">
        <v>2</v>
      </c>
      <c r="R1046" t="s">
        <v>43</v>
      </c>
      <c r="S1046" s="2">
        <v>3</v>
      </c>
      <c r="T1046" s="2">
        <v>2</v>
      </c>
      <c r="U1046">
        <v>80</v>
      </c>
      <c r="V1046" s="2">
        <v>20</v>
      </c>
      <c r="W1046">
        <v>0</v>
      </c>
      <c r="X1046">
        <v>2</v>
      </c>
      <c r="Y1046">
        <v>3</v>
      </c>
      <c r="Z1046">
        <v>2</v>
      </c>
      <c r="AA1046">
        <v>1</v>
      </c>
      <c r="AB1046">
        <v>2</v>
      </c>
    </row>
    <row r="1047" spans="1:28" x14ac:dyDescent="0.35">
      <c r="A1047" s="2">
        <v>40</v>
      </c>
      <c r="B1047" s="2" t="str" cm="1">
        <f t="array" ref="B1047">_xlfn.IFS(HR_table[[#This Row],[Age]]&lt;=20, "Under 20yrs",HR_table[[#This Row],[Age]]&lt;=30,"(21-30)yrs",HR_table[[#This Row],[Age]]&lt;=40,"(31-40)yrs",HR_table[[#This Row],[Age]]&lt;=50,"(41-50)yrs",HR_table[[#This Row],[Age]]&lt;=60,"(51-60)yrs")</f>
        <v>(31-40)yrs</v>
      </c>
      <c r="C1047" t="s">
        <v>43</v>
      </c>
      <c r="D1047" t="s">
        <v>36</v>
      </c>
      <c r="E1047" t="s">
        <v>45</v>
      </c>
      <c r="F1047" t="s">
        <v>51</v>
      </c>
      <c r="G1047" t="s">
        <v>47</v>
      </c>
      <c r="H1047">
        <v>1474</v>
      </c>
      <c r="I1047" s="2">
        <v>2</v>
      </c>
      <c r="J1047" s="2">
        <v>3</v>
      </c>
      <c r="K1047" t="s">
        <v>46</v>
      </c>
      <c r="L1047" s="2">
        <v>1</v>
      </c>
      <c r="M1047" s="2">
        <v>3</v>
      </c>
      <c r="N1047" t="s">
        <v>52</v>
      </c>
      <c r="O1047" s="2">
        <v>2345</v>
      </c>
      <c r="P1047" s="2">
        <v>8045</v>
      </c>
      <c r="Q1047" s="2">
        <v>2</v>
      </c>
      <c r="R1047" t="s">
        <v>43</v>
      </c>
      <c r="S1047" s="2">
        <v>3</v>
      </c>
      <c r="T1047" s="2">
        <v>3</v>
      </c>
      <c r="U1047">
        <v>80</v>
      </c>
      <c r="V1047" s="2">
        <v>8</v>
      </c>
      <c r="W1047">
        <v>3</v>
      </c>
      <c r="X1047">
        <v>4</v>
      </c>
      <c r="Y1047">
        <v>3</v>
      </c>
      <c r="Z1047">
        <v>1</v>
      </c>
      <c r="AA1047">
        <v>1</v>
      </c>
      <c r="AB1047">
        <v>2</v>
      </c>
    </row>
    <row r="1048" spans="1:28" x14ac:dyDescent="0.35">
      <c r="A1048" s="2">
        <v>44</v>
      </c>
      <c r="B1048" s="2" t="str" cm="1">
        <f t="array" ref="B1048">_xlfn.IFS(HR_table[[#This Row],[Age]]&lt;=20, "Under 20yrs",HR_table[[#This Row],[Age]]&lt;=30,"(21-30)yrs",HR_table[[#This Row],[Age]]&lt;=40,"(31-40)yrs",HR_table[[#This Row],[Age]]&lt;=50,"(41-50)yrs",HR_table[[#This Row],[Age]]&lt;=60,"(51-60)yrs")</f>
        <v>(41-50)yrs</v>
      </c>
      <c r="C1048" t="s">
        <v>43</v>
      </c>
      <c r="D1048" t="s">
        <v>36</v>
      </c>
      <c r="E1048" t="s">
        <v>45</v>
      </c>
      <c r="F1048" t="s">
        <v>38</v>
      </c>
      <c r="G1048" t="s">
        <v>47</v>
      </c>
      <c r="H1048">
        <v>1475</v>
      </c>
      <c r="I1048" s="2">
        <v>20</v>
      </c>
      <c r="J1048" s="2">
        <v>4</v>
      </c>
      <c r="K1048" t="s">
        <v>46</v>
      </c>
      <c r="L1048" s="2">
        <v>1</v>
      </c>
      <c r="M1048" s="2">
        <v>2</v>
      </c>
      <c r="N1048" t="s">
        <v>41</v>
      </c>
      <c r="O1048" s="2">
        <v>3420</v>
      </c>
      <c r="P1048" s="2">
        <v>21158</v>
      </c>
      <c r="Q1048" s="2">
        <v>1</v>
      </c>
      <c r="R1048" t="s">
        <v>43</v>
      </c>
      <c r="S1048" s="2">
        <v>3</v>
      </c>
      <c r="T1048" s="2">
        <v>3</v>
      </c>
      <c r="U1048">
        <v>80</v>
      </c>
      <c r="V1048" s="2">
        <v>6</v>
      </c>
      <c r="W1048">
        <v>3</v>
      </c>
      <c r="X1048">
        <v>2</v>
      </c>
      <c r="Y1048">
        <v>5</v>
      </c>
      <c r="Z1048">
        <v>2</v>
      </c>
      <c r="AA1048">
        <v>1</v>
      </c>
      <c r="AB1048">
        <v>3</v>
      </c>
    </row>
    <row r="1049" spans="1:28" x14ac:dyDescent="0.35">
      <c r="A1049" s="2">
        <v>33</v>
      </c>
      <c r="B1049" s="2" t="str" cm="1">
        <f t="array" ref="B1049">_xlfn.IFS(HR_table[[#This Row],[Age]]&lt;=20, "Under 20yrs",HR_table[[#This Row],[Age]]&lt;=30,"(21-30)yrs",HR_table[[#This Row],[Age]]&lt;=40,"(31-40)yrs",HR_table[[#This Row],[Age]]&lt;=50,"(41-50)yrs",HR_table[[#This Row],[Age]]&lt;=60,"(51-60)yrs")</f>
        <v>(31-40)yrs</v>
      </c>
      <c r="C1049" t="s">
        <v>43</v>
      </c>
      <c r="D1049" t="s">
        <v>44</v>
      </c>
      <c r="E1049" t="s">
        <v>37</v>
      </c>
      <c r="F1049" t="s">
        <v>51</v>
      </c>
      <c r="G1049" t="s">
        <v>40</v>
      </c>
      <c r="H1049">
        <v>1477</v>
      </c>
      <c r="I1049" s="2">
        <v>7</v>
      </c>
      <c r="J1049" s="2">
        <v>4</v>
      </c>
      <c r="K1049" t="s">
        <v>46</v>
      </c>
      <c r="L1049" s="2">
        <v>2</v>
      </c>
      <c r="M1049" s="2">
        <v>1</v>
      </c>
      <c r="N1049" t="s">
        <v>48</v>
      </c>
      <c r="O1049" s="2">
        <v>4373</v>
      </c>
      <c r="P1049" s="2">
        <v>17456</v>
      </c>
      <c r="Q1049" s="2">
        <v>0</v>
      </c>
      <c r="R1049" t="s">
        <v>43</v>
      </c>
      <c r="S1049" s="2">
        <v>3</v>
      </c>
      <c r="T1049" s="2">
        <v>1</v>
      </c>
      <c r="U1049">
        <v>80</v>
      </c>
      <c r="V1049" s="2">
        <v>5</v>
      </c>
      <c r="W1049">
        <v>2</v>
      </c>
      <c r="X1049">
        <v>3</v>
      </c>
      <c r="Y1049">
        <v>4</v>
      </c>
      <c r="Z1049">
        <v>3</v>
      </c>
      <c r="AA1049">
        <v>0</v>
      </c>
      <c r="AB1049">
        <v>3</v>
      </c>
    </row>
    <row r="1050" spans="1:28" x14ac:dyDescent="0.35">
      <c r="A1050" s="2">
        <v>34</v>
      </c>
      <c r="B1050" s="2" t="str" cm="1">
        <f t="array" ref="B1050">_xlfn.IFS(HR_table[[#This Row],[Age]]&lt;=20, "Under 20yrs",HR_table[[#This Row],[Age]]&lt;=30,"(21-30)yrs",HR_table[[#This Row],[Age]]&lt;=40,"(31-40)yrs",HR_table[[#This Row],[Age]]&lt;=50,"(41-50)yrs",HR_table[[#This Row],[Age]]&lt;=60,"(51-60)yrs")</f>
        <v>(31-40)yrs</v>
      </c>
      <c r="C1050" t="s">
        <v>43</v>
      </c>
      <c r="D1050" t="s">
        <v>36</v>
      </c>
      <c r="E1050" t="s">
        <v>37</v>
      </c>
      <c r="F1050" t="s">
        <v>49</v>
      </c>
      <c r="G1050" t="s">
        <v>40</v>
      </c>
      <c r="H1050">
        <v>1478</v>
      </c>
      <c r="I1050" s="2">
        <v>3</v>
      </c>
      <c r="J1050" s="2">
        <v>4</v>
      </c>
      <c r="K1050" t="s">
        <v>46</v>
      </c>
      <c r="L1050" s="2">
        <v>2</v>
      </c>
      <c r="M1050" s="2">
        <v>1</v>
      </c>
      <c r="N1050" t="s">
        <v>41</v>
      </c>
      <c r="O1050" s="2">
        <v>4759</v>
      </c>
      <c r="P1050" s="2">
        <v>15891</v>
      </c>
      <c r="Q1050" s="2">
        <v>3</v>
      </c>
      <c r="R1050" t="s">
        <v>43</v>
      </c>
      <c r="S1050" s="2">
        <v>3</v>
      </c>
      <c r="T1050" s="2">
        <v>4</v>
      </c>
      <c r="U1050">
        <v>80</v>
      </c>
      <c r="V1050" s="2">
        <v>15</v>
      </c>
      <c r="W1050">
        <v>2</v>
      </c>
      <c r="X1050">
        <v>3</v>
      </c>
      <c r="Y1050">
        <v>13</v>
      </c>
      <c r="Z1050">
        <v>9</v>
      </c>
      <c r="AA1050">
        <v>3</v>
      </c>
      <c r="AB1050">
        <v>12</v>
      </c>
    </row>
    <row r="1051" spans="1:28" x14ac:dyDescent="0.35">
      <c r="A1051" s="2">
        <v>30</v>
      </c>
      <c r="B1051" s="2" t="str" cm="1">
        <f t="array" ref="B1051">_xlfn.IFS(HR_table[[#This Row],[Age]]&lt;=20, "Under 20yrs",HR_table[[#This Row],[Age]]&lt;=30,"(21-30)yrs",HR_table[[#This Row],[Age]]&lt;=40,"(31-40)yrs",HR_table[[#This Row],[Age]]&lt;=50,"(41-50)yrs",HR_table[[#This Row],[Age]]&lt;=60,"(51-60)yrs")</f>
        <v>(21-30)yrs</v>
      </c>
      <c r="C1051" t="s">
        <v>43</v>
      </c>
      <c r="D1051" t="s">
        <v>36</v>
      </c>
      <c r="E1051" t="s">
        <v>37</v>
      </c>
      <c r="F1051" t="s">
        <v>38</v>
      </c>
      <c r="G1051" t="s">
        <v>40</v>
      </c>
      <c r="H1051">
        <v>1479</v>
      </c>
      <c r="I1051" s="2">
        <v>16</v>
      </c>
      <c r="J1051" s="2">
        <v>4</v>
      </c>
      <c r="K1051" t="s">
        <v>46</v>
      </c>
      <c r="L1051" s="2">
        <v>2</v>
      </c>
      <c r="M1051" s="2">
        <v>3</v>
      </c>
      <c r="N1051" t="s">
        <v>48</v>
      </c>
      <c r="O1051" s="2">
        <v>5301</v>
      </c>
      <c r="P1051" s="2">
        <v>2939</v>
      </c>
      <c r="Q1051" s="2">
        <v>8</v>
      </c>
      <c r="R1051" t="s">
        <v>43</v>
      </c>
      <c r="S1051" s="2">
        <v>3</v>
      </c>
      <c r="T1051" s="2">
        <v>3</v>
      </c>
      <c r="U1051">
        <v>80</v>
      </c>
      <c r="V1051" s="2">
        <v>4</v>
      </c>
      <c r="W1051">
        <v>2</v>
      </c>
      <c r="X1051">
        <v>2</v>
      </c>
      <c r="Y1051">
        <v>2</v>
      </c>
      <c r="Z1051">
        <v>1</v>
      </c>
      <c r="AA1051">
        <v>2</v>
      </c>
      <c r="AB1051">
        <v>2</v>
      </c>
    </row>
    <row r="1052" spans="1:28" x14ac:dyDescent="0.35">
      <c r="A1052" s="2">
        <v>42</v>
      </c>
      <c r="B1052" s="2" t="str" cm="1">
        <f t="array" ref="B1052">_xlfn.IFS(HR_table[[#This Row],[Age]]&lt;=20, "Under 20yrs",HR_table[[#This Row],[Age]]&lt;=30,"(21-30)yrs",HR_table[[#This Row],[Age]]&lt;=40,"(31-40)yrs",HR_table[[#This Row],[Age]]&lt;=50,"(41-50)yrs",HR_table[[#This Row],[Age]]&lt;=60,"(51-60)yrs")</f>
        <v>(41-50)yrs</v>
      </c>
      <c r="C1052" t="s">
        <v>43</v>
      </c>
      <c r="D1052" t="s">
        <v>44</v>
      </c>
      <c r="E1052" t="s">
        <v>45</v>
      </c>
      <c r="F1052" t="s">
        <v>51</v>
      </c>
      <c r="G1052" t="s">
        <v>50</v>
      </c>
      <c r="H1052">
        <v>1480</v>
      </c>
      <c r="I1052" s="2">
        <v>9</v>
      </c>
      <c r="J1052" s="2">
        <v>1</v>
      </c>
      <c r="K1052" t="s">
        <v>39</v>
      </c>
      <c r="L1052" s="2">
        <v>1</v>
      </c>
      <c r="M1052" s="2">
        <v>4</v>
      </c>
      <c r="N1052" t="s">
        <v>41</v>
      </c>
      <c r="O1052" s="2">
        <v>3673</v>
      </c>
      <c r="P1052" s="2">
        <v>16458</v>
      </c>
      <c r="Q1052" s="2">
        <v>1</v>
      </c>
      <c r="R1052" t="s">
        <v>43</v>
      </c>
      <c r="S1052" s="2">
        <v>3</v>
      </c>
      <c r="T1052" s="2">
        <v>3</v>
      </c>
      <c r="U1052">
        <v>80</v>
      </c>
      <c r="V1052" s="2">
        <v>12</v>
      </c>
      <c r="W1052">
        <v>3</v>
      </c>
      <c r="X1052">
        <v>3</v>
      </c>
      <c r="Y1052">
        <v>12</v>
      </c>
      <c r="Z1052">
        <v>9</v>
      </c>
      <c r="AA1052">
        <v>5</v>
      </c>
      <c r="AB1052">
        <v>8</v>
      </c>
    </row>
    <row r="1053" spans="1:28" x14ac:dyDescent="0.35">
      <c r="A1053" s="2">
        <v>44</v>
      </c>
      <c r="B1053" s="2" t="str" cm="1">
        <f t="array" ref="B1053">_xlfn.IFS(HR_table[[#This Row],[Age]]&lt;=20, "Under 20yrs",HR_table[[#This Row],[Age]]&lt;=30,"(21-30)yrs",HR_table[[#This Row],[Age]]&lt;=40,"(31-40)yrs",HR_table[[#This Row],[Age]]&lt;=50,"(41-50)yrs",HR_table[[#This Row],[Age]]&lt;=60,"(51-60)yrs")</f>
        <v>(41-50)yrs</v>
      </c>
      <c r="C1053" t="s">
        <v>43</v>
      </c>
      <c r="D1053" t="s">
        <v>44</v>
      </c>
      <c r="E1053" t="s">
        <v>37</v>
      </c>
      <c r="F1053" t="s">
        <v>59</v>
      </c>
      <c r="G1053" t="s">
        <v>40</v>
      </c>
      <c r="H1053">
        <v>1481</v>
      </c>
      <c r="I1053" s="2">
        <v>1</v>
      </c>
      <c r="J1053" s="2">
        <v>1</v>
      </c>
      <c r="K1053" t="s">
        <v>39</v>
      </c>
      <c r="L1053" s="2">
        <v>2</v>
      </c>
      <c r="M1053" s="2">
        <v>3</v>
      </c>
      <c r="N1053" t="s">
        <v>48</v>
      </c>
      <c r="O1053" s="2">
        <v>4768</v>
      </c>
      <c r="P1053" s="2">
        <v>9282</v>
      </c>
      <c r="Q1053" s="2">
        <v>7</v>
      </c>
      <c r="R1053" t="s">
        <v>43</v>
      </c>
      <c r="S1053" s="2">
        <v>3</v>
      </c>
      <c r="T1053" s="2">
        <v>3</v>
      </c>
      <c r="U1053">
        <v>80</v>
      </c>
      <c r="V1053" s="2">
        <v>11</v>
      </c>
      <c r="W1053">
        <v>4</v>
      </c>
      <c r="X1053">
        <v>2</v>
      </c>
      <c r="Y1053">
        <v>1</v>
      </c>
      <c r="Z1053">
        <v>0</v>
      </c>
      <c r="AA1053">
        <v>0</v>
      </c>
      <c r="AB1053">
        <v>0</v>
      </c>
    </row>
    <row r="1054" spans="1:28" x14ac:dyDescent="0.35">
      <c r="A1054" s="2">
        <v>30</v>
      </c>
      <c r="B1054" s="2" t="str" cm="1">
        <f t="array" ref="B1054">_xlfn.IFS(HR_table[[#This Row],[Age]]&lt;=20, "Under 20yrs",HR_table[[#This Row],[Age]]&lt;=30,"(21-30)yrs",HR_table[[#This Row],[Age]]&lt;=40,"(31-40)yrs",HR_table[[#This Row],[Age]]&lt;=50,"(41-50)yrs",HR_table[[#This Row],[Age]]&lt;=60,"(51-60)yrs")</f>
        <v>(21-30)yrs</v>
      </c>
      <c r="C1054" t="s">
        <v>43</v>
      </c>
      <c r="D1054" t="s">
        <v>55</v>
      </c>
      <c r="E1054" t="s">
        <v>45</v>
      </c>
      <c r="F1054" t="s">
        <v>60</v>
      </c>
      <c r="G1054" t="s">
        <v>47</v>
      </c>
      <c r="H1054">
        <v>1482</v>
      </c>
      <c r="I1054" s="2">
        <v>7</v>
      </c>
      <c r="J1054" s="2">
        <v>3</v>
      </c>
      <c r="K1054" t="s">
        <v>46</v>
      </c>
      <c r="L1054" s="2">
        <v>1</v>
      </c>
      <c r="M1054" s="2">
        <v>3</v>
      </c>
      <c r="N1054" t="s">
        <v>52</v>
      </c>
      <c r="O1054" s="2">
        <v>1274</v>
      </c>
      <c r="P1054" s="2">
        <v>7152</v>
      </c>
      <c r="Q1054" s="2">
        <v>1</v>
      </c>
      <c r="R1054" t="s">
        <v>43</v>
      </c>
      <c r="S1054" s="2">
        <v>3</v>
      </c>
      <c r="T1054" s="2">
        <v>2</v>
      </c>
      <c r="U1054">
        <v>80</v>
      </c>
      <c r="V1054" s="2">
        <v>1</v>
      </c>
      <c r="W1054">
        <v>2</v>
      </c>
      <c r="X1054">
        <v>2</v>
      </c>
      <c r="Y1054">
        <v>1</v>
      </c>
      <c r="Z1054">
        <v>0</v>
      </c>
      <c r="AA1054">
        <v>0</v>
      </c>
      <c r="AB1054">
        <v>0</v>
      </c>
    </row>
    <row r="1055" spans="1:28" x14ac:dyDescent="0.35">
      <c r="A1055" s="2">
        <v>57</v>
      </c>
      <c r="B1055" s="2" t="str" cm="1">
        <f t="array" ref="B1055">_xlfn.IFS(HR_table[[#This Row],[Age]]&lt;=20, "Under 20yrs",HR_table[[#This Row],[Age]]&lt;=30,"(21-30)yrs",HR_table[[#This Row],[Age]]&lt;=40,"(31-40)yrs",HR_table[[#This Row],[Age]]&lt;=50,"(41-50)yrs",HR_table[[#This Row],[Age]]&lt;=60,"(51-60)yrs")</f>
        <v>(51-60)yrs</v>
      </c>
      <c r="C1055" t="s">
        <v>43</v>
      </c>
      <c r="D1055" t="s">
        <v>36</v>
      </c>
      <c r="E1055" t="s">
        <v>45</v>
      </c>
      <c r="F1055" t="s">
        <v>38</v>
      </c>
      <c r="G1055" t="s">
        <v>47</v>
      </c>
      <c r="H1055">
        <v>1483</v>
      </c>
      <c r="I1055" s="2">
        <v>1</v>
      </c>
      <c r="J1055" s="2">
        <v>2</v>
      </c>
      <c r="K1055" t="s">
        <v>46</v>
      </c>
      <c r="L1055" s="2">
        <v>2</v>
      </c>
      <c r="M1055" s="2">
        <v>3</v>
      </c>
      <c r="N1055" t="s">
        <v>48</v>
      </c>
      <c r="O1055" s="2">
        <v>4900</v>
      </c>
      <c r="P1055" s="2">
        <v>2721</v>
      </c>
      <c r="Q1055" s="2">
        <v>0</v>
      </c>
      <c r="R1055" t="s">
        <v>43</v>
      </c>
      <c r="S1055" s="2">
        <v>4</v>
      </c>
      <c r="T1055" s="2">
        <v>1</v>
      </c>
      <c r="U1055">
        <v>80</v>
      </c>
      <c r="V1055" s="2">
        <v>13</v>
      </c>
      <c r="W1055">
        <v>2</v>
      </c>
      <c r="X1055">
        <v>2</v>
      </c>
      <c r="Y1055">
        <v>12</v>
      </c>
      <c r="Z1055">
        <v>9</v>
      </c>
      <c r="AA1055">
        <v>2</v>
      </c>
      <c r="AB1055">
        <v>8</v>
      </c>
    </row>
    <row r="1056" spans="1:28" x14ac:dyDescent="0.35">
      <c r="A1056" s="2">
        <v>49</v>
      </c>
      <c r="B1056" s="2" t="str" cm="1">
        <f t="array" ref="B1056">_xlfn.IFS(HR_table[[#This Row],[Age]]&lt;=20, "Under 20yrs",HR_table[[#This Row],[Age]]&lt;=30,"(21-30)yrs",HR_table[[#This Row],[Age]]&lt;=40,"(31-40)yrs",HR_table[[#This Row],[Age]]&lt;=50,"(41-50)yrs",HR_table[[#This Row],[Age]]&lt;=60,"(51-60)yrs")</f>
        <v>(41-50)yrs</v>
      </c>
      <c r="C1056" t="s">
        <v>43</v>
      </c>
      <c r="D1056" t="s">
        <v>36</v>
      </c>
      <c r="E1056" t="s">
        <v>45</v>
      </c>
      <c r="F1056" t="s">
        <v>38</v>
      </c>
      <c r="G1056" t="s">
        <v>54</v>
      </c>
      <c r="H1056">
        <v>1484</v>
      </c>
      <c r="I1056" s="2">
        <v>7</v>
      </c>
      <c r="J1056" s="2">
        <v>3</v>
      </c>
      <c r="K1056" t="s">
        <v>46</v>
      </c>
      <c r="L1056" s="2">
        <v>3</v>
      </c>
      <c r="M1056" s="2">
        <v>2</v>
      </c>
      <c r="N1056" t="s">
        <v>52</v>
      </c>
      <c r="O1056" s="2">
        <v>10466</v>
      </c>
      <c r="P1056" s="2">
        <v>20948</v>
      </c>
      <c r="Q1056" s="2">
        <v>3</v>
      </c>
      <c r="R1056" t="s">
        <v>43</v>
      </c>
      <c r="S1056" s="2">
        <v>3</v>
      </c>
      <c r="T1056" s="2">
        <v>2</v>
      </c>
      <c r="U1056">
        <v>80</v>
      </c>
      <c r="V1056" s="2">
        <v>29</v>
      </c>
      <c r="W1056">
        <v>3</v>
      </c>
      <c r="X1056">
        <v>3</v>
      </c>
      <c r="Y1056">
        <v>8</v>
      </c>
      <c r="Z1056">
        <v>7</v>
      </c>
      <c r="AA1056">
        <v>0</v>
      </c>
      <c r="AB1056">
        <v>7</v>
      </c>
    </row>
    <row r="1057" spans="1:28" x14ac:dyDescent="0.35">
      <c r="A1057" s="2">
        <v>34</v>
      </c>
      <c r="B1057" s="2" t="str" cm="1">
        <f t="array" ref="B1057">_xlfn.IFS(HR_table[[#This Row],[Age]]&lt;=20, "Under 20yrs",HR_table[[#This Row],[Age]]&lt;=30,"(21-30)yrs",HR_table[[#This Row],[Age]]&lt;=40,"(31-40)yrs",HR_table[[#This Row],[Age]]&lt;=50,"(41-50)yrs",HR_table[[#This Row],[Age]]&lt;=60,"(51-60)yrs")</f>
        <v>(31-40)yrs</v>
      </c>
      <c r="C1057" t="s">
        <v>43</v>
      </c>
      <c r="D1057" t="s">
        <v>44</v>
      </c>
      <c r="E1057" t="s">
        <v>45</v>
      </c>
      <c r="F1057" t="s">
        <v>51</v>
      </c>
      <c r="G1057" t="s">
        <v>58</v>
      </c>
      <c r="H1057">
        <v>1485</v>
      </c>
      <c r="I1057" s="2">
        <v>15</v>
      </c>
      <c r="J1057" s="2">
        <v>2</v>
      </c>
      <c r="K1057" t="s">
        <v>46</v>
      </c>
      <c r="L1057" s="2">
        <v>4</v>
      </c>
      <c r="M1057" s="2">
        <v>1</v>
      </c>
      <c r="N1057" t="s">
        <v>52</v>
      </c>
      <c r="O1057" s="2">
        <v>17007</v>
      </c>
      <c r="P1057" s="2">
        <v>11929</v>
      </c>
      <c r="Q1057" s="2">
        <v>7</v>
      </c>
      <c r="R1057" t="s">
        <v>43</v>
      </c>
      <c r="S1057" s="2">
        <v>3</v>
      </c>
      <c r="T1057" s="2">
        <v>4</v>
      </c>
      <c r="U1057">
        <v>80</v>
      </c>
      <c r="V1057" s="2">
        <v>16</v>
      </c>
      <c r="W1057">
        <v>3</v>
      </c>
      <c r="X1057">
        <v>2</v>
      </c>
      <c r="Y1057">
        <v>14</v>
      </c>
      <c r="Z1057">
        <v>8</v>
      </c>
      <c r="AA1057">
        <v>6</v>
      </c>
      <c r="AB1057">
        <v>9</v>
      </c>
    </row>
    <row r="1058" spans="1:28" x14ac:dyDescent="0.35">
      <c r="A1058" s="2">
        <v>28</v>
      </c>
      <c r="B1058" s="2" t="str" cm="1">
        <f t="array" ref="B1058">_xlfn.IFS(HR_table[[#This Row],[Age]]&lt;=20, "Under 20yrs",HR_table[[#This Row],[Age]]&lt;=30,"(21-30)yrs",HR_table[[#This Row],[Age]]&lt;=40,"(31-40)yrs",HR_table[[#This Row],[Age]]&lt;=50,"(41-50)yrs",HR_table[[#This Row],[Age]]&lt;=60,"(51-60)yrs")</f>
        <v>(21-30)yrs</v>
      </c>
      <c r="C1058" t="s">
        <v>35</v>
      </c>
      <c r="D1058" t="s">
        <v>44</v>
      </c>
      <c r="E1058" t="s">
        <v>37</v>
      </c>
      <c r="F1058" t="s">
        <v>60</v>
      </c>
      <c r="G1058" t="s">
        <v>57</v>
      </c>
      <c r="H1058">
        <v>1486</v>
      </c>
      <c r="I1058" s="2">
        <v>1</v>
      </c>
      <c r="J1058" s="2">
        <v>1</v>
      </c>
      <c r="K1058" t="s">
        <v>46</v>
      </c>
      <c r="L1058" s="2">
        <v>1</v>
      </c>
      <c r="M1058" s="2">
        <v>3</v>
      </c>
      <c r="N1058" t="s">
        <v>48</v>
      </c>
      <c r="O1058" s="2">
        <v>2909</v>
      </c>
      <c r="P1058" s="2">
        <v>15747</v>
      </c>
      <c r="Q1058" s="2">
        <v>3</v>
      </c>
      <c r="R1058" t="s">
        <v>43</v>
      </c>
      <c r="S1058" s="2">
        <v>3</v>
      </c>
      <c r="T1058" s="2">
        <v>4</v>
      </c>
      <c r="U1058">
        <v>80</v>
      </c>
      <c r="V1058" s="2">
        <v>5</v>
      </c>
      <c r="W1058">
        <v>3</v>
      </c>
      <c r="X1058">
        <v>4</v>
      </c>
      <c r="Y1058">
        <v>3</v>
      </c>
      <c r="Z1058">
        <v>2</v>
      </c>
      <c r="AA1058">
        <v>1</v>
      </c>
      <c r="AB1058">
        <v>2</v>
      </c>
    </row>
    <row r="1059" spans="1:28" x14ac:dyDescent="0.35">
      <c r="A1059" s="2">
        <v>29</v>
      </c>
      <c r="B1059" s="2" t="str" cm="1">
        <f t="array" ref="B1059">_xlfn.IFS(HR_table[[#This Row],[Age]]&lt;=20, "Under 20yrs",HR_table[[#This Row],[Age]]&lt;=30,"(21-30)yrs",HR_table[[#This Row],[Age]]&lt;=40,"(31-40)yrs",HR_table[[#This Row],[Age]]&lt;=50,"(41-50)yrs",HR_table[[#This Row],[Age]]&lt;=60,"(51-60)yrs")</f>
        <v>(21-30)yrs</v>
      </c>
      <c r="C1059" t="s">
        <v>35</v>
      </c>
      <c r="D1059" t="s">
        <v>44</v>
      </c>
      <c r="E1059" t="s">
        <v>37</v>
      </c>
      <c r="F1059" t="s">
        <v>60</v>
      </c>
      <c r="G1059" t="s">
        <v>40</v>
      </c>
      <c r="H1059">
        <v>1487</v>
      </c>
      <c r="I1059" s="2">
        <v>13</v>
      </c>
      <c r="J1059" s="2">
        <v>1</v>
      </c>
      <c r="K1059" t="s">
        <v>39</v>
      </c>
      <c r="L1059" s="2">
        <v>2</v>
      </c>
      <c r="M1059" s="2">
        <v>2</v>
      </c>
      <c r="N1059" t="s">
        <v>41</v>
      </c>
      <c r="O1059" s="2">
        <v>5765</v>
      </c>
      <c r="P1059" s="2">
        <v>17485</v>
      </c>
      <c r="Q1059" s="2">
        <v>5</v>
      </c>
      <c r="R1059" t="s">
        <v>43</v>
      </c>
      <c r="S1059" s="2">
        <v>3</v>
      </c>
      <c r="T1059" s="2">
        <v>1</v>
      </c>
      <c r="U1059">
        <v>80</v>
      </c>
      <c r="V1059" s="2">
        <v>7</v>
      </c>
      <c r="W1059">
        <v>4</v>
      </c>
      <c r="X1059">
        <v>1</v>
      </c>
      <c r="Y1059">
        <v>5</v>
      </c>
      <c r="Z1059">
        <v>3</v>
      </c>
      <c r="AA1059">
        <v>0</v>
      </c>
      <c r="AB1059">
        <v>0</v>
      </c>
    </row>
    <row r="1060" spans="1:28" x14ac:dyDescent="0.35">
      <c r="A1060" s="2">
        <v>34</v>
      </c>
      <c r="B1060" s="2" t="str" cm="1">
        <f t="array" ref="B1060">_xlfn.IFS(HR_table[[#This Row],[Age]]&lt;=20, "Under 20yrs",HR_table[[#This Row],[Age]]&lt;=30,"(21-30)yrs",HR_table[[#This Row],[Age]]&lt;=40,"(31-40)yrs",HR_table[[#This Row],[Age]]&lt;=50,"(41-50)yrs",HR_table[[#This Row],[Age]]&lt;=60,"(51-60)yrs")</f>
        <v>(31-40)yrs</v>
      </c>
      <c r="C1060" t="s">
        <v>35</v>
      </c>
      <c r="D1060" t="s">
        <v>36</v>
      </c>
      <c r="E1060" t="s">
        <v>37</v>
      </c>
      <c r="F1060" t="s">
        <v>51</v>
      </c>
      <c r="G1060" t="s">
        <v>40</v>
      </c>
      <c r="H1060">
        <v>1489</v>
      </c>
      <c r="I1060" s="2">
        <v>24</v>
      </c>
      <c r="J1060" s="2">
        <v>1</v>
      </c>
      <c r="K1060" t="s">
        <v>39</v>
      </c>
      <c r="L1060" s="2">
        <v>2</v>
      </c>
      <c r="M1060" s="2">
        <v>2</v>
      </c>
      <c r="N1060" t="s">
        <v>41</v>
      </c>
      <c r="O1060" s="2">
        <v>4599</v>
      </c>
      <c r="P1060" s="2">
        <v>7815</v>
      </c>
      <c r="Q1060" s="2">
        <v>0</v>
      </c>
      <c r="R1060" t="s">
        <v>35</v>
      </c>
      <c r="S1060" s="2">
        <v>4</v>
      </c>
      <c r="T1060" s="2">
        <v>3</v>
      </c>
      <c r="U1060">
        <v>80</v>
      </c>
      <c r="V1060" s="2">
        <v>16</v>
      </c>
      <c r="W1060">
        <v>2</v>
      </c>
      <c r="X1060">
        <v>4</v>
      </c>
      <c r="Y1060">
        <v>15</v>
      </c>
      <c r="Z1060">
        <v>9</v>
      </c>
      <c r="AA1060">
        <v>10</v>
      </c>
      <c r="AB1060">
        <v>10</v>
      </c>
    </row>
    <row r="1061" spans="1:28" x14ac:dyDescent="0.35">
      <c r="A1061" s="2">
        <v>35</v>
      </c>
      <c r="B1061" s="2" t="str" cm="1">
        <f t="array" ref="B1061">_xlfn.IFS(HR_table[[#This Row],[Age]]&lt;=20, "Under 20yrs",HR_table[[#This Row],[Age]]&lt;=30,"(21-30)yrs",HR_table[[#This Row],[Age]]&lt;=40,"(31-40)yrs",HR_table[[#This Row],[Age]]&lt;=50,"(41-50)yrs",HR_table[[#This Row],[Age]]&lt;=60,"(51-60)yrs")</f>
        <v>(31-40)yrs</v>
      </c>
      <c r="C1061" t="s">
        <v>43</v>
      </c>
      <c r="D1061" t="s">
        <v>36</v>
      </c>
      <c r="E1061" t="s">
        <v>37</v>
      </c>
      <c r="F1061" t="s">
        <v>38</v>
      </c>
      <c r="G1061" t="s">
        <v>57</v>
      </c>
      <c r="H1061">
        <v>1492</v>
      </c>
      <c r="I1061" s="2">
        <v>7</v>
      </c>
      <c r="J1061" s="2">
        <v>4</v>
      </c>
      <c r="K1061" t="s">
        <v>46</v>
      </c>
      <c r="L1061" s="2">
        <v>1</v>
      </c>
      <c r="M1061" s="2">
        <v>3</v>
      </c>
      <c r="N1061" t="s">
        <v>48</v>
      </c>
      <c r="O1061" s="2">
        <v>2404</v>
      </c>
      <c r="P1061" s="2">
        <v>16192</v>
      </c>
      <c r="Q1061" s="2">
        <v>1</v>
      </c>
      <c r="R1061" t="s">
        <v>43</v>
      </c>
      <c r="S1061" s="2">
        <v>3</v>
      </c>
      <c r="T1061" s="2">
        <v>1</v>
      </c>
      <c r="U1061">
        <v>80</v>
      </c>
      <c r="V1061" s="2">
        <v>1</v>
      </c>
      <c r="W1061">
        <v>3</v>
      </c>
      <c r="X1061">
        <v>3</v>
      </c>
      <c r="Y1061">
        <v>1</v>
      </c>
      <c r="Z1061">
        <v>0</v>
      </c>
      <c r="AA1061">
        <v>0</v>
      </c>
      <c r="AB1061">
        <v>0</v>
      </c>
    </row>
    <row r="1062" spans="1:28" x14ac:dyDescent="0.35">
      <c r="A1062" s="2">
        <v>24</v>
      </c>
      <c r="B1062" s="2" t="str" cm="1">
        <f t="array" ref="B1062">_xlfn.IFS(HR_table[[#This Row],[Age]]&lt;=20, "Under 20yrs",HR_table[[#This Row],[Age]]&lt;=30,"(21-30)yrs",HR_table[[#This Row],[Age]]&lt;=40,"(31-40)yrs",HR_table[[#This Row],[Age]]&lt;=50,"(41-50)yrs",HR_table[[#This Row],[Age]]&lt;=60,"(51-60)yrs")</f>
        <v>(21-30)yrs</v>
      </c>
      <c r="C1062" t="s">
        <v>35</v>
      </c>
      <c r="D1062" t="s">
        <v>44</v>
      </c>
      <c r="E1062" t="s">
        <v>45</v>
      </c>
      <c r="F1062" t="s">
        <v>51</v>
      </c>
      <c r="G1062" t="s">
        <v>50</v>
      </c>
      <c r="H1062">
        <v>1494</v>
      </c>
      <c r="I1062" s="2">
        <v>9</v>
      </c>
      <c r="J1062" s="2">
        <v>2</v>
      </c>
      <c r="K1062" t="s">
        <v>46</v>
      </c>
      <c r="L1062" s="2">
        <v>1</v>
      </c>
      <c r="M1062" s="2">
        <v>1</v>
      </c>
      <c r="N1062" t="s">
        <v>41</v>
      </c>
      <c r="O1062" s="2">
        <v>3172</v>
      </c>
      <c r="P1062" s="2">
        <v>16998</v>
      </c>
      <c r="Q1062" s="2">
        <v>2</v>
      </c>
      <c r="R1062" t="s">
        <v>35</v>
      </c>
      <c r="S1062" s="2">
        <v>3</v>
      </c>
      <c r="T1062" s="2">
        <v>3</v>
      </c>
      <c r="U1062">
        <v>80</v>
      </c>
      <c r="V1062" s="2">
        <v>4</v>
      </c>
      <c r="W1062">
        <v>2</v>
      </c>
      <c r="X1062">
        <v>2</v>
      </c>
      <c r="Y1062">
        <v>0</v>
      </c>
      <c r="Z1062">
        <v>0</v>
      </c>
      <c r="AA1062">
        <v>0</v>
      </c>
      <c r="AB1062">
        <v>0</v>
      </c>
    </row>
    <row r="1063" spans="1:28" x14ac:dyDescent="0.35">
      <c r="A1063" s="2">
        <v>24</v>
      </c>
      <c r="B1063" s="2" t="str" cm="1">
        <f t="array" ref="B1063">_xlfn.IFS(HR_table[[#This Row],[Age]]&lt;=20, "Under 20yrs",HR_table[[#This Row],[Age]]&lt;=30,"(21-30)yrs",HR_table[[#This Row],[Age]]&lt;=40,"(31-40)yrs",HR_table[[#This Row],[Age]]&lt;=50,"(41-50)yrs",HR_table[[#This Row],[Age]]&lt;=60,"(51-60)yrs")</f>
        <v>(21-30)yrs</v>
      </c>
      <c r="C1063" t="s">
        <v>43</v>
      </c>
      <c r="D1063" t="s">
        <v>55</v>
      </c>
      <c r="E1063" t="s">
        <v>37</v>
      </c>
      <c r="F1063" t="s">
        <v>38</v>
      </c>
      <c r="G1063" t="s">
        <v>57</v>
      </c>
      <c r="H1063">
        <v>1495</v>
      </c>
      <c r="I1063" s="2">
        <v>13</v>
      </c>
      <c r="J1063" s="2">
        <v>4</v>
      </c>
      <c r="K1063" t="s">
        <v>39</v>
      </c>
      <c r="L1063" s="2">
        <v>1</v>
      </c>
      <c r="M1063" s="2">
        <v>2</v>
      </c>
      <c r="N1063" t="s">
        <v>48</v>
      </c>
      <c r="O1063" s="2">
        <v>2033</v>
      </c>
      <c r="P1063" s="2">
        <v>7103</v>
      </c>
      <c r="Q1063" s="2">
        <v>1</v>
      </c>
      <c r="R1063" t="s">
        <v>43</v>
      </c>
      <c r="S1063" s="2">
        <v>3</v>
      </c>
      <c r="T1063" s="2">
        <v>3</v>
      </c>
      <c r="U1063">
        <v>80</v>
      </c>
      <c r="V1063" s="2">
        <v>1</v>
      </c>
      <c r="W1063">
        <v>2</v>
      </c>
      <c r="X1063">
        <v>3</v>
      </c>
      <c r="Y1063">
        <v>1</v>
      </c>
      <c r="Z1063">
        <v>0</v>
      </c>
      <c r="AA1063">
        <v>0</v>
      </c>
      <c r="AB1063">
        <v>0</v>
      </c>
    </row>
    <row r="1064" spans="1:28" x14ac:dyDescent="0.35">
      <c r="A1064" s="2">
        <v>44</v>
      </c>
      <c r="B1064" s="2" t="str" cm="1">
        <f t="array" ref="B1064">_xlfn.IFS(HR_table[[#This Row],[Age]]&lt;=20, "Under 20yrs",HR_table[[#This Row],[Age]]&lt;=30,"(21-30)yrs",HR_table[[#This Row],[Age]]&lt;=40,"(31-40)yrs",HR_table[[#This Row],[Age]]&lt;=50,"(41-50)yrs",HR_table[[#This Row],[Age]]&lt;=60,"(51-60)yrs")</f>
        <v>(41-50)yrs</v>
      </c>
      <c r="C1064" t="s">
        <v>43</v>
      </c>
      <c r="D1064" t="s">
        <v>44</v>
      </c>
      <c r="E1064" t="s">
        <v>45</v>
      </c>
      <c r="F1064" t="s">
        <v>51</v>
      </c>
      <c r="G1064" t="s">
        <v>53</v>
      </c>
      <c r="H1064">
        <v>1496</v>
      </c>
      <c r="I1064" s="2">
        <v>2</v>
      </c>
      <c r="J1064" s="2">
        <v>2</v>
      </c>
      <c r="K1064" t="s">
        <v>46</v>
      </c>
      <c r="L1064" s="2">
        <v>3</v>
      </c>
      <c r="M1064" s="2">
        <v>3</v>
      </c>
      <c r="N1064" t="s">
        <v>41</v>
      </c>
      <c r="O1064" s="2">
        <v>10209</v>
      </c>
      <c r="P1064" s="2">
        <v>19719</v>
      </c>
      <c r="Q1064" s="2">
        <v>5</v>
      </c>
      <c r="R1064" t="s">
        <v>35</v>
      </c>
      <c r="S1064" s="2">
        <v>3</v>
      </c>
      <c r="T1064" s="2">
        <v>2</v>
      </c>
      <c r="U1064">
        <v>80</v>
      </c>
      <c r="V1064" s="2">
        <v>16</v>
      </c>
      <c r="W1064">
        <v>2</v>
      </c>
      <c r="X1064">
        <v>2</v>
      </c>
      <c r="Y1064">
        <v>2</v>
      </c>
      <c r="Z1064">
        <v>2</v>
      </c>
      <c r="AA1064">
        <v>2</v>
      </c>
      <c r="AB1064">
        <v>2</v>
      </c>
    </row>
    <row r="1065" spans="1:28" x14ac:dyDescent="0.35">
      <c r="A1065" s="2">
        <v>29</v>
      </c>
      <c r="B1065" s="2" t="str" cm="1">
        <f t="array" ref="B1065">_xlfn.IFS(HR_table[[#This Row],[Age]]&lt;=20, "Under 20yrs",HR_table[[#This Row],[Age]]&lt;=30,"(21-30)yrs",HR_table[[#This Row],[Age]]&lt;=40,"(31-40)yrs",HR_table[[#This Row],[Age]]&lt;=50,"(41-50)yrs",HR_table[[#This Row],[Age]]&lt;=60,"(51-60)yrs")</f>
        <v>(21-30)yrs</v>
      </c>
      <c r="C1065" t="s">
        <v>43</v>
      </c>
      <c r="D1065" t="s">
        <v>36</v>
      </c>
      <c r="E1065" t="s">
        <v>37</v>
      </c>
      <c r="F1065" t="s">
        <v>38</v>
      </c>
      <c r="G1065" t="s">
        <v>40</v>
      </c>
      <c r="H1065">
        <v>1497</v>
      </c>
      <c r="I1065" s="2">
        <v>19</v>
      </c>
      <c r="J1065" s="2">
        <v>3</v>
      </c>
      <c r="K1065" t="s">
        <v>46</v>
      </c>
      <c r="L1065" s="2">
        <v>2</v>
      </c>
      <c r="M1065" s="2">
        <v>3</v>
      </c>
      <c r="N1065" t="s">
        <v>52</v>
      </c>
      <c r="O1065" s="2">
        <v>8620</v>
      </c>
      <c r="P1065" s="2">
        <v>23757</v>
      </c>
      <c r="Q1065" s="2">
        <v>1</v>
      </c>
      <c r="R1065" t="s">
        <v>43</v>
      </c>
      <c r="S1065" s="2">
        <v>3</v>
      </c>
      <c r="T1065" s="2">
        <v>3</v>
      </c>
      <c r="U1065">
        <v>80</v>
      </c>
      <c r="V1065" s="2">
        <v>10</v>
      </c>
      <c r="W1065">
        <v>3</v>
      </c>
      <c r="X1065">
        <v>3</v>
      </c>
      <c r="Y1065">
        <v>10</v>
      </c>
      <c r="Z1065">
        <v>7</v>
      </c>
      <c r="AA1065">
        <v>0</v>
      </c>
      <c r="AB1065">
        <v>4</v>
      </c>
    </row>
    <row r="1066" spans="1:28" x14ac:dyDescent="0.35">
      <c r="A1066" s="2">
        <v>30</v>
      </c>
      <c r="B1066" s="2" t="str" cm="1">
        <f t="array" ref="B1066">_xlfn.IFS(HR_table[[#This Row],[Age]]&lt;=20, "Under 20yrs",HR_table[[#This Row],[Age]]&lt;=30,"(21-30)yrs",HR_table[[#This Row],[Age]]&lt;=40,"(31-40)yrs",HR_table[[#This Row],[Age]]&lt;=50,"(41-50)yrs",HR_table[[#This Row],[Age]]&lt;=60,"(51-60)yrs")</f>
        <v>(21-30)yrs</v>
      </c>
      <c r="C1066" t="s">
        <v>43</v>
      </c>
      <c r="D1066" t="s">
        <v>36</v>
      </c>
      <c r="E1066" t="s">
        <v>61</v>
      </c>
      <c r="F1066" t="s">
        <v>38</v>
      </c>
      <c r="G1066" t="s">
        <v>61</v>
      </c>
      <c r="H1066">
        <v>1499</v>
      </c>
      <c r="I1066" s="2">
        <v>1</v>
      </c>
      <c r="J1066" s="2">
        <v>3</v>
      </c>
      <c r="K1066" t="s">
        <v>46</v>
      </c>
      <c r="L1066" s="2">
        <v>1</v>
      </c>
      <c r="M1066" s="2">
        <v>3</v>
      </c>
      <c r="N1066" t="s">
        <v>52</v>
      </c>
      <c r="O1066" s="2">
        <v>2064</v>
      </c>
      <c r="P1066" s="2">
        <v>15428</v>
      </c>
      <c r="Q1066" s="2">
        <v>0</v>
      </c>
      <c r="R1066" t="s">
        <v>43</v>
      </c>
      <c r="S1066" s="2">
        <v>4</v>
      </c>
      <c r="T1066" s="2">
        <v>1</v>
      </c>
      <c r="U1066">
        <v>80</v>
      </c>
      <c r="V1066" s="2">
        <v>6</v>
      </c>
      <c r="W1066">
        <v>3</v>
      </c>
      <c r="X1066">
        <v>4</v>
      </c>
      <c r="Y1066">
        <v>5</v>
      </c>
      <c r="Z1066">
        <v>3</v>
      </c>
      <c r="AA1066">
        <v>1</v>
      </c>
      <c r="AB1066">
        <v>3</v>
      </c>
    </row>
    <row r="1067" spans="1:28" x14ac:dyDescent="0.35">
      <c r="A1067" s="2">
        <v>55</v>
      </c>
      <c r="B1067" s="2" t="str" cm="1">
        <f t="array" ref="B1067">_xlfn.IFS(HR_table[[#This Row],[Age]]&lt;=20, "Under 20yrs",HR_table[[#This Row],[Age]]&lt;=30,"(21-30)yrs",HR_table[[#This Row],[Age]]&lt;=40,"(31-40)yrs",HR_table[[#This Row],[Age]]&lt;=50,"(41-50)yrs",HR_table[[#This Row],[Age]]&lt;=60,"(51-60)yrs")</f>
        <v>(51-60)yrs</v>
      </c>
      <c r="C1067" t="s">
        <v>43</v>
      </c>
      <c r="D1067" t="s">
        <v>36</v>
      </c>
      <c r="E1067" t="s">
        <v>45</v>
      </c>
      <c r="F1067" t="s">
        <v>38</v>
      </c>
      <c r="G1067" t="s">
        <v>54</v>
      </c>
      <c r="H1067">
        <v>1501</v>
      </c>
      <c r="I1067" s="2">
        <v>4</v>
      </c>
      <c r="J1067" s="2">
        <v>4</v>
      </c>
      <c r="K1067" t="s">
        <v>46</v>
      </c>
      <c r="L1067" s="2">
        <v>2</v>
      </c>
      <c r="M1067" s="2">
        <v>3</v>
      </c>
      <c r="N1067" t="s">
        <v>48</v>
      </c>
      <c r="O1067" s="2">
        <v>4035</v>
      </c>
      <c r="P1067" s="2">
        <v>16143</v>
      </c>
      <c r="Q1067" s="2">
        <v>0</v>
      </c>
      <c r="R1067" t="s">
        <v>35</v>
      </c>
      <c r="S1067" s="2">
        <v>3</v>
      </c>
      <c r="T1067" s="2">
        <v>2</v>
      </c>
      <c r="U1067">
        <v>80</v>
      </c>
      <c r="V1067" s="2">
        <v>4</v>
      </c>
      <c r="W1067">
        <v>2</v>
      </c>
      <c r="X1067">
        <v>3</v>
      </c>
      <c r="Y1067">
        <v>3</v>
      </c>
      <c r="Z1067">
        <v>2</v>
      </c>
      <c r="AA1067">
        <v>1</v>
      </c>
      <c r="AB1067">
        <v>2</v>
      </c>
    </row>
    <row r="1068" spans="1:28" x14ac:dyDescent="0.35">
      <c r="A1068" s="2">
        <v>33</v>
      </c>
      <c r="B1068" s="2" t="str" cm="1">
        <f t="array" ref="B1068">_xlfn.IFS(HR_table[[#This Row],[Age]]&lt;=20, "Under 20yrs",HR_table[[#This Row],[Age]]&lt;=30,"(21-30)yrs",HR_table[[#This Row],[Age]]&lt;=40,"(31-40)yrs",HR_table[[#This Row],[Age]]&lt;=50,"(41-50)yrs",HR_table[[#This Row],[Age]]&lt;=60,"(51-60)yrs")</f>
        <v>(31-40)yrs</v>
      </c>
      <c r="C1068" t="s">
        <v>43</v>
      </c>
      <c r="D1068" t="s">
        <v>36</v>
      </c>
      <c r="E1068" t="s">
        <v>45</v>
      </c>
      <c r="F1068" t="s">
        <v>51</v>
      </c>
      <c r="G1068" t="s">
        <v>50</v>
      </c>
      <c r="H1068">
        <v>1502</v>
      </c>
      <c r="I1068" s="2">
        <v>4</v>
      </c>
      <c r="J1068" s="2">
        <v>1</v>
      </c>
      <c r="K1068" t="s">
        <v>39</v>
      </c>
      <c r="L1068" s="2">
        <v>1</v>
      </c>
      <c r="M1068" s="2">
        <v>2</v>
      </c>
      <c r="N1068" t="s">
        <v>48</v>
      </c>
      <c r="O1068" s="2">
        <v>3838</v>
      </c>
      <c r="P1068" s="2">
        <v>8192</v>
      </c>
      <c r="Q1068" s="2">
        <v>8</v>
      </c>
      <c r="R1068" t="s">
        <v>43</v>
      </c>
      <c r="S1068" s="2">
        <v>3</v>
      </c>
      <c r="T1068" s="2">
        <v>4</v>
      </c>
      <c r="U1068">
        <v>80</v>
      </c>
      <c r="V1068" s="2">
        <v>8</v>
      </c>
      <c r="W1068">
        <v>5</v>
      </c>
      <c r="X1068">
        <v>3</v>
      </c>
      <c r="Y1068">
        <v>5</v>
      </c>
      <c r="Z1068">
        <v>4</v>
      </c>
      <c r="AA1068">
        <v>0</v>
      </c>
      <c r="AB1068">
        <v>2</v>
      </c>
    </row>
    <row r="1069" spans="1:28" x14ac:dyDescent="0.35">
      <c r="A1069" s="2">
        <v>47</v>
      </c>
      <c r="B1069" s="2" t="str" cm="1">
        <f t="array" ref="B1069">_xlfn.IFS(HR_table[[#This Row],[Age]]&lt;=20, "Under 20yrs",HR_table[[#This Row],[Age]]&lt;=30,"(21-30)yrs",HR_table[[#This Row],[Age]]&lt;=40,"(31-40)yrs",HR_table[[#This Row],[Age]]&lt;=50,"(41-50)yrs",HR_table[[#This Row],[Age]]&lt;=60,"(51-60)yrs")</f>
        <v>(41-50)yrs</v>
      </c>
      <c r="C1069" t="s">
        <v>43</v>
      </c>
      <c r="D1069" t="s">
        <v>36</v>
      </c>
      <c r="E1069" t="s">
        <v>37</v>
      </c>
      <c r="F1069" t="s">
        <v>51</v>
      </c>
      <c r="G1069" t="s">
        <v>40</v>
      </c>
      <c r="H1069">
        <v>1503</v>
      </c>
      <c r="I1069" s="2">
        <v>14</v>
      </c>
      <c r="J1069" s="2">
        <v>3</v>
      </c>
      <c r="K1069" t="s">
        <v>39</v>
      </c>
      <c r="L1069" s="2">
        <v>2</v>
      </c>
      <c r="M1069" s="2">
        <v>3</v>
      </c>
      <c r="N1069" t="s">
        <v>48</v>
      </c>
      <c r="O1069" s="2">
        <v>4591</v>
      </c>
      <c r="P1069" s="2">
        <v>24200</v>
      </c>
      <c r="Q1069" s="2">
        <v>3</v>
      </c>
      <c r="R1069" t="s">
        <v>35</v>
      </c>
      <c r="S1069" s="2">
        <v>3</v>
      </c>
      <c r="T1069" s="2">
        <v>3</v>
      </c>
      <c r="U1069">
        <v>80</v>
      </c>
      <c r="V1069" s="2">
        <v>11</v>
      </c>
      <c r="W1069">
        <v>4</v>
      </c>
      <c r="X1069">
        <v>2</v>
      </c>
      <c r="Y1069">
        <v>5</v>
      </c>
      <c r="Z1069">
        <v>4</v>
      </c>
      <c r="AA1069">
        <v>1</v>
      </c>
      <c r="AB1069">
        <v>2</v>
      </c>
    </row>
    <row r="1070" spans="1:28" x14ac:dyDescent="0.35">
      <c r="A1070" s="2">
        <v>28</v>
      </c>
      <c r="B1070" s="2" t="str" cm="1">
        <f t="array" ref="B1070">_xlfn.IFS(HR_table[[#This Row],[Age]]&lt;=20, "Under 20yrs",HR_table[[#This Row],[Age]]&lt;=30,"(21-30)yrs",HR_table[[#This Row],[Age]]&lt;=40,"(31-40)yrs",HR_table[[#This Row],[Age]]&lt;=50,"(41-50)yrs",HR_table[[#This Row],[Age]]&lt;=60,"(51-60)yrs")</f>
        <v>(21-30)yrs</v>
      </c>
      <c r="C1070" t="s">
        <v>35</v>
      </c>
      <c r="D1070" t="s">
        <v>44</v>
      </c>
      <c r="E1070" t="s">
        <v>45</v>
      </c>
      <c r="F1070" t="s">
        <v>51</v>
      </c>
      <c r="G1070" t="s">
        <v>50</v>
      </c>
      <c r="H1070">
        <v>1504</v>
      </c>
      <c r="I1070" s="2">
        <v>2</v>
      </c>
      <c r="J1070" s="2">
        <v>3</v>
      </c>
      <c r="K1070" t="s">
        <v>46</v>
      </c>
      <c r="L1070" s="2">
        <v>1</v>
      </c>
      <c r="M1070" s="2">
        <v>1</v>
      </c>
      <c r="N1070" t="s">
        <v>41</v>
      </c>
      <c r="O1070" s="2">
        <v>2561</v>
      </c>
      <c r="P1070" s="2">
        <v>5355</v>
      </c>
      <c r="Q1070" s="2">
        <v>7</v>
      </c>
      <c r="R1070" t="s">
        <v>43</v>
      </c>
      <c r="S1070" s="2">
        <v>3</v>
      </c>
      <c r="T1070" s="2">
        <v>3</v>
      </c>
      <c r="U1070">
        <v>80</v>
      </c>
      <c r="V1070" s="2">
        <v>8</v>
      </c>
      <c r="W1070">
        <v>2</v>
      </c>
      <c r="X1070">
        <v>2</v>
      </c>
      <c r="Y1070">
        <v>0</v>
      </c>
      <c r="Z1070">
        <v>0</v>
      </c>
      <c r="AA1070">
        <v>0</v>
      </c>
      <c r="AB1070">
        <v>0</v>
      </c>
    </row>
    <row r="1071" spans="1:28" x14ac:dyDescent="0.35">
      <c r="A1071" s="2">
        <v>28</v>
      </c>
      <c r="B1071" s="2" t="str" cm="1">
        <f t="array" ref="B1071">_xlfn.IFS(HR_table[[#This Row],[Age]]&lt;=20, "Under 20yrs",HR_table[[#This Row],[Age]]&lt;=30,"(21-30)yrs",HR_table[[#This Row],[Age]]&lt;=40,"(31-40)yrs",HR_table[[#This Row],[Age]]&lt;=50,"(41-50)yrs",HR_table[[#This Row],[Age]]&lt;=60,"(51-60)yrs")</f>
        <v>(21-30)yrs</v>
      </c>
      <c r="C1071" t="s">
        <v>43</v>
      </c>
      <c r="D1071" t="s">
        <v>36</v>
      </c>
      <c r="E1071" t="s">
        <v>45</v>
      </c>
      <c r="F1071" t="s">
        <v>38</v>
      </c>
      <c r="G1071" t="s">
        <v>47</v>
      </c>
      <c r="H1071">
        <v>1506</v>
      </c>
      <c r="I1071" s="2">
        <v>1</v>
      </c>
      <c r="J1071" s="2">
        <v>1</v>
      </c>
      <c r="K1071" t="s">
        <v>46</v>
      </c>
      <c r="L1071" s="2">
        <v>1</v>
      </c>
      <c r="M1071" s="2">
        <v>3</v>
      </c>
      <c r="N1071" t="s">
        <v>52</v>
      </c>
      <c r="O1071" s="2">
        <v>1563</v>
      </c>
      <c r="P1071" s="2">
        <v>12530</v>
      </c>
      <c r="Q1071" s="2">
        <v>1</v>
      </c>
      <c r="R1071" t="s">
        <v>43</v>
      </c>
      <c r="S1071" s="2">
        <v>3</v>
      </c>
      <c r="T1071" s="2">
        <v>4</v>
      </c>
      <c r="U1071">
        <v>80</v>
      </c>
      <c r="V1071" s="2">
        <v>1</v>
      </c>
      <c r="W1071">
        <v>2</v>
      </c>
      <c r="X1071">
        <v>1</v>
      </c>
      <c r="Y1071">
        <v>1</v>
      </c>
      <c r="Z1071">
        <v>0</v>
      </c>
      <c r="AA1071">
        <v>0</v>
      </c>
      <c r="AB1071">
        <v>0</v>
      </c>
    </row>
    <row r="1072" spans="1:28" x14ac:dyDescent="0.35">
      <c r="A1072" s="2">
        <v>28</v>
      </c>
      <c r="B1072" s="2" t="str" cm="1">
        <f t="array" ref="B1072">_xlfn.IFS(HR_table[[#This Row],[Age]]&lt;=20, "Under 20yrs",HR_table[[#This Row],[Age]]&lt;=30,"(21-30)yrs",HR_table[[#This Row],[Age]]&lt;=40,"(31-40)yrs",HR_table[[#This Row],[Age]]&lt;=50,"(41-50)yrs",HR_table[[#This Row],[Age]]&lt;=60,"(51-60)yrs")</f>
        <v>(21-30)yrs</v>
      </c>
      <c r="C1072" t="s">
        <v>43</v>
      </c>
      <c r="D1072" t="s">
        <v>44</v>
      </c>
      <c r="E1072" t="s">
        <v>37</v>
      </c>
      <c r="F1072" t="s">
        <v>38</v>
      </c>
      <c r="G1072" t="s">
        <v>40</v>
      </c>
      <c r="H1072">
        <v>1507</v>
      </c>
      <c r="I1072" s="2">
        <v>7</v>
      </c>
      <c r="J1072" s="2">
        <v>3</v>
      </c>
      <c r="K1072" t="s">
        <v>46</v>
      </c>
      <c r="L1072" s="2">
        <v>2</v>
      </c>
      <c r="M1072" s="2">
        <v>1</v>
      </c>
      <c r="N1072" t="s">
        <v>41</v>
      </c>
      <c r="O1072" s="2">
        <v>4898</v>
      </c>
      <c r="P1072" s="2">
        <v>11827</v>
      </c>
      <c r="Q1072" s="2">
        <v>0</v>
      </c>
      <c r="R1072" t="s">
        <v>43</v>
      </c>
      <c r="S1072" s="2">
        <v>3</v>
      </c>
      <c r="T1072" s="2">
        <v>4</v>
      </c>
      <c r="U1072">
        <v>80</v>
      </c>
      <c r="V1072" s="2">
        <v>5</v>
      </c>
      <c r="W1072">
        <v>5</v>
      </c>
      <c r="X1072">
        <v>3</v>
      </c>
      <c r="Y1072">
        <v>4</v>
      </c>
      <c r="Z1072">
        <v>2</v>
      </c>
      <c r="AA1072">
        <v>1</v>
      </c>
      <c r="AB1072">
        <v>3</v>
      </c>
    </row>
    <row r="1073" spans="1:28" x14ac:dyDescent="0.35">
      <c r="A1073" s="2">
        <v>49</v>
      </c>
      <c r="B1073" s="2" t="str" cm="1">
        <f t="array" ref="B1073">_xlfn.IFS(HR_table[[#This Row],[Age]]&lt;=20, "Under 20yrs",HR_table[[#This Row],[Age]]&lt;=30,"(21-30)yrs",HR_table[[#This Row],[Age]]&lt;=40,"(31-40)yrs",HR_table[[#This Row],[Age]]&lt;=50,"(41-50)yrs",HR_table[[#This Row],[Age]]&lt;=60,"(51-60)yrs")</f>
        <v>(41-50)yrs</v>
      </c>
      <c r="C1073" t="s">
        <v>43</v>
      </c>
      <c r="D1073" t="s">
        <v>36</v>
      </c>
      <c r="E1073" t="s">
        <v>45</v>
      </c>
      <c r="F1073" t="s">
        <v>51</v>
      </c>
      <c r="G1073" t="s">
        <v>50</v>
      </c>
      <c r="H1073">
        <v>1509</v>
      </c>
      <c r="I1073" s="2">
        <v>3</v>
      </c>
      <c r="J1073" s="2">
        <v>3</v>
      </c>
      <c r="K1073" t="s">
        <v>39</v>
      </c>
      <c r="L1073" s="2">
        <v>2</v>
      </c>
      <c r="M1073" s="2">
        <v>1</v>
      </c>
      <c r="N1073" t="s">
        <v>48</v>
      </c>
      <c r="O1073" s="2">
        <v>4789</v>
      </c>
      <c r="P1073" s="2">
        <v>23070</v>
      </c>
      <c r="Q1073" s="2">
        <v>4</v>
      </c>
      <c r="R1073" t="s">
        <v>43</v>
      </c>
      <c r="S1073" s="2">
        <v>4</v>
      </c>
      <c r="T1073" s="2">
        <v>1</v>
      </c>
      <c r="U1073">
        <v>80</v>
      </c>
      <c r="V1073" s="2">
        <v>10</v>
      </c>
      <c r="W1073">
        <v>3</v>
      </c>
      <c r="X1073">
        <v>3</v>
      </c>
      <c r="Y1073">
        <v>3</v>
      </c>
      <c r="Z1073">
        <v>2</v>
      </c>
      <c r="AA1073">
        <v>1</v>
      </c>
      <c r="AB1073">
        <v>2</v>
      </c>
    </row>
    <row r="1074" spans="1:28" x14ac:dyDescent="0.35">
      <c r="A1074" s="2">
        <v>29</v>
      </c>
      <c r="B1074" s="2" t="str" cm="1">
        <f t="array" ref="B1074">_xlfn.IFS(HR_table[[#This Row],[Age]]&lt;=20, "Under 20yrs",HR_table[[#This Row],[Age]]&lt;=30,"(21-30)yrs",HR_table[[#This Row],[Age]]&lt;=40,"(31-40)yrs",HR_table[[#This Row],[Age]]&lt;=50,"(41-50)yrs",HR_table[[#This Row],[Age]]&lt;=60,"(51-60)yrs")</f>
        <v>(21-30)yrs</v>
      </c>
      <c r="C1074" t="s">
        <v>43</v>
      </c>
      <c r="D1074" t="s">
        <v>44</v>
      </c>
      <c r="E1074" t="s">
        <v>45</v>
      </c>
      <c r="F1074" t="s">
        <v>38</v>
      </c>
      <c r="G1074" t="s">
        <v>50</v>
      </c>
      <c r="H1074">
        <v>1513</v>
      </c>
      <c r="I1074" s="2">
        <v>2</v>
      </c>
      <c r="J1074" s="2">
        <v>4</v>
      </c>
      <c r="K1074" t="s">
        <v>39</v>
      </c>
      <c r="L1074" s="2">
        <v>1</v>
      </c>
      <c r="M1074" s="2">
        <v>2</v>
      </c>
      <c r="N1074" t="s">
        <v>48</v>
      </c>
      <c r="O1074" s="2">
        <v>3180</v>
      </c>
      <c r="P1074" s="2">
        <v>4668</v>
      </c>
      <c r="Q1074" s="2">
        <v>0</v>
      </c>
      <c r="R1074" t="s">
        <v>43</v>
      </c>
      <c r="S1074" s="2">
        <v>3</v>
      </c>
      <c r="T1074" s="2">
        <v>3</v>
      </c>
      <c r="U1074">
        <v>80</v>
      </c>
      <c r="V1074" s="2">
        <v>4</v>
      </c>
      <c r="W1074">
        <v>3</v>
      </c>
      <c r="X1074">
        <v>3</v>
      </c>
      <c r="Y1074">
        <v>3</v>
      </c>
      <c r="Z1074">
        <v>2</v>
      </c>
      <c r="AA1074">
        <v>0</v>
      </c>
      <c r="AB1074">
        <v>2</v>
      </c>
    </row>
    <row r="1075" spans="1:28" x14ac:dyDescent="0.35">
      <c r="A1075" s="2">
        <v>28</v>
      </c>
      <c r="B1075" s="2" t="str" cm="1">
        <f t="array" ref="B1075">_xlfn.IFS(HR_table[[#This Row],[Age]]&lt;=20, "Under 20yrs",HR_table[[#This Row],[Age]]&lt;=30,"(21-30)yrs",HR_table[[#This Row],[Age]]&lt;=40,"(31-40)yrs",HR_table[[#This Row],[Age]]&lt;=50,"(41-50)yrs",HR_table[[#This Row],[Age]]&lt;=60,"(51-60)yrs")</f>
        <v>(21-30)yrs</v>
      </c>
      <c r="C1075" t="s">
        <v>43</v>
      </c>
      <c r="D1075" t="s">
        <v>36</v>
      </c>
      <c r="E1075" t="s">
        <v>45</v>
      </c>
      <c r="F1075" t="s">
        <v>38</v>
      </c>
      <c r="G1075" t="s">
        <v>53</v>
      </c>
      <c r="H1075">
        <v>1514</v>
      </c>
      <c r="I1075" s="2">
        <v>29</v>
      </c>
      <c r="J1075" s="2">
        <v>3</v>
      </c>
      <c r="K1075" t="s">
        <v>46</v>
      </c>
      <c r="L1075" s="2">
        <v>2</v>
      </c>
      <c r="M1075" s="2">
        <v>2</v>
      </c>
      <c r="N1075" t="s">
        <v>48</v>
      </c>
      <c r="O1075" s="2">
        <v>6549</v>
      </c>
      <c r="P1075" s="2">
        <v>3173</v>
      </c>
      <c r="Q1075" s="2">
        <v>1</v>
      </c>
      <c r="R1075" t="s">
        <v>43</v>
      </c>
      <c r="S1075" s="2">
        <v>3</v>
      </c>
      <c r="T1075" s="2">
        <v>2</v>
      </c>
      <c r="U1075">
        <v>80</v>
      </c>
      <c r="V1075" s="2">
        <v>8</v>
      </c>
      <c r="W1075">
        <v>2</v>
      </c>
      <c r="X1075">
        <v>2</v>
      </c>
      <c r="Y1075">
        <v>8</v>
      </c>
      <c r="Z1075">
        <v>6</v>
      </c>
      <c r="AA1075">
        <v>1</v>
      </c>
      <c r="AB1075">
        <v>7</v>
      </c>
    </row>
    <row r="1076" spans="1:28" x14ac:dyDescent="0.35">
      <c r="A1076" s="2">
        <v>33</v>
      </c>
      <c r="B1076" s="2" t="str" cm="1">
        <f t="array" ref="B1076">_xlfn.IFS(HR_table[[#This Row],[Age]]&lt;=20, "Under 20yrs",HR_table[[#This Row],[Age]]&lt;=30,"(21-30)yrs",HR_table[[#This Row],[Age]]&lt;=40,"(31-40)yrs",HR_table[[#This Row],[Age]]&lt;=50,"(41-50)yrs",HR_table[[#This Row],[Age]]&lt;=60,"(51-60)yrs")</f>
        <v>(31-40)yrs</v>
      </c>
      <c r="C1076" t="s">
        <v>43</v>
      </c>
      <c r="D1076" t="s">
        <v>36</v>
      </c>
      <c r="E1076" t="s">
        <v>45</v>
      </c>
      <c r="F1076" t="s">
        <v>38</v>
      </c>
      <c r="G1076" t="s">
        <v>54</v>
      </c>
      <c r="H1076">
        <v>1515</v>
      </c>
      <c r="I1076" s="2">
        <v>8</v>
      </c>
      <c r="J1076" s="2">
        <v>4</v>
      </c>
      <c r="K1076" t="s">
        <v>46</v>
      </c>
      <c r="L1076" s="2">
        <v>2</v>
      </c>
      <c r="M1076" s="2">
        <v>3</v>
      </c>
      <c r="N1076" t="s">
        <v>41</v>
      </c>
      <c r="O1076" s="2">
        <v>6388</v>
      </c>
      <c r="P1076" s="2">
        <v>22049</v>
      </c>
      <c r="Q1076" s="2">
        <v>2</v>
      </c>
      <c r="R1076" t="s">
        <v>35</v>
      </c>
      <c r="S1076" s="2">
        <v>3</v>
      </c>
      <c r="T1076" s="2">
        <v>1</v>
      </c>
      <c r="U1076">
        <v>80</v>
      </c>
      <c r="V1076" s="2">
        <v>14</v>
      </c>
      <c r="W1076">
        <v>6</v>
      </c>
      <c r="X1076">
        <v>3</v>
      </c>
      <c r="Y1076">
        <v>0</v>
      </c>
      <c r="Z1076">
        <v>0</v>
      </c>
      <c r="AA1076">
        <v>0</v>
      </c>
      <c r="AB1076">
        <v>0</v>
      </c>
    </row>
    <row r="1077" spans="1:28" x14ac:dyDescent="0.35">
      <c r="A1077" s="2">
        <v>32</v>
      </c>
      <c r="B1077" s="2" t="str" cm="1">
        <f t="array" ref="B1077">_xlfn.IFS(HR_table[[#This Row],[Age]]&lt;=20, "Under 20yrs",HR_table[[#This Row],[Age]]&lt;=30,"(21-30)yrs",HR_table[[#This Row],[Age]]&lt;=40,"(31-40)yrs",HR_table[[#This Row],[Age]]&lt;=50,"(41-50)yrs",HR_table[[#This Row],[Age]]&lt;=60,"(51-60)yrs")</f>
        <v>(31-40)yrs</v>
      </c>
      <c r="C1077" t="s">
        <v>43</v>
      </c>
      <c r="D1077" t="s">
        <v>36</v>
      </c>
      <c r="E1077" t="s">
        <v>45</v>
      </c>
      <c r="F1077" t="s">
        <v>51</v>
      </c>
      <c r="G1077" t="s">
        <v>56</v>
      </c>
      <c r="H1077">
        <v>1516</v>
      </c>
      <c r="I1077" s="2">
        <v>10</v>
      </c>
      <c r="J1077" s="2">
        <v>3</v>
      </c>
      <c r="K1077" t="s">
        <v>46</v>
      </c>
      <c r="L1077" s="2">
        <v>3</v>
      </c>
      <c r="M1077" s="2">
        <v>4</v>
      </c>
      <c r="N1077" t="s">
        <v>41</v>
      </c>
      <c r="O1077" s="2">
        <v>11244</v>
      </c>
      <c r="P1077" s="2">
        <v>21072</v>
      </c>
      <c r="Q1077" s="2">
        <v>2</v>
      </c>
      <c r="R1077" t="s">
        <v>43</v>
      </c>
      <c r="S1077" s="2">
        <v>4</v>
      </c>
      <c r="T1077" s="2">
        <v>2</v>
      </c>
      <c r="U1077">
        <v>80</v>
      </c>
      <c r="V1077" s="2">
        <v>10</v>
      </c>
      <c r="W1077">
        <v>5</v>
      </c>
      <c r="X1077">
        <v>4</v>
      </c>
      <c r="Y1077">
        <v>5</v>
      </c>
      <c r="Z1077">
        <v>2</v>
      </c>
      <c r="AA1077">
        <v>0</v>
      </c>
      <c r="AB1077">
        <v>0</v>
      </c>
    </row>
    <row r="1078" spans="1:28" x14ac:dyDescent="0.35">
      <c r="A1078" s="2">
        <v>54</v>
      </c>
      <c r="B1078" s="2" t="str" cm="1">
        <f t="array" ref="B1078">_xlfn.IFS(HR_table[[#This Row],[Age]]&lt;=20, "Under 20yrs",HR_table[[#This Row],[Age]]&lt;=30,"(21-30)yrs",HR_table[[#This Row],[Age]]&lt;=40,"(31-40)yrs",HR_table[[#This Row],[Age]]&lt;=50,"(41-50)yrs",HR_table[[#This Row],[Age]]&lt;=60,"(51-60)yrs")</f>
        <v>(51-60)yrs</v>
      </c>
      <c r="C1078" t="s">
        <v>43</v>
      </c>
      <c r="D1078" t="s">
        <v>44</v>
      </c>
      <c r="E1078" t="s">
        <v>45</v>
      </c>
      <c r="F1078" t="s">
        <v>51</v>
      </c>
      <c r="G1078" t="s">
        <v>56</v>
      </c>
      <c r="H1078">
        <v>1520</v>
      </c>
      <c r="I1078" s="2">
        <v>11</v>
      </c>
      <c r="J1078" s="2">
        <v>2</v>
      </c>
      <c r="K1078" t="s">
        <v>39</v>
      </c>
      <c r="L1078" s="2">
        <v>4</v>
      </c>
      <c r="M1078" s="2">
        <v>4</v>
      </c>
      <c r="N1078" t="s">
        <v>52</v>
      </c>
      <c r="O1078" s="2">
        <v>16032</v>
      </c>
      <c r="P1078" s="2">
        <v>24456</v>
      </c>
      <c r="Q1078" s="2">
        <v>3</v>
      </c>
      <c r="R1078" t="s">
        <v>43</v>
      </c>
      <c r="S1078" s="2">
        <v>4</v>
      </c>
      <c r="T1078" s="2">
        <v>1</v>
      </c>
      <c r="U1078">
        <v>80</v>
      </c>
      <c r="V1078" s="2">
        <v>26</v>
      </c>
      <c r="W1078">
        <v>2</v>
      </c>
      <c r="X1078">
        <v>3</v>
      </c>
      <c r="Y1078">
        <v>14</v>
      </c>
      <c r="Z1078">
        <v>9</v>
      </c>
      <c r="AA1078">
        <v>1</v>
      </c>
      <c r="AB1078">
        <v>12</v>
      </c>
    </row>
    <row r="1079" spans="1:28" x14ac:dyDescent="0.35">
      <c r="A1079" s="2">
        <v>29</v>
      </c>
      <c r="B1079" s="2" t="str" cm="1">
        <f t="array" ref="B1079">_xlfn.IFS(HR_table[[#This Row],[Age]]&lt;=20, "Under 20yrs",HR_table[[#This Row],[Age]]&lt;=30,"(21-30)yrs",HR_table[[#This Row],[Age]]&lt;=40,"(31-40)yrs",HR_table[[#This Row],[Age]]&lt;=50,"(41-50)yrs",HR_table[[#This Row],[Age]]&lt;=60,"(51-60)yrs")</f>
        <v>(21-30)yrs</v>
      </c>
      <c r="C1079" t="s">
        <v>35</v>
      </c>
      <c r="D1079" t="s">
        <v>36</v>
      </c>
      <c r="E1079" t="s">
        <v>45</v>
      </c>
      <c r="F1079" t="s">
        <v>60</v>
      </c>
      <c r="G1079" t="s">
        <v>47</v>
      </c>
      <c r="H1079">
        <v>1522</v>
      </c>
      <c r="I1079" s="2">
        <v>1</v>
      </c>
      <c r="J1079" s="2">
        <v>1</v>
      </c>
      <c r="K1079" t="s">
        <v>46</v>
      </c>
      <c r="L1079" s="2">
        <v>1</v>
      </c>
      <c r="M1079" s="2">
        <v>1</v>
      </c>
      <c r="N1079" t="s">
        <v>41</v>
      </c>
      <c r="O1079" s="2">
        <v>2362</v>
      </c>
      <c r="P1079" s="2">
        <v>7568</v>
      </c>
      <c r="Q1079" s="2">
        <v>6</v>
      </c>
      <c r="R1079" t="s">
        <v>43</v>
      </c>
      <c r="S1079" s="2">
        <v>3</v>
      </c>
      <c r="T1079" s="2">
        <v>3</v>
      </c>
      <c r="U1079">
        <v>80</v>
      </c>
      <c r="V1079" s="2">
        <v>11</v>
      </c>
      <c r="W1079">
        <v>2</v>
      </c>
      <c r="X1079">
        <v>1</v>
      </c>
      <c r="Y1079">
        <v>9</v>
      </c>
      <c r="Z1079">
        <v>7</v>
      </c>
      <c r="AA1079">
        <v>0</v>
      </c>
      <c r="AB1079">
        <v>7</v>
      </c>
    </row>
    <row r="1080" spans="1:28" x14ac:dyDescent="0.35">
      <c r="A1080" s="2">
        <v>44</v>
      </c>
      <c r="B1080" s="2" t="str" cm="1">
        <f t="array" ref="B1080">_xlfn.IFS(HR_table[[#This Row],[Age]]&lt;=20, "Under 20yrs",HR_table[[#This Row],[Age]]&lt;=30,"(21-30)yrs",HR_table[[#This Row],[Age]]&lt;=40,"(31-40)yrs",HR_table[[#This Row],[Age]]&lt;=50,"(41-50)yrs",HR_table[[#This Row],[Age]]&lt;=60,"(51-60)yrs")</f>
        <v>(41-50)yrs</v>
      </c>
      <c r="C1080" t="s">
        <v>43</v>
      </c>
      <c r="D1080" t="s">
        <v>36</v>
      </c>
      <c r="E1080" t="s">
        <v>45</v>
      </c>
      <c r="F1080" t="s">
        <v>38</v>
      </c>
      <c r="G1080" t="s">
        <v>58</v>
      </c>
      <c r="H1080">
        <v>1523</v>
      </c>
      <c r="I1080" s="2">
        <v>28</v>
      </c>
      <c r="J1080" s="2">
        <v>4</v>
      </c>
      <c r="K1080" t="s">
        <v>46</v>
      </c>
      <c r="L1080" s="2">
        <v>4</v>
      </c>
      <c r="M1080" s="2">
        <v>1</v>
      </c>
      <c r="N1080" t="s">
        <v>48</v>
      </c>
      <c r="O1080" s="2">
        <v>16328</v>
      </c>
      <c r="P1080" s="2">
        <v>22074</v>
      </c>
      <c r="Q1080" s="2">
        <v>3</v>
      </c>
      <c r="R1080" t="s">
        <v>43</v>
      </c>
      <c r="S1080" s="2">
        <v>3</v>
      </c>
      <c r="T1080" s="2">
        <v>3</v>
      </c>
      <c r="U1080">
        <v>80</v>
      </c>
      <c r="V1080" s="2">
        <v>24</v>
      </c>
      <c r="W1080">
        <v>1</v>
      </c>
      <c r="X1080">
        <v>4</v>
      </c>
      <c r="Y1080">
        <v>20</v>
      </c>
      <c r="Z1080">
        <v>6</v>
      </c>
      <c r="AA1080">
        <v>14</v>
      </c>
      <c r="AB1080">
        <v>17</v>
      </c>
    </row>
    <row r="1081" spans="1:28" x14ac:dyDescent="0.35">
      <c r="A1081" s="2">
        <v>39</v>
      </c>
      <c r="B1081" s="2" t="str" cm="1">
        <f t="array" ref="B1081">_xlfn.IFS(HR_table[[#This Row],[Age]]&lt;=20, "Under 20yrs",HR_table[[#This Row],[Age]]&lt;=30,"(21-30)yrs",HR_table[[#This Row],[Age]]&lt;=40,"(31-40)yrs",HR_table[[#This Row],[Age]]&lt;=50,"(41-50)yrs",HR_table[[#This Row],[Age]]&lt;=60,"(51-60)yrs")</f>
        <v>(31-40)yrs</v>
      </c>
      <c r="C1081" t="s">
        <v>43</v>
      </c>
      <c r="D1081" t="s">
        <v>36</v>
      </c>
      <c r="E1081" t="s">
        <v>45</v>
      </c>
      <c r="F1081" t="s">
        <v>38</v>
      </c>
      <c r="G1081" t="s">
        <v>53</v>
      </c>
      <c r="H1081">
        <v>1525</v>
      </c>
      <c r="I1081" s="2">
        <v>6</v>
      </c>
      <c r="J1081" s="2">
        <v>2</v>
      </c>
      <c r="K1081" t="s">
        <v>39</v>
      </c>
      <c r="L1081" s="2">
        <v>3</v>
      </c>
      <c r="M1081" s="2">
        <v>2</v>
      </c>
      <c r="N1081" t="s">
        <v>41</v>
      </c>
      <c r="O1081" s="2">
        <v>8376</v>
      </c>
      <c r="P1081" s="2">
        <v>9150</v>
      </c>
      <c r="Q1081" s="2">
        <v>4</v>
      </c>
      <c r="R1081" t="s">
        <v>43</v>
      </c>
      <c r="S1081" s="2">
        <v>3</v>
      </c>
      <c r="T1081" s="2">
        <v>4</v>
      </c>
      <c r="U1081">
        <v>80</v>
      </c>
      <c r="V1081" s="2">
        <v>9</v>
      </c>
      <c r="W1081">
        <v>3</v>
      </c>
      <c r="X1081">
        <v>3</v>
      </c>
      <c r="Y1081">
        <v>2</v>
      </c>
      <c r="Z1081">
        <v>0</v>
      </c>
      <c r="AA1081">
        <v>2</v>
      </c>
      <c r="AB1081">
        <v>2</v>
      </c>
    </row>
    <row r="1082" spans="1:28" x14ac:dyDescent="0.35">
      <c r="A1082" s="2">
        <v>46</v>
      </c>
      <c r="B1082" s="2" t="str" cm="1">
        <f t="array" ref="B1082">_xlfn.IFS(HR_table[[#This Row],[Age]]&lt;=20, "Under 20yrs",HR_table[[#This Row],[Age]]&lt;=30,"(21-30)yrs",HR_table[[#This Row],[Age]]&lt;=40,"(31-40)yrs",HR_table[[#This Row],[Age]]&lt;=50,"(41-50)yrs",HR_table[[#This Row],[Age]]&lt;=60,"(51-60)yrs")</f>
        <v>(41-50)yrs</v>
      </c>
      <c r="C1082" t="s">
        <v>43</v>
      </c>
      <c r="D1082" t="s">
        <v>36</v>
      </c>
      <c r="E1082" t="s">
        <v>37</v>
      </c>
      <c r="F1082" t="s">
        <v>38</v>
      </c>
      <c r="G1082" t="s">
        <v>56</v>
      </c>
      <c r="H1082">
        <v>1527</v>
      </c>
      <c r="I1082" s="2">
        <v>3</v>
      </c>
      <c r="J1082" s="2">
        <v>3</v>
      </c>
      <c r="K1082" t="s">
        <v>39</v>
      </c>
      <c r="L1082" s="2">
        <v>4</v>
      </c>
      <c r="M1082" s="2">
        <v>2</v>
      </c>
      <c r="N1082" t="s">
        <v>48</v>
      </c>
      <c r="O1082" s="2">
        <v>16606</v>
      </c>
      <c r="P1082" s="2">
        <v>11380</v>
      </c>
      <c r="Q1082" s="2">
        <v>8</v>
      </c>
      <c r="R1082" t="s">
        <v>43</v>
      </c>
      <c r="S1082" s="2">
        <v>3</v>
      </c>
      <c r="T1082" s="2">
        <v>4</v>
      </c>
      <c r="U1082">
        <v>80</v>
      </c>
      <c r="V1082" s="2">
        <v>23</v>
      </c>
      <c r="W1082">
        <v>2</v>
      </c>
      <c r="X1082">
        <v>4</v>
      </c>
      <c r="Y1082">
        <v>13</v>
      </c>
      <c r="Z1082">
        <v>12</v>
      </c>
      <c r="AA1082">
        <v>5</v>
      </c>
      <c r="AB1082">
        <v>1</v>
      </c>
    </row>
    <row r="1083" spans="1:28" x14ac:dyDescent="0.35">
      <c r="A1083" s="2">
        <v>35</v>
      </c>
      <c r="B1083" s="2" t="str" cm="1">
        <f t="array" ref="B1083">_xlfn.IFS(HR_table[[#This Row],[Age]]&lt;=20, "Under 20yrs",HR_table[[#This Row],[Age]]&lt;=30,"(21-30)yrs",HR_table[[#This Row],[Age]]&lt;=40,"(31-40)yrs",HR_table[[#This Row],[Age]]&lt;=50,"(41-50)yrs",HR_table[[#This Row],[Age]]&lt;=60,"(51-60)yrs")</f>
        <v>(31-40)yrs</v>
      </c>
      <c r="C1083" t="s">
        <v>43</v>
      </c>
      <c r="D1083" t="s">
        <v>36</v>
      </c>
      <c r="E1083" t="s">
        <v>45</v>
      </c>
      <c r="F1083" t="s">
        <v>38</v>
      </c>
      <c r="G1083" t="s">
        <v>54</v>
      </c>
      <c r="H1083">
        <v>1529</v>
      </c>
      <c r="I1083" s="2">
        <v>16</v>
      </c>
      <c r="J1083" s="2">
        <v>4</v>
      </c>
      <c r="K1083" t="s">
        <v>39</v>
      </c>
      <c r="L1083" s="2">
        <v>3</v>
      </c>
      <c r="M1083" s="2">
        <v>2</v>
      </c>
      <c r="N1083" t="s">
        <v>41</v>
      </c>
      <c r="O1083" s="2">
        <v>8606</v>
      </c>
      <c r="P1083" s="2">
        <v>21195</v>
      </c>
      <c r="Q1083" s="2">
        <v>1</v>
      </c>
      <c r="R1083" t="s">
        <v>43</v>
      </c>
      <c r="S1083" s="2">
        <v>3</v>
      </c>
      <c r="T1083" s="2">
        <v>4</v>
      </c>
      <c r="U1083">
        <v>80</v>
      </c>
      <c r="V1083" s="2">
        <v>11</v>
      </c>
      <c r="W1083">
        <v>3</v>
      </c>
      <c r="X1083">
        <v>1</v>
      </c>
      <c r="Y1083">
        <v>11</v>
      </c>
      <c r="Z1083">
        <v>8</v>
      </c>
      <c r="AA1083">
        <v>3</v>
      </c>
      <c r="AB1083">
        <v>3</v>
      </c>
    </row>
    <row r="1084" spans="1:28" x14ac:dyDescent="0.35">
      <c r="A1084" s="2">
        <v>23</v>
      </c>
      <c r="B1084" s="2" t="str" cm="1">
        <f t="array" ref="B1084">_xlfn.IFS(HR_table[[#This Row],[Age]]&lt;=20, "Under 20yrs",HR_table[[#This Row],[Age]]&lt;=30,"(21-30)yrs",HR_table[[#This Row],[Age]]&lt;=40,"(31-40)yrs",HR_table[[#This Row],[Age]]&lt;=50,"(41-50)yrs",HR_table[[#This Row],[Age]]&lt;=60,"(51-60)yrs")</f>
        <v>(21-30)yrs</v>
      </c>
      <c r="C1084" t="s">
        <v>43</v>
      </c>
      <c r="D1084" t="s">
        <v>36</v>
      </c>
      <c r="E1084" t="s">
        <v>45</v>
      </c>
      <c r="F1084" t="s">
        <v>38</v>
      </c>
      <c r="G1084" t="s">
        <v>50</v>
      </c>
      <c r="H1084">
        <v>1533</v>
      </c>
      <c r="I1084" s="2">
        <v>20</v>
      </c>
      <c r="J1084" s="2">
        <v>1</v>
      </c>
      <c r="K1084" t="s">
        <v>46</v>
      </c>
      <c r="L1084" s="2">
        <v>2</v>
      </c>
      <c r="M1084" s="2">
        <v>3</v>
      </c>
      <c r="N1084" t="s">
        <v>41</v>
      </c>
      <c r="O1084" s="2">
        <v>2272</v>
      </c>
      <c r="P1084" s="2">
        <v>24812</v>
      </c>
      <c r="Q1084" s="2">
        <v>0</v>
      </c>
      <c r="R1084" t="s">
        <v>43</v>
      </c>
      <c r="S1084" s="2">
        <v>3</v>
      </c>
      <c r="T1084" s="2">
        <v>2</v>
      </c>
      <c r="U1084">
        <v>80</v>
      </c>
      <c r="V1084" s="2">
        <v>5</v>
      </c>
      <c r="W1084">
        <v>2</v>
      </c>
      <c r="X1084">
        <v>3</v>
      </c>
      <c r="Y1084">
        <v>4</v>
      </c>
      <c r="Z1084">
        <v>3</v>
      </c>
      <c r="AA1084">
        <v>1</v>
      </c>
      <c r="AB1084">
        <v>2</v>
      </c>
    </row>
    <row r="1085" spans="1:28" x14ac:dyDescent="0.35">
      <c r="A1085" s="2">
        <v>40</v>
      </c>
      <c r="B1085" s="2" t="str" cm="1">
        <f t="array" ref="B1085">_xlfn.IFS(HR_table[[#This Row],[Age]]&lt;=20, "Under 20yrs",HR_table[[#This Row],[Age]]&lt;=30,"(21-30)yrs",HR_table[[#This Row],[Age]]&lt;=40,"(31-40)yrs",HR_table[[#This Row],[Age]]&lt;=50,"(41-50)yrs",HR_table[[#This Row],[Age]]&lt;=60,"(51-60)yrs")</f>
        <v>(31-40)yrs</v>
      </c>
      <c r="C1085" t="s">
        <v>35</v>
      </c>
      <c r="D1085" t="s">
        <v>36</v>
      </c>
      <c r="E1085" t="s">
        <v>45</v>
      </c>
      <c r="F1085" t="s">
        <v>38</v>
      </c>
      <c r="G1085" t="s">
        <v>50</v>
      </c>
      <c r="H1085">
        <v>1534</v>
      </c>
      <c r="I1085" s="2">
        <v>9</v>
      </c>
      <c r="J1085" s="2">
        <v>4</v>
      </c>
      <c r="K1085" t="s">
        <v>46</v>
      </c>
      <c r="L1085" s="2">
        <v>1</v>
      </c>
      <c r="M1085" s="2">
        <v>1</v>
      </c>
      <c r="N1085" t="s">
        <v>41</v>
      </c>
      <c r="O1085" s="2">
        <v>2018</v>
      </c>
      <c r="P1085" s="2">
        <v>21831</v>
      </c>
      <c r="Q1085" s="2">
        <v>3</v>
      </c>
      <c r="R1085" t="s">
        <v>43</v>
      </c>
      <c r="S1085" s="2">
        <v>3</v>
      </c>
      <c r="T1085" s="2">
        <v>2</v>
      </c>
      <c r="U1085">
        <v>80</v>
      </c>
      <c r="V1085" s="2">
        <v>15</v>
      </c>
      <c r="W1085">
        <v>3</v>
      </c>
      <c r="X1085">
        <v>1</v>
      </c>
      <c r="Y1085">
        <v>5</v>
      </c>
      <c r="Z1085">
        <v>4</v>
      </c>
      <c r="AA1085">
        <v>1</v>
      </c>
      <c r="AB1085">
        <v>0</v>
      </c>
    </row>
    <row r="1086" spans="1:28" x14ac:dyDescent="0.35">
      <c r="A1086" s="2">
        <v>34</v>
      </c>
      <c r="B1086" s="2" t="str" cm="1">
        <f t="array" ref="B1086">_xlfn.IFS(HR_table[[#This Row],[Age]]&lt;=20, "Under 20yrs",HR_table[[#This Row],[Age]]&lt;=30,"(21-30)yrs",HR_table[[#This Row],[Age]]&lt;=40,"(31-40)yrs",HR_table[[#This Row],[Age]]&lt;=50,"(41-50)yrs",HR_table[[#This Row],[Age]]&lt;=60,"(51-60)yrs")</f>
        <v>(31-40)yrs</v>
      </c>
      <c r="C1086" t="s">
        <v>43</v>
      </c>
      <c r="D1086" t="s">
        <v>36</v>
      </c>
      <c r="E1086" t="s">
        <v>37</v>
      </c>
      <c r="F1086" t="s">
        <v>60</v>
      </c>
      <c r="G1086" t="s">
        <v>40</v>
      </c>
      <c r="H1086">
        <v>1535</v>
      </c>
      <c r="I1086" s="2">
        <v>1</v>
      </c>
      <c r="J1086" s="2">
        <v>4</v>
      </c>
      <c r="K1086" t="s">
        <v>46</v>
      </c>
      <c r="L1086" s="2">
        <v>3</v>
      </c>
      <c r="M1086" s="2">
        <v>3</v>
      </c>
      <c r="N1086" t="s">
        <v>48</v>
      </c>
      <c r="O1086" s="2">
        <v>7083</v>
      </c>
      <c r="P1086" s="2">
        <v>12288</v>
      </c>
      <c r="Q1086" s="2">
        <v>1</v>
      </c>
      <c r="R1086" t="s">
        <v>35</v>
      </c>
      <c r="S1086" s="2">
        <v>3</v>
      </c>
      <c r="T1086" s="2">
        <v>4</v>
      </c>
      <c r="U1086">
        <v>80</v>
      </c>
      <c r="V1086" s="2">
        <v>10</v>
      </c>
      <c r="W1086">
        <v>3</v>
      </c>
      <c r="X1086">
        <v>3</v>
      </c>
      <c r="Y1086">
        <v>10</v>
      </c>
      <c r="Z1086">
        <v>9</v>
      </c>
      <c r="AA1086">
        <v>8</v>
      </c>
      <c r="AB1086">
        <v>6</v>
      </c>
    </row>
    <row r="1087" spans="1:28" x14ac:dyDescent="0.35">
      <c r="A1087" s="2">
        <v>31</v>
      </c>
      <c r="B1087" s="2" t="str" cm="1">
        <f t="array" ref="B1087">_xlfn.IFS(HR_table[[#This Row],[Age]]&lt;=20, "Under 20yrs",HR_table[[#This Row],[Age]]&lt;=30,"(21-30)yrs",HR_table[[#This Row],[Age]]&lt;=40,"(31-40)yrs",HR_table[[#This Row],[Age]]&lt;=50,"(41-50)yrs",HR_table[[#This Row],[Age]]&lt;=60,"(51-60)yrs")</f>
        <v>(31-40)yrs</v>
      </c>
      <c r="C1087" t="s">
        <v>35</v>
      </c>
      <c r="D1087" t="s">
        <v>44</v>
      </c>
      <c r="E1087" t="s">
        <v>45</v>
      </c>
      <c r="F1087" t="s">
        <v>38</v>
      </c>
      <c r="G1087" t="s">
        <v>47</v>
      </c>
      <c r="H1087">
        <v>1537</v>
      </c>
      <c r="I1087" s="2">
        <v>3</v>
      </c>
      <c r="J1087" s="2">
        <v>4</v>
      </c>
      <c r="K1087" t="s">
        <v>39</v>
      </c>
      <c r="L1087" s="2">
        <v>1</v>
      </c>
      <c r="M1087" s="2">
        <v>3</v>
      </c>
      <c r="N1087" t="s">
        <v>41</v>
      </c>
      <c r="O1087" s="2">
        <v>4084</v>
      </c>
      <c r="P1087" s="2">
        <v>4156</v>
      </c>
      <c r="Q1087" s="2">
        <v>1</v>
      </c>
      <c r="R1087" t="s">
        <v>43</v>
      </c>
      <c r="S1087" s="2">
        <v>3</v>
      </c>
      <c r="T1087" s="2">
        <v>1</v>
      </c>
      <c r="U1087">
        <v>80</v>
      </c>
      <c r="V1087" s="2">
        <v>7</v>
      </c>
      <c r="W1087">
        <v>2</v>
      </c>
      <c r="X1087">
        <v>1</v>
      </c>
      <c r="Y1087">
        <v>7</v>
      </c>
      <c r="Z1087">
        <v>2</v>
      </c>
      <c r="AA1087">
        <v>7</v>
      </c>
      <c r="AB1087">
        <v>7</v>
      </c>
    </row>
    <row r="1088" spans="1:28" x14ac:dyDescent="0.35">
      <c r="A1088" s="2">
        <v>50</v>
      </c>
      <c r="B1088" s="2" t="str" cm="1">
        <f t="array" ref="B1088">_xlfn.IFS(HR_table[[#This Row],[Age]]&lt;=20, "Under 20yrs",HR_table[[#This Row],[Age]]&lt;=30,"(21-30)yrs",HR_table[[#This Row],[Age]]&lt;=40,"(31-40)yrs",HR_table[[#This Row],[Age]]&lt;=50,"(41-50)yrs",HR_table[[#This Row],[Age]]&lt;=60,"(51-60)yrs")</f>
        <v>(41-50)yrs</v>
      </c>
      <c r="C1088" t="s">
        <v>43</v>
      </c>
      <c r="D1088" t="s">
        <v>44</v>
      </c>
      <c r="E1088" t="s">
        <v>45</v>
      </c>
      <c r="F1088" t="s">
        <v>51</v>
      </c>
      <c r="G1088" t="s">
        <v>58</v>
      </c>
      <c r="H1088">
        <v>1539</v>
      </c>
      <c r="I1088" s="2">
        <v>22</v>
      </c>
      <c r="J1088" s="2">
        <v>3</v>
      </c>
      <c r="K1088" t="s">
        <v>46</v>
      </c>
      <c r="L1088" s="2">
        <v>4</v>
      </c>
      <c r="M1088" s="2">
        <v>4</v>
      </c>
      <c r="N1088" t="s">
        <v>41</v>
      </c>
      <c r="O1088" s="2">
        <v>14411</v>
      </c>
      <c r="P1088" s="2">
        <v>24450</v>
      </c>
      <c r="Q1088" s="2">
        <v>1</v>
      </c>
      <c r="R1088" t="s">
        <v>35</v>
      </c>
      <c r="S1088" s="2">
        <v>3</v>
      </c>
      <c r="T1088" s="2">
        <v>4</v>
      </c>
      <c r="U1088">
        <v>80</v>
      </c>
      <c r="V1088" s="2">
        <v>32</v>
      </c>
      <c r="W1088">
        <v>2</v>
      </c>
      <c r="X1088">
        <v>3</v>
      </c>
      <c r="Y1088">
        <v>32</v>
      </c>
      <c r="Z1088">
        <v>6</v>
      </c>
      <c r="AA1088">
        <v>13</v>
      </c>
      <c r="AB1088">
        <v>9</v>
      </c>
    </row>
    <row r="1089" spans="1:28" x14ac:dyDescent="0.35">
      <c r="A1089" s="2">
        <v>34</v>
      </c>
      <c r="B1089" s="2" t="str" cm="1">
        <f t="array" ref="B1089">_xlfn.IFS(HR_table[[#This Row],[Age]]&lt;=20, "Under 20yrs",HR_table[[#This Row],[Age]]&lt;=30,"(21-30)yrs",HR_table[[#This Row],[Age]]&lt;=40,"(31-40)yrs",HR_table[[#This Row],[Age]]&lt;=50,"(41-50)yrs",HR_table[[#This Row],[Age]]&lt;=60,"(51-60)yrs")</f>
        <v>(31-40)yrs</v>
      </c>
      <c r="C1089" t="s">
        <v>43</v>
      </c>
      <c r="D1089" t="s">
        <v>36</v>
      </c>
      <c r="E1089" t="s">
        <v>37</v>
      </c>
      <c r="F1089" t="s">
        <v>60</v>
      </c>
      <c r="G1089" t="s">
        <v>57</v>
      </c>
      <c r="H1089">
        <v>1541</v>
      </c>
      <c r="I1089" s="2">
        <v>7</v>
      </c>
      <c r="J1089" s="2">
        <v>2</v>
      </c>
      <c r="K1089" t="s">
        <v>46</v>
      </c>
      <c r="L1089" s="2">
        <v>1</v>
      </c>
      <c r="M1089" s="2">
        <v>3</v>
      </c>
      <c r="N1089" t="s">
        <v>48</v>
      </c>
      <c r="O1089" s="2">
        <v>2308</v>
      </c>
      <c r="P1089" s="2">
        <v>4944</v>
      </c>
      <c r="Q1089" s="2">
        <v>0</v>
      </c>
      <c r="R1089" t="s">
        <v>35</v>
      </c>
      <c r="S1089" s="2">
        <v>4</v>
      </c>
      <c r="T1089" s="2">
        <v>2</v>
      </c>
      <c r="U1089">
        <v>80</v>
      </c>
      <c r="V1089" s="2">
        <v>12</v>
      </c>
      <c r="W1089">
        <v>4</v>
      </c>
      <c r="X1089">
        <v>3</v>
      </c>
      <c r="Y1089">
        <v>11</v>
      </c>
      <c r="Z1089">
        <v>10</v>
      </c>
      <c r="AA1089">
        <v>5</v>
      </c>
      <c r="AB1089">
        <v>7</v>
      </c>
    </row>
    <row r="1090" spans="1:28" x14ac:dyDescent="0.35">
      <c r="A1090" s="2">
        <v>42</v>
      </c>
      <c r="B1090" s="2" t="str" cm="1">
        <f t="array" ref="B1090">_xlfn.IFS(HR_table[[#This Row],[Age]]&lt;=20, "Under 20yrs",HR_table[[#This Row],[Age]]&lt;=30,"(21-30)yrs",HR_table[[#This Row],[Age]]&lt;=40,"(31-40)yrs",HR_table[[#This Row],[Age]]&lt;=50,"(41-50)yrs",HR_table[[#This Row],[Age]]&lt;=60,"(51-60)yrs")</f>
        <v>(41-50)yrs</v>
      </c>
      <c r="C1090" t="s">
        <v>43</v>
      </c>
      <c r="D1090" t="s">
        <v>36</v>
      </c>
      <c r="E1090" t="s">
        <v>45</v>
      </c>
      <c r="F1090" t="s">
        <v>51</v>
      </c>
      <c r="G1090" t="s">
        <v>50</v>
      </c>
      <c r="H1090">
        <v>1542</v>
      </c>
      <c r="I1090" s="2">
        <v>2</v>
      </c>
      <c r="J1090" s="2">
        <v>3</v>
      </c>
      <c r="K1090" t="s">
        <v>46</v>
      </c>
      <c r="L1090" s="2">
        <v>1</v>
      </c>
      <c r="M1090" s="2">
        <v>2</v>
      </c>
      <c r="N1090" t="s">
        <v>48</v>
      </c>
      <c r="O1090" s="2">
        <v>4841</v>
      </c>
      <c r="P1090" s="2">
        <v>24052</v>
      </c>
      <c r="Q1090" s="2">
        <v>4</v>
      </c>
      <c r="R1090" t="s">
        <v>43</v>
      </c>
      <c r="S1090" s="2">
        <v>3</v>
      </c>
      <c r="T1090" s="2">
        <v>2</v>
      </c>
      <c r="U1090">
        <v>80</v>
      </c>
      <c r="V1090" s="2">
        <v>4</v>
      </c>
      <c r="W1090">
        <v>3</v>
      </c>
      <c r="X1090">
        <v>3</v>
      </c>
      <c r="Y1090">
        <v>1</v>
      </c>
      <c r="Z1090">
        <v>0</v>
      </c>
      <c r="AA1090">
        <v>0</v>
      </c>
      <c r="AB1090">
        <v>0</v>
      </c>
    </row>
    <row r="1091" spans="1:28" x14ac:dyDescent="0.35">
      <c r="A1091" s="2">
        <v>37</v>
      </c>
      <c r="B1091" s="2" t="str" cm="1">
        <f t="array" ref="B1091">_xlfn.IFS(HR_table[[#This Row],[Age]]&lt;=20, "Under 20yrs",HR_table[[#This Row],[Age]]&lt;=30,"(21-30)yrs",HR_table[[#This Row],[Age]]&lt;=40,"(31-40)yrs",HR_table[[#This Row],[Age]]&lt;=50,"(41-50)yrs",HR_table[[#This Row],[Age]]&lt;=60,"(51-60)yrs")</f>
        <v>(31-40)yrs</v>
      </c>
      <c r="C1091" t="s">
        <v>43</v>
      </c>
      <c r="D1091" t="s">
        <v>36</v>
      </c>
      <c r="E1091" t="s">
        <v>45</v>
      </c>
      <c r="F1091" t="s">
        <v>51</v>
      </c>
      <c r="G1091" t="s">
        <v>47</v>
      </c>
      <c r="H1091">
        <v>1543</v>
      </c>
      <c r="I1091" s="2">
        <v>13</v>
      </c>
      <c r="J1091" s="2">
        <v>1</v>
      </c>
      <c r="K1091" t="s">
        <v>46</v>
      </c>
      <c r="L1091" s="2">
        <v>2</v>
      </c>
      <c r="M1091" s="2">
        <v>4</v>
      </c>
      <c r="N1091" t="s">
        <v>48</v>
      </c>
      <c r="O1091" s="2">
        <v>4285</v>
      </c>
      <c r="P1091" s="2">
        <v>3031</v>
      </c>
      <c r="Q1091" s="2">
        <v>1</v>
      </c>
      <c r="R1091" t="s">
        <v>43</v>
      </c>
      <c r="S1091" s="2">
        <v>3</v>
      </c>
      <c r="T1091" s="2">
        <v>1</v>
      </c>
      <c r="U1091">
        <v>80</v>
      </c>
      <c r="V1091" s="2">
        <v>10</v>
      </c>
      <c r="W1091">
        <v>2</v>
      </c>
      <c r="X1091">
        <v>3</v>
      </c>
      <c r="Y1091">
        <v>10</v>
      </c>
      <c r="Z1091">
        <v>8</v>
      </c>
      <c r="AA1091">
        <v>3</v>
      </c>
      <c r="AB1091">
        <v>7</v>
      </c>
    </row>
    <row r="1092" spans="1:28" x14ac:dyDescent="0.35">
      <c r="A1092" s="2">
        <v>29</v>
      </c>
      <c r="B1092" s="2" t="str" cm="1">
        <f t="array" ref="B1092">_xlfn.IFS(HR_table[[#This Row],[Age]]&lt;=20, "Under 20yrs",HR_table[[#This Row],[Age]]&lt;=30,"(21-30)yrs",HR_table[[#This Row],[Age]]&lt;=40,"(31-40)yrs",HR_table[[#This Row],[Age]]&lt;=50,"(41-50)yrs",HR_table[[#This Row],[Age]]&lt;=60,"(51-60)yrs")</f>
        <v>(21-30)yrs</v>
      </c>
      <c r="C1092" t="s">
        <v>43</v>
      </c>
      <c r="D1092" t="s">
        <v>36</v>
      </c>
      <c r="E1092" t="s">
        <v>45</v>
      </c>
      <c r="F1092" t="s">
        <v>49</v>
      </c>
      <c r="G1092" t="s">
        <v>54</v>
      </c>
      <c r="H1092">
        <v>1544</v>
      </c>
      <c r="I1092" s="2">
        <v>8</v>
      </c>
      <c r="J1092" s="2">
        <v>3</v>
      </c>
      <c r="K1092" t="s">
        <v>39</v>
      </c>
      <c r="L1092" s="2">
        <v>2</v>
      </c>
      <c r="M1092" s="2">
        <v>1</v>
      </c>
      <c r="N1092" t="s">
        <v>48</v>
      </c>
      <c r="O1092" s="2">
        <v>9715</v>
      </c>
      <c r="P1092" s="2">
        <v>7288</v>
      </c>
      <c r="Q1092" s="2">
        <v>3</v>
      </c>
      <c r="R1092" t="s">
        <v>43</v>
      </c>
      <c r="S1092" s="2">
        <v>3</v>
      </c>
      <c r="T1092" s="2">
        <v>3</v>
      </c>
      <c r="U1092">
        <v>80</v>
      </c>
      <c r="V1092" s="2">
        <v>9</v>
      </c>
      <c r="W1092">
        <v>3</v>
      </c>
      <c r="X1092">
        <v>3</v>
      </c>
      <c r="Y1092">
        <v>7</v>
      </c>
      <c r="Z1092">
        <v>7</v>
      </c>
      <c r="AA1092">
        <v>0</v>
      </c>
      <c r="AB1092">
        <v>7</v>
      </c>
    </row>
    <row r="1093" spans="1:28" x14ac:dyDescent="0.35">
      <c r="A1093" s="2">
        <v>33</v>
      </c>
      <c r="B1093" s="2" t="str" cm="1">
        <f t="array" ref="B1093">_xlfn.IFS(HR_table[[#This Row],[Age]]&lt;=20, "Under 20yrs",HR_table[[#This Row],[Age]]&lt;=30,"(21-30)yrs",HR_table[[#This Row],[Age]]&lt;=40,"(31-40)yrs",HR_table[[#This Row],[Age]]&lt;=50,"(41-50)yrs",HR_table[[#This Row],[Age]]&lt;=60,"(51-60)yrs")</f>
        <v>(31-40)yrs</v>
      </c>
      <c r="C1093" t="s">
        <v>43</v>
      </c>
      <c r="D1093" t="s">
        <v>36</v>
      </c>
      <c r="E1093" t="s">
        <v>45</v>
      </c>
      <c r="F1093" t="s">
        <v>38</v>
      </c>
      <c r="G1093" t="s">
        <v>53</v>
      </c>
      <c r="H1093">
        <v>1545</v>
      </c>
      <c r="I1093" s="2">
        <v>25</v>
      </c>
      <c r="J1093" s="2">
        <v>4</v>
      </c>
      <c r="K1093" t="s">
        <v>46</v>
      </c>
      <c r="L1093" s="2">
        <v>2</v>
      </c>
      <c r="M1093" s="2">
        <v>2</v>
      </c>
      <c r="N1093" t="s">
        <v>41</v>
      </c>
      <c r="O1093" s="2">
        <v>4320</v>
      </c>
      <c r="P1093" s="2">
        <v>24152</v>
      </c>
      <c r="Q1093" s="2">
        <v>1</v>
      </c>
      <c r="R1093" t="s">
        <v>43</v>
      </c>
      <c r="S1093" s="2">
        <v>3</v>
      </c>
      <c r="T1093" s="2">
        <v>4</v>
      </c>
      <c r="U1093">
        <v>80</v>
      </c>
      <c r="V1093" s="2">
        <v>5</v>
      </c>
      <c r="W1093">
        <v>2</v>
      </c>
      <c r="X1093">
        <v>3</v>
      </c>
      <c r="Y1093">
        <v>5</v>
      </c>
      <c r="Z1093">
        <v>3</v>
      </c>
      <c r="AA1093">
        <v>0</v>
      </c>
      <c r="AB1093">
        <v>2</v>
      </c>
    </row>
    <row r="1094" spans="1:28" x14ac:dyDescent="0.35">
      <c r="A1094" s="2">
        <v>45</v>
      </c>
      <c r="B1094" s="2" t="str" cm="1">
        <f t="array" ref="B1094">_xlfn.IFS(HR_table[[#This Row],[Age]]&lt;=20, "Under 20yrs",HR_table[[#This Row],[Age]]&lt;=30,"(21-30)yrs",HR_table[[#This Row],[Age]]&lt;=40,"(31-40)yrs",HR_table[[#This Row],[Age]]&lt;=50,"(41-50)yrs",HR_table[[#This Row],[Age]]&lt;=60,"(51-60)yrs")</f>
        <v>(41-50)yrs</v>
      </c>
      <c r="C1094" t="s">
        <v>43</v>
      </c>
      <c r="D1094" t="s">
        <v>36</v>
      </c>
      <c r="E1094" t="s">
        <v>45</v>
      </c>
      <c r="F1094" t="s">
        <v>60</v>
      </c>
      <c r="G1094" t="s">
        <v>47</v>
      </c>
      <c r="H1094">
        <v>1546</v>
      </c>
      <c r="I1094" s="2">
        <v>28</v>
      </c>
      <c r="J1094" s="2">
        <v>4</v>
      </c>
      <c r="K1094" t="s">
        <v>46</v>
      </c>
      <c r="L1094" s="2">
        <v>1</v>
      </c>
      <c r="M1094" s="2">
        <v>4</v>
      </c>
      <c r="N1094" t="s">
        <v>48</v>
      </c>
      <c r="O1094" s="2">
        <v>2132</v>
      </c>
      <c r="P1094" s="2">
        <v>4585</v>
      </c>
      <c r="Q1094" s="2">
        <v>4</v>
      </c>
      <c r="R1094" t="s">
        <v>43</v>
      </c>
      <c r="S1094" s="2">
        <v>4</v>
      </c>
      <c r="T1094" s="2">
        <v>4</v>
      </c>
      <c r="U1094">
        <v>80</v>
      </c>
      <c r="V1094" s="2">
        <v>8</v>
      </c>
      <c r="W1094">
        <v>3</v>
      </c>
      <c r="X1094">
        <v>3</v>
      </c>
      <c r="Y1094">
        <v>5</v>
      </c>
      <c r="Z1094">
        <v>4</v>
      </c>
      <c r="AA1094">
        <v>0</v>
      </c>
      <c r="AB1094">
        <v>3</v>
      </c>
    </row>
    <row r="1095" spans="1:28" x14ac:dyDescent="0.35">
      <c r="A1095" s="2">
        <v>42</v>
      </c>
      <c r="B1095" s="2" t="str" cm="1">
        <f t="array" ref="B1095">_xlfn.IFS(HR_table[[#This Row],[Age]]&lt;=20, "Under 20yrs",HR_table[[#This Row],[Age]]&lt;=30,"(21-30)yrs",HR_table[[#This Row],[Age]]&lt;=40,"(31-40)yrs",HR_table[[#This Row],[Age]]&lt;=50,"(41-50)yrs",HR_table[[#This Row],[Age]]&lt;=60,"(51-60)yrs")</f>
        <v>(41-50)yrs</v>
      </c>
      <c r="C1095" t="s">
        <v>43</v>
      </c>
      <c r="D1095" t="s">
        <v>44</v>
      </c>
      <c r="E1095" t="s">
        <v>45</v>
      </c>
      <c r="F1095" t="s">
        <v>38</v>
      </c>
      <c r="G1095" t="s">
        <v>54</v>
      </c>
      <c r="H1095">
        <v>1547</v>
      </c>
      <c r="I1095" s="2">
        <v>2</v>
      </c>
      <c r="J1095" s="2">
        <v>4</v>
      </c>
      <c r="K1095" t="s">
        <v>46</v>
      </c>
      <c r="L1095" s="2">
        <v>3</v>
      </c>
      <c r="M1095" s="2">
        <v>4</v>
      </c>
      <c r="N1095" t="s">
        <v>48</v>
      </c>
      <c r="O1095" s="2">
        <v>10124</v>
      </c>
      <c r="P1095" s="2">
        <v>18611</v>
      </c>
      <c r="Q1095" s="2">
        <v>2</v>
      </c>
      <c r="R1095" t="s">
        <v>35</v>
      </c>
      <c r="S1095" s="2">
        <v>3</v>
      </c>
      <c r="T1095" s="2">
        <v>3</v>
      </c>
      <c r="U1095">
        <v>80</v>
      </c>
      <c r="V1095" s="2">
        <v>24</v>
      </c>
      <c r="W1095">
        <v>3</v>
      </c>
      <c r="X1095">
        <v>1</v>
      </c>
      <c r="Y1095">
        <v>20</v>
      </c>
      <c r="Z1095">
        <v>8</v>
      </c>
      <c r="AA1095">
        <v>13</v>
      </c>
      <c r="AB1095">
        <v>9</v>
      </c>
    </row>
    <row r="1096" spans="1:28" x14ac:dyDescent="0.35">
      <c r="A1096" s="2">
        <v>40</v>
      </c>
      <c r="B1096" s="2" t="str" cm="1">
        <f t="array" ref="B1096">_xlfn.IFS(HR_table[[#This Row],[Age]]&lt;=20, "Under 20yrs",HR_table[[#This Row],[Age]]&lt;=30,"(21-30)yrs",HR_table[[#This Row],[Age]]&lt;=40,"(31-40)yrs",HR_table[[#This Row],[Age]]&lt;=50,"(41-50)yrs",HR_table[[#This Row],[Age]]&lt;=60,"(51-60)yrs")</f>
        <v>(31-40)yrs</v>
      </c>
      <c r="C1096" t="s">
        <v>43</v>
      </c>
      <c r="D1096" t="s">
        <v>36</v>
      </c>
      <c r="E1096" t="s">
        <v>37</v>
      </c>
      <c r="F1096" t="s">
        <v>51</v>
      </c>
      <c r="G1096" t="s">
        <v>40</v>
      </c>
      <c r="H1096">
        <v>1548</v>
      </c>
      <c r="I1096" s="2">
        <v>9</v>
      </c>
      <c r="J1096" s="2">
        <v>1</v>
      </c>
      <c r="K1096" t="s">
        <v>46</v>
      </c>
      <c r="L1096" s="2">
        <v>2</v>
      </c>
      <c r="M1096" s="2">
        <v>1</v>
      </c>
      <c r="N1096" t="s">
        <v>48</v>
      </c>
      <c r="O1096" s="2">
        <v>5473</v>
      </c>
      <c r="P1096" s="2">
        <v>19345</v>
      </c>
      <c r="Q1096" s="2">
        <v>0</v>
      </c>
      <c r="R1096" t="s">
        <v>43</v>
      </c>
      <c r="S1096" s="2">
        <v>3</v>
      </c>
      <c r="T1096" s="2">
        <v>4</v>
      </c>
      <c r="U1096">
        <v>80</v>
      </c>
      <c r="V1096" s="2">
        <v>9</v>
      </c>
      <c r="W1096">
        <v>5</v>
      </c>
      <c r="X1096">
        <v>4</v>
      </c>
      <c r="Y1096">
        <v>8</v>
      </c>
      <c r="Z1096">
        <v>4</v>
      </c>
      <c r="AA1096">
        <v>7</v>
      </c>
      <c r="AB1096">
        <v>1</v>
      </c>
    </row>
    <row r="1097" spans="1:28" x14ac:dyDescent="0.35">
      <c r="A1097" s="2">
        <v>33</v>
      </c>
      <c r="B1097" s="2" t="str" cm="1">
        <f t="array" ref="B1097">_xlfn.IFS(HR_table[[#This Row],[Age]]&lt;=20, "Under 20yrs",HR_table[[#This Row],[Age]]&lt;=30,"(21-30)yrs",HR_table[[#This Row],[Age]]&lt;=40,"(31-40)yrs",HR_table[[#This Row],[Age]]&lt;=50,"(41-50)yrs",HR_table[[#This Row],[Age]]&lt;=60,"(51-60)yrs")</f>
        <v>(31-40)yrs</v>
      </c>
      <c r="C1097" t="s">
        <v>43</v>
      </c>
      <c r="D1097" t="s">
        <v>36</v>
      </c>
      <c r="E1097" t="s">
        <v>45</v>
      </c>
      <c r="F1097" t="s">
        <v>38</v>
      </c>
      <c r="G1097" t="s">
        <v>50</v>
      </c>
      <c r="H1097">
        <v>1549</v>
      </c>
      <c r="I1097" s="2">
        <v>28</v>
      </c>
      <c r="J1097" s="2">
        <v>2</v>
      </c>
      <c r="K1097" t="s">
        <v>46</v>
      </c>
      <c r="L1097" s="2">
        <v>2</v>
      </c>
      <c r="M1097" s="2">
        <v>3</v>
      </c>
      <c r="N1097" t="s">
        <v>48</v>
      </c>
      <c r="O1097" s="2">
        <v>5207</v>
      </c>
      <c r="P1097" s="2">
        <v>22949</v>
      </c>
      <c r="Q1097" s="2">
        <v>1</v>
      </c>
      <c r="R1097" t="s">
        <v>35</v>
      </c>
      <c r="S1097" s="2">
        <v>3</v>
      </c>
      <c r="T1097" s="2">
        <v>2</v>
      </c>
      <c r="U1097">
        <v>80</v>
      </c>
      <c r="V1097" s="2">
        <v>15</v>
      </c>
      <c r="W1097">
        <v>3</v>
      </c>
      <c r="X1097">
        <v>3</v>
      </c>
      <c r="Y1097">
        <v>15</v>
      </c>
      <c r="Z1097">
        <v>14</v>
      </c>
      <c r="AA1097">
        <v>5</v>
      </c>
      <c r="AB1097">
        <v>7</v>
      </c>
    </row>
    <row r="1098" spans="1:28" x14ac:dyDescent="0.35">
      <c r="A1098" s="2">
        <v>40</v>
      </c>
      <c r="B1098" s="2" t="str" cm="1">
        <f t="array" ref="B1098">_xlfn.IFS(HR_table[[#This Row],[Age]]&lt;=20, "Under 20yrs",HR_table[[#This Row],[Age]]&lt;=30,"(21-30)yrs",HR_table[[#This Row],[Age]]&lt;=40,"(31-40)yrs",HR_table[[#This Row],[Age]]&lt;=50,"(41-50)yrs",HR_table[[#This Row],[Age]]&lt;=60,"(51-60)yrs")</f>
        <v>(31-40)yrs</v>
      </c>
      <c r="C1098" t="s">
        <v>43</v>
      </c>
      <c r="D1098" t="s">
        <v>36</v>
      </c>
      <c r="E1098" t="s">
        <v>61</v>
      </c>
      <c r="F1098" t="s">
        <v>51</v>
      </c>
      <c r="G1098" t="s">
        <v>56</v>
      </c>
      <c r="H1098">
        <v>1550</v>
      </c>
      <c r="I1098" s="2">
        <v>6</v>
      </c>
      <c r="J1098" s="2">
        <v>3</v>
      </c>
      <c r="K1098" t="s">
        <v>46</v>
      </c>
      <c r="L1098" s="2">
        <v>4</v>
      </c>
      <c r="M1098" s="2">
        <v>4</v>
      </c>
      <c r="N1098" t="s">
        <v>41</v>
      </c>
      <c r="O1098" s="2">
        <v>16437</v>
      </c>
      <c r="P1098" s="2">
        <v>17381</v>
      </c>
      <c r="Q1098" s="2">
        <v>1</v>
      </c>
      <c r="R1098" t="s">
        <v>35</v>
      </c>
      <c r="S1098" s="2">
        <v>4</v>
      </c>
      <c r="T1098" s="2">
        <v>4</v>
      </c>
      <c r="U1098">
        <v>80</v>
      </c>
      <c r="V1098" s="2">
        <v>21</v>
      </c>
      <c r="W1098">
        <v>2</v>
      </c>
      <c r="X1098">
        <v>3</v>
      </c>
      <c r="Y1098">
        <v>21</v>
      </c>
      <c r="Z1098">
        <v>7</v>
      </c>
      <c r="AA1098">
        <v>7</v>
      </c>
      <c r="AB1098">
        <v>7</v>
      </c>
    </row>
    <row r="1099" spans="1:28" x14ac:dyDescent="0.35">
      <c r="A1099" s="2">
        <v>24</v>
      </c>
      <c r="B1099" s="2" t="str" cm="1">
        <f t="array" ref="B1099">_xlfn.IFS(HR_table[[#This Row],[Age]]&lt;=20, "Under 20yrs",HR_table[[#This Row],[Age]]&lt;=30,"(21-30)yrs",HR_table[[#This Row],[Age]]&lt;=40,"(31-40)yrs",HR_table[[#This Row],[Age]]&lt;=50,"(41-50)yrs",HR_table[[#This Row],[Age]]&lt;=60,"(51-60)yrs")</f>
        <v>(21-30)yrs</v>
      </c>
      <c r="C1099" t="s">
        <v>43</v>
      </c>
      <c r="D1099" t="s">
        <v>36</v>
      </c>
      <c r="E1099" t="s">
        <v>45</v>
      </c>
      <c r="F1099" t="s">
        <v>60</v>
      </c>
      <c r="G1099" t="s">
        <v>50</v>
      </c>
      <c r="H1099">
        <v>1551</v>
      </c>
      <c r="I1099" s="2">
        <v>21</v>
      </c>
      <c r="J1099" s="2">
        <v>3</v>
      </c>
      <c r="K1099" t="s">
        <v>46</v>
      </c>
      <c r="L1099" s="2">
        <v>1</v>
      </c>
      <c r="M1099" s="2">
        <v>1</v>
      </c>
      <c r="N1099" t="s">
        <v>52</v>
      </c>
      <c r="O1099" s="2">
        <v>2296</v>
      </c>
      <c r="P1099" s="2">
        <v>10036</v>
      </c>
      <c r="Q1099" s="2">
        <v>0</v>
      </c>
      <c r="R1099" t="s">
        <v>43</v>
      </c>
      <c r="S1099" s="2">
        <v>3</v>
      </c>
      <c r="T1099" s="2">
        <v>2</v>
      </c>
      <c r="U1099">
        <v>80</v>
      </c>
      <c r="V1099" s="2">
        <v>2</v>
      </c>
      <c r="W1099">
        <v>3</v>
      </c>
      <c r="X1099">
        <v>3</v>
      </c>
      <c r="Y1099">
        <v>1</v>
      </c>
      <c r="Z1099">
        <v>1</v>
      </c>
      <c r="AA1099">
        <v>0</v>
      </c>
      <c r="AB1099">
        <v>0</v>
      </c>
    </row>
    <row r="1100" spans="1:28" x14ac:dyDescent="0.35">
      <c r="A1100" s="2">
        <v>40</v>
      </c>
      <c r="B1100" s="2" t="str" cm="1">
        <f t="array" ref="B1100">_xlfn.IFS(HR_table[[#This Row],[Age]]&lt;=20, "Under 20yrs",HR_table[[#This Row],[Age]]&lt;=30,"(21-30)yrs",HR_table[[#This Row],[Age]]&lt;=40,"(31-40)yrs",HR_table[[#This Row],[Age]]&lt;=50,"(41-50)yrs",HR_table[[#This Row],[Age]]&lt;=60,"(51-60)yrs")</f>
        <v>(31-40)yrs</v>
      </c>
      <c r="C1100" t="s">
        <v>43</v>
      </c>
      <c r="D1100" t="s">
        <v>55</v>
      </c>
      <c r="E1100" t="s">
        <v>45</v>
      </c>
      <c r="F1100" t="s">
        <v>38</v>
      </c>
      <c r="G1100" t="s">
        <v>54</v>
      </c>
      <c r="H1100">
        <v>1552</v>
      </c>
      <c r="I1100" s="2">
        <v>8</v>
      </c>
      <c r="J1100" s="2">
        <v>4</v>
      </c>
      <c r="K1100" t="s">
        <v>46</v>
      </c>
      <c r="L1100" s="2">
        <v>2</v>
      </c>
      <c r="M1100" s="2">
        <v>4</v>
      </c>
      <c r="N1100" t="s">
        <v>52</v>
      </c>
      <c r="O1100" s="2">
        <v>4069</v>
      </c>
      <c r="P1100" s="2">
        <v>8841</v>
      </c>
      <c r="Q1100" s="2">
        <v>3</v>
      </c>
      <c r="R1100" t="s">
        <v>35</v>
      </c>
      <c r="S1100" s="2">
        <v>3</v>
      </c>
      <c r="T1100" s="2">
        <v>3</v>
      </c>
      <c r="U1100">
        <v>80</v>
      </c>
      <c r="V1100" s="2">
        <v>8</v>
      </c>
      <c r="W1100">
        <v>2</v>
      </c>
      <c r="X1100">
        <v>3</v>
      </c>
      <c r="Y1100">
        <v>2</v>
      </c>
      <c r="Z1100">
        <v>2</v>
      </c>
      <c r="AA1100">
        <v>2</v>
      </c>
      <c r="AB1100">
        <v>2</v>
      </c>
    </row>
    <row r="1101" spans="1:28" x14ac:dyDescent="0.35">
      <c r="A1101" s="2">
        <v>45</v>
      </c>
      <c r="B1101" s="2" t="str" cm="1">
        <f t="array" ref="B1101">_xlfn.IFS(HR_table[[#This Row],[Age]]&lt;=20, "Under 20yrs",HR_table[[#This Row],[Age]]&lt;=30,"(21-30)yrs",HR_table[[#This Row],[Age]]&lt;=40,"(31-40)yrs",HR_table[[#This Row],[Age]]&lt;=50,"(41-50)yrs",HR_table[[#This Row],[Age]]&lt;=60,"(51-60)yrs")</f>
        <v>(41-50)yrs</v>
      </c>
      <c r="C1101" t="s">
        <v>43</v>
      </c>
      <c r="D1101" t="s">
        <v>36</v>
      </c>
      <c r="E1101" t="s">
        <v>45</v>
      </c>
      <c r="F1101" t="s">
        <v>60</v>
      </c>
      <c r="G1101" t="s">
        <v>54</v>
      </c>
      <c r="H1101">
        <v>1553</v>
      </c>
      <c r="I1101" s="2">
        <v>1</v>
      </c>
      <c r="J1101" s="2">
        <v>1</v>
      </c>
      <c r="K1101" t="s">
        <v>46</v>
      </c>
      <c r="L1101" s="2">
        <v>3</v>
      </c>
      <c r="M1101" s="2">
        <v>2</v>
      </c>
      <c r="N1101" t="s">
        <v>52</v>
      </c>
      <c r="O1101" s="2">
        <v>7441</v>
      </c>
      <c r="P1101" s="2">
        <v>20933</v>
      </c>
      <c r="Q1101" s="2">
        <v>1</v>
      </c>
      <c r="R1101" t="s">
        <v>43</v>
      </c>
      <c r="S1101" s="2">
        <v>3</v>
      </c>
      <c r="T1101" s="2">
        <v>1</v>
      </c>
      <c r="U1101">
        <v>80</v>
      </c>
      <c r="V1101" s="2">
        <v>10</v>
      </c>
      <c r="W1101">
        <v>4</v>
      </c>
      <c r="X1101">
        <v>3</v>
      </c>
      <c r="Y1101">
        <v>10</v>
      </c>
      <c r="Z1101">
        <v>8</v>
      </c>
      <c r="AA1101">
        <v>7</v>
      </c>
      <c r="AB1101">
        <v>7</v>
      </c>
    </row>
    <row r="1102" spans="1:28" x14ac:dyDescent="0.35">
      <c r="A1102" s="2">
        <v>35</v>
      </c>
      <c r="B1102" s="2" t="str" cm="1">
        <f t="array" ref="B1102">_xlfn.IFS(HR_table[[#This Row],[Age]]&lt;=20, "Under 20yrs",HR_table[[#This Row],[Age]]&lt;=30,"(21-30)yrs",HR_table[[#This Row],[Age]]&lt;=40,"(31-40)yrs",HR_table[[#This Row],[Age]]&lt;=50,"(41-50)yrs",HR_table[[#This Row],[Age]]&lt;=60,"(51-60)yrs")</f>
        <v>(31-40)yrs</v>
      </c>
      <c r="C1102" t="s">
        <v>43</v>
      </c>
      <c r="D1102" t="s">
        <v>36</v>
      </c>
      <c r="E1102" t="s">
        <v>37</v>
      </c>
      <c r="F1102" t="s">
        <v>38</v>
      </c>
      <c r="G1102" t="s">
        <v>57</v>
      </c>
      <c r="H1102">
        <v>1554</v>
      </c>
      <c r="I1102" s="2">
        <v>28</v>
      </c>
      <c r="J1102" s="2">
        <v>2</v>
      </c>
      <c r="K1102" t="s">
        <v>39</v>
      </c>
      <c r="L1102" s="2">
        <v>1</v>
      </c>
      <c r="M1102" s="2">
        <v>3</v>
      </c>
      <c r="N1102" t="s">
        <v>48</v>
      </c>
      <c r="O1102" s="2">
        <v>2430</v>
      </c>
      <c r="P1102" s="2">
        <v>26204</v>
      </c>
      <c r="Q1102" s="2">
        <v>0</v>
      </c>
      <c r="R1102" t="s">
        <v>43</v>
      </c>
      <c r="S1102" s="2">
        <v>4</v>
      </c>
      <c r="T1102" s="2">
        <v>1</v>
      </c>
      <c r="U1102">
        <v>80</v>
      </c>
      <c r="V1102" s="2">
        <v>6</v>
      </c>
      <c r="W1102">
        <v>5</v>
      </c>
      <c r="X1102">
        <v>3</v>
      </c>
      <c r="Y1102">
        <v>5</v>
      </c>
      <c r="Z1102">
        <v>3</v>
      </c>
      <c r="AA1102">
        <v>4</v>
      </c>
      <c r="AB1102">
        <v>2</v>
      </c>
    </row>
    <row r="1103" spans="1:28" x14ac:dyDescent="0.35">
      <c r="A1103" s="2">
        <v>32</v>
      </c>
      <c r="B1103" s="2" t="str" cm="1">
        <f t="array" ref="B1103">_xlfn.IFS(HR_table[[#This Row],[Age]]&lt;=20, "Under 20yrs",HR_table[[#This Row],[Age]]&lt;=30,"(21-30)yrs",HR_table[[#This Row],[Age]]&lt;=40,"(31-40)yrs",HR_table[[#This Row],[Age]]&lt;=50,"(41-50)yrs",HR_table[[#This Row],[Age]]&lt;=60,"(51-60)yrs")</f>
        <v>(31-40)yrs</v>
      </c>
      <c r="C1103" t="s">
        <v>43</v>
      </c>
      <c r="D1103" t="s">
        <v>36</v>
      </c>
      <c r="E1103" t="s">
        <v>45</v>
      </c>
      <c r="F1103" t="s">
        <v>38</v>
      </c>
      <c r="G1103" t="s">
        <v>47</v>
      </c>
      <c r="H1103">
        <v>1555</v>
      </c>
      <c r="I1103" s="2">
        <v>5</v>
      </c>
      <c r="J1103" s="2">
        <v>4</v>
      </c>
      <c r="K1103" t="s">
        <v>39</v>
      </c>
      <c r="L1103" s="2">
        <v>2</v>
      </c>
      <c r="M1103" s="2">
        <v>2</v>
      </c>
      <c r="N1103" t="s">
        <v>48</v>
      </c>
      <c r="O1103" s="2">
        <v>5878</v>
      </c>
      <c r="P1103" s="2">
        <v>15624</v>
      </c>
      <c r="Q1103" s="2">
        <v>3</v>
      </c>
      <c r="R1103" t="s">
        <v>43</v>
      </c>
      <c r="S1103" s="2">
        <v>3</v>
      </c>
      <c r="T1103" s="2">
        <v>1</v>
      </c>
      <c r="U1103">
        <v>80</v>
      </c>
      <c r="V1103" s="2">
        <v>12</v>
      </c>
      <c r="W1103">
        <v>2</v>
      </c>
      <c r="X1103">
        <v>3</v>
      </c>
      <c r="Y1103">
        <v>7</v>
      </c>
      <c r="Z1103">
        <v>1</v>
      </c>
      <c r="AA1103">
        <v>2</v>
      </c>
      <c r="AB1103">
        <v>5</v>
      </c>
    </row>
    <row r="1104" spans="1:28" x14ac:dyDescent="0.35">
      <c r="A1104" s="2">
        <v>36</v>
      </c>
      <c r="B1104" s="2" t="str" cm="1">
        <f t="array" ref="B1104">_xlfn.IFS(HR_table[[#This Row],[Age]]&lt;=20, "Under 20yrs",HR_table[[#This Row],[Age]]&lt;=30,"(21-30)yrs",HR_table[[#This Row],[Age]]&lt;=40,"(31-40)yrs",HR_table[[#This Row],[Age]]&lt;=50,"(41-50)yrs",HR_table[[#This Row],[Age]]&lt;=60,"(51-60)yrs")</f>
        <v>(31-40)yrs</v>
      </c>
      <c r="C1104" t="s">
        <v>43</v>
      </c>
      <c r="D1104" t="s">
        <v>36</v>
      </c>
      <c r="E1104" t="s">
        <v>37</v>
      </c>
      <c r="F1104" t="s">
        <v>38</v>
      </c>
      <c r="G1104" t="s">
        <v>57</v>
      </c>
      <c r="H1104">
        <v>1556</v>
      </c>
      <c r="I1104" s="2">
        <v>2</v>
      </c>
      <c r="J1104" s="2">
        <v>3</v>
      </c>
      <c r="K1104" t="s">
        <v>46</v>
      </c>
      <c r="L1104" s="2">
        <v>1</v>
      </c>
      <c r="M1104" s="2">
        <v>4</v>
      </c>
      <c r="N1104" t="s">
        <v>41</v>
      </c>
      <c r="O1104" s="2">
        <v>2644</v>
      </c>
      <c r="P1104" s="2">
        <v>17001</v>
      </c>
      <c r="Q1104" s="2">
        <v>3</v>
      </c>
      <c r="R1104" t="s">
        <v>35</v>
      </c>
      <c r="S1104" s="2">
        <v>4</v>
      </c>
      <c r="T1104" s="2">
        <v>4</v>
      </c>
      <c r="U1104">
        <v>80</v>
      </c>
      <c r="V1104" s="2">
        <v>7</v>
      </c>
      <c r="W1104">
        <v>3</v>
      </c>
      <c r="X1104">
        <v>2</v>
      </c>
      <c r="Y1104">
        <v>3</v>
      </c>
      <c r="Z1104">
        <v>2</v>
      </c>
      <c r="AA1104">
        <v>1</v>
      </c>
      <c r="AB1104">
        <v>2</v>
      </c>
    </row>
    <row r="1105" spans="1:28" x14ac:dyDescent="0.35">
      <c r="A1105" s="2">
        <v>48</v>
      </c>
      <c r="B1105" s="2" t="str" cm="1">
        <f t="array" ref="B1105">_xlfn.IFS(HR_table[[#This Row],[Age]]&lt;=20, "Under 20yrs",HR_table[[#This Row],[Age]]&lt;=30,"(21-30)yrs",HR_table[[#This Row],[Age]]&lt;=40,"(31-40)yrs",HR_table[[#This Row],[Age]]&lt;=50,"(41-50)yrs",HR_table[[#This Row],[Age]]&lt;=60,"(51-60)yrs")</f>
        <v>(41-50)yrs</v>
      </c>
      <c r="C1105" t="s">
        <v>43</v>
      </c>
      <c r="D1105" t="s">
        <v>36</v>
      </c>
      <c r="E1105" t="s">
        <v>37</v>
      </c>
      <c r="F1105" t="s">
        <v>38</v>
      </c>
      <c r="G1105" t="s">
        <v>40</v>
      </c>
      <c r="H1105">
        <v>1557</v>
      </c>
      <c r="I1105" s="2">
        <v>16</v>
      </c>
      <c r="J1105" s="2">
        <v>3</v>
      </c>
      <c r="K1105" t="s">
        <v>39</v>
      </c>
      <c r="L1105" s="2">
        <v>2</v>
      </c>
      <c r="M1105" s="2">
        <v>3</v>
      </c>
      <c r="N1105" t="s">
        <v>52</v>
      </c>
      <c r="O1105" s="2">
        <v>6439</v>
      </c>
      <c r="P1105" s="2">
        <v>13693</v>
      </c>
      <c r="Q1105" s="2">
        <v>8</v>
      </c>
      <c r="R1105" t="s">
        <v>43</v>
      </c>
      <c r="S1105" s="2">
        <v>3</v>
      </c>
      <c r="T1105" s="2">
        <v>3</v>
      </c>
      <c r="U1105">
        <v>80</v>
      </c>
      <c r="V1105" s="2">
        <v>18</v>
      </c>
      <c r="W1105">
        <v>2</v>
      </c>
      <c r="X1105">
        <v>3</v>
      </c>
      <c r="Y1105">
        <v>8</v>
      </c>
      <c r="Z1105">
        <v>7</v>
      </c>
      <c r="AA1105">
        <v>7</v>
      </c>
      <c r="AB1105">
        <v>7</v>
      </c>
    </row>
    <row r="1106" spans="1:28" x14ac:dyDescent="0.35">
      <c r="A1106" s="2">
        <v>29</v>
      </c>
      <c r="B1106" s="2" t="str" cm="1">
        <f t="array" ref="B1106">_xlfn.IFS(HR_table[[#This Row],[Age]]&lt;=20, "Under 20yrs",HR_table[[#This Row],[Age]]&lt;=30,"(21-30)yrs",HR_table[[#This Row],[Age]]&lt;=40,"(31-40)yrs",HR_table[[#This Row],[Age]]&lt;=50,"(41-50)yrs",HR_table[[#This Row],[Age]]&lt;=60,"(51-60)yrs")</f>
        <v>(21-30)yrs</v>
      </c>
      <c r="C1106" t="s">
        <v>43</v>
      </c>
      <c r="D1106" t="s">
        <v>36</v>
      </c>
      <c r="E1106" t="s">
        <v>45</v>
      </c>
      <c r="F1106" t="s">
        <v>38</v>
      </c>
      <c r="G1106" t="s">
        <v>47</v>
      </c>
      <c r="H1106">
        <v>1558</v>
      </c>
      <c r="I1106" s="2">
        <v>9</v>
      </c>
      <c r="J1106" s="2">
        <v>3</v>
      </c>
      <c r="K1106" t="s">
        <v>46</v>
      </c>
      <c r="L1106" s="2">
        <v>1</v>
      </c>
      <c r="M1106" s="2">
        <v>3</v>
      </c>
      <c r="N1106" t="s">
        <v>48</v>
      </c>
      <c r="O1106" s="2">
        <v>2451</v>
      </c>
      <c r="P1106" s="2">
        <v>22376</v>
      </c>
      <c r="Q1106" s="2">
        <v>6</v>
      </c>
      <c r="R1106" t="s">
        <v>43</v>
      </c>
      <c r="S1106" s="2">
        <v>3</v>
      </c>
      <c r="T1106" s="2">
        <v>1</v>
      </c>
      <c r="U1106">
        <v>80</v>
      </c>
      <c r="V1106" s="2">
        <v>5</v>
      </c>
      <c r="W1106">
        <v>2</v>
      </c>
      <c r="X1106">
        <v>2</v>
      </c>
      <c r="Y1106">
        <v>1</v>
      </c>
      <c r="Z1106">
        <v>0</v>
      </c>
      <c r="AA1106">
        <v>0</v>
      </c>
      <c r="AB1106">
        <v>0</v>
      </c>
    </row>
    <row r="1107" spans="1:28" x14ac:dyDescent="0.35">
      <c r="A1107" s="2">
        <v>33</v>
      </c>
      <c r="B1107" s="2" t="str" cm="1">
        <f t="array" ref="B1107">_xlfn.IFS(HR_table[[#This Row],[Age]]&lt;=20, "Under 20yrs",HR_table[[#This Row],[Age]]&lt;=30,"(21-30)yrs",HR_table[[#This Row],[Age]]&lt;=40,"(31-40)yrs",HR_table[[#This Row],[Age]]&lt;=50,"(41-50)yrs",HR_table[[#This Row],[Age]]&lt;=60,"(51-60)yrs")</f>
        <v>(31-40)yrs</v>
      </c>
      <c r="C1107" t="s">
        <v>43</v>
      </c>
      <c r="D1107" t="s">
        <v>36</v>
      </c>
      <c r="E1107" t="s">
        <v>37</v>
      </c>
      <c r="F1107" t="s">
        <v>38</v>
      </c>
      <c r="G1107" t="s">
        <v>40</v>
      </c>
      <c r="H1107">
        <v>1560</v>
      </c>
      <c r="I1107" s="2">
        <v>8</v>
      </c>
      <c r="J1107" s="2">
        <v>1</v>
      </c>
      <c r="K1107" t="s">
        <v>46</v>
      </c>
      <c r="L1107" s="2">
        <v>2</v>
      </c>
      <c r="M1107" s="2">
        <v>1</v>
      </c>
      <c r="N1107" t="s">
        <v>48</v>
      </c>
      <c r="O1107" s="2">
        <v>6392</v>
      </c>
      <c r="P1107" s="2">
        <v>10589</v>
      </c>
      <c r="Q1107" s="2">
        <v>2</v>
      </c>
      <c r="R1107" t="s">
        <v>43</v>
      </c>
      <c r="S1107" s="2">
        <v>3</v>
      </c>
      <c r="T1107" s="2">
        <v>4</v>
      </c>
      <c r="U1107">
        <v>80</v>
      </c>
      <c r="V1107" s="2">
        <v>8</v>
      </c>
      <c r="W1107">
        <v>6</v>
      </c>
      <c r="X1107">
        <v>1</v>
      </c>
      <c r="Y1107">
        <v>2</v>
      </c>
      <c r="Z1107">
        <v>2</v>
      </c>
      <c r="AA1107">
        <v>2</v>
      </c>
      <c r="AB1107">
        <v>2</v>
      </c>
    </row>
    <row r="1108" spans="1:28" x14ac:dyDescent="0.35">
      <c r="A1108" s="2">
        <v>30</v>
      </c>
      <c r="B1108" s="2" t="str" cm="1">
        <f t="array" ref="B1108">_xlfn.IFS(HR_table[[#This Row],[Age]]&lt;=20, "Under 20yrs",HR_table[[#This Row],[Age]]&lt;=30,"(21-30)yrs",HR_table[[#This Row],[Age]]&lt;=40,"(31-40)yrs",HR_table[[#This Row],[Age]]&lt;=50,"(41-50)yrs",HR_table[[#This Row],[Age]]&lt;=60,"(51-60)yrs")</f>
        <v>(21-30)yrs</v>
      </c>
      <c r="C1108" t="s">
        <v>35</v>
      </c>
      <c r="D1108" t="s">
        <v>36</v>
      </c>
      <c r="E1108" t="s">
        <v>37</v>
      </c>
      <c r="F1108" t="s">
        <v>38</v>
      </c>
      <c r="G1108" t="s">
        <v>40</v>
      </c>
      <c r="H1108">
        <v>1562</v>
      </c>
      <c r="I1108" s="2">
        <v>1</v>
      </c>
      <c r="J1108" s="2">
        <v>2</v>
      </c>
      <c r="K1108" t="s">
        <v>46</v>
      </c>
      <c r="L1108" s="2">
        <v>2</v>
      </c>
      <c r="M1108" s="2">
        <v>1</v>
      </c>
      <c r="N1108" t="s">
        <v>48</v>
      </c>
      <c r="O1108" s="2">
        <v>9714</v>
      </c>
      <c r="P1108" s="2">
        <v>5323</v>
      </c>
      <c r="Q1108" s="2">
        <v>1</v>
      </c>
      <c r="R1108" t="s">
        <v>43</v>
      </c>
      <c r="S1108" s="2">
        <v>3</v>
      </c>
      <c r="T1108" s="2">
        <v>4</v>
      </c>
      <c r="U1108">
        <v>80</v>
      </c>
      <c r="V1108" s="2">
        <v>10</v>
      </c>
      <c r="W1108">
        <v>4</v>
      </c>
      <c r="X1108">
        <v>3</v>
      </c>
      <c r="Y1108">
        <v>10</v>
      </c>
      <c r="Z1108">
        <v>8</v>
      </c>
      <c r="AA1108">
        <v>6</v>
      </c>
      <c r="AB1108">
        <v>7</v>
      </c>
    </row>
    <row r="1109" spans="1:28" x14ac:dyDescent="0.35">
      <c r="A1109" s="2">
        <v>38</v>
      </c>
      <c r="B1109" s="2" t="str" cm="1">
        <f t="array" ref="B1109">_xlfn.IFS(HR_table[[#This Row],[Age]]&lt;=20, "Under 20yrs",HR_table[[#This Row],[Age]]&lt;=30,"(21-30)yrs",HR_table[[#This Row],[Age]]&lt;=40,"(31-40)yrs",HR_table[[#This Row],[Age]]&lt;=50,"(41-50)yrs",HR_table[[#This Row],[Age]]&lt;=60,"(51-60)yrs")</f>
        <v>(31-40)yrs</v>
      </c>
      <c r="C1109" t="s">
        <v>43</v>
      </c>
      <c r="D1109" t="s">
        <v>44</v>
      </c>
      <c r="E1109" t="s">
        <v>61</v>
      </c>
      <c r="F1109" t="s">
        <v>61</v>
      </c>
      <c r="G1109" t="s">
        <v>61</v>
      </c>
      <c r="H1109">
        <v>1563</v>
      </c>
      <c r="I1109" s="2">
        <v>10</v>
      </c>
      <c r="J1109" s="2">
        <v>3</v>
      </c>
      <c r="K1109" t="s">
        <v>46</v>
      </c>
      <c r="L1109" s="2">
        <v>2</v>
      </c>
      <c r="M1109" s="2">
        <v>3</v>
      </c>
      <c r="N1109" t="s">
        <v>48</v>
      </c>
      <c r="O1109" s="2">
        <v>6077</v>
      </c>
      <c r="P1109" s="2">
        <v>14814</v>
      </c>
      <c r="Q1109" s="2">
        <v>3</v>
      </c>
      <c r="R1109" t="s">
        <v>43</v>
      </c>
      <c r="S1109" s="2">
        <v>3</v>
      </c>
      <c r="T1109" s="2">
        <v>3</v>
      </c>
      <c r="U1109">
        <v>80</v>
      </c>
      <c r="V1109" s="2">
        <v>10</v>
      </c>
      <c r="W1109">
        <v>2</v>
      </c>
      <c r="X1109">
        <v>3</v>
      </c>
      <c r="Y1109">
        <v>6</v>
      </c>
      <c r="Z1109">
        <v>3</v>
      </c>
      <c r="AA1109">
        <v>1</v>
      </c>
      <c r="AB1109">
        <v>2</v>
      </c>
    </row>
    <row r="1110" spans="1:28" x14ac:dyDescent="0.35">
      <c r="A1110" s="2">
        <v>35</v>
      </c>
      <c r="B1110" s="2" t="str" cm="1">
        <f t="array" ref="B1110">_xlfn.IFS(HR_table[[#This Row],[Age]]&lt;=20, "Under 20yrs",HR_table[[#This Row],[Age]]&lt;=30,"(21-30)yrs",HR_table[[#This Row],[Age]]&lt;=40,"(31-40)yrs",HR_table[[#This Row],[Age]]&lt;=50,"(41-50)yrs",HR_table[[#This Row],[Age]]&lt;=60,"(51-60)yrs")</f>
        <v>(31-40)yrs</v>
      </c>
      <c r="C1110" t="s">
        <v>43</v>
      </c>
      <c r="D1110" t="s">
        <v>36</v>
      </c>
      <c r="E1110" t="s">
        <v>45</v>
      </c>
      <c r="F1110" t="s">
        <v>51</v>
      </c>
      <c r="G1110" t="s">
        <v>50</v>
      </c>
      <c r="H1110">
        <v>1564</v>
      </c>
      <c r="I1110" s="2">
        <v>1</v>
      </c>
      <c r="J1110" s="2">
        <v>4</v>
      </c>
      <c r="K1110" t="s">
        <v>46</v>
      </c>
      <c r="L1110" s="2">
        <v>1</v>
      </c>
      <c r="M1110" s="2">
        <v>1</v>
      </c>
      <c r="N1110" t="s">
        <v>41</v>
      </c>
      <c r="O1110" s="2">
        <v>2450</v>
      </c>
      <c r="P1110" s="2">
        <v>21731</v>
      </c>
      <c r="Q1110" s="2">
        <v>1</v>
      </c>
      <c r="R1110" t="s">
        <v>43</v>
      </c>
      <c r="S1110" s="2">
        <v>3</v>
      </c>
      <c r="T1110" s="2">
        <v>2</v>
      </c>
      <c r="U1110">
        <v>80</v>
      </c>
      <c r="V1110" s="2">
        <v>3</v>
      </c>
      <c r="W1110">
        <v>3</v>
      </c>
      <c r="X1110">
        <v>3</v>
      </c>
      <c r="Y1110">
        <v>3</v>
      </c>
      <c r="Z1110">
        <v>0</v>
      </c>
      <c r="AA1110">
        <v>1</v>
      </c>
      <c r="AB1110">
        <v>2</v>
      </c>
    </row>
    <row r="1111" spans="1:28" x14ac:dyDescent="0.35">
      <c r="A1111" s="2">
        <v>30</v>
      </c>
      <c r="B1111" s="2" t="str" cm="1">
        <f t="array" ref="B1111">_xlfn.IFS(HR_table[[#This Row],[Age]]&lt;=20, "Under 20yrs",HR_table[[#This Row],[Age]]&lt;=30,"(21-30)yrs",HR_table[[#This Row],[Age]]&lt;=40,"(31-40)yrs",HR_table[[#This Row],[Age]]&lt;=50,"(41-50)yrs",HR_table[[#This Row],[Age]]&lt;=60,"(51-60)yrs")</f>
        <v>(21-30)yrs</v>
      </c>
      <c r="C1111" t="s">
        <v>43</v>
      </c>
      <c r="D1111" t="s">
        <v>36</v>
      </c>
      <c r="E1111" t="s">
        <v>37</v>
      </c>
      <c r="F1111" t="s">
        <v>60</v>
      </c>
      <c r="G1111" t="s">
        <v>40</v>
      </c>
      <c r="H1111">
        <v>1568</v>
      </c>
      <c r="I1111" s="2">
        <v>29</v>
      </c>
      <c r="J1111" s="2">
        <v>3</v>
      </c>
      <c r="K1111" t="s">
        <v>46</v>
      </c>
      <c r="L1111" s="2">
        <v>3</v>
      </c>
      <c r="M1111" s="2">
        <v>2</v>
      </c>
      <c r="N1111" t="s">
        <v>48</v>
      </c>
      <c r="O1111" s="2">
        <v>9250</v>
      </c>
      <c r="P1111" s="2">
        <v>17799</v>
      </c>
      <c r="Q1111" s="2">
        <v>3</v>
      </c>
      <c r="R1111" t="s">
        <v>43</v>
      </c>
      <c r="S1111" s="2">
        <v>3</v>
      </c>
      <c r="T1111" s="2">
        <v>2</v>
      </c>
      <c r="U1111">
        <v>80</v>
      </c>
      <c r="V1111" s="2">
        <v>9</v>
      </c>
      <c r="W1111">
        <v>3</v>
      </c>
      <c r="X1111">
        <v>3</v>
      </c>
      <c r="Y1111">
        <v>4</v>
      </c>
      <c r="Z1111">
        <v>2</v>
      </c>
      <c r="AA1111">
        <v>1</v>
      </c>
      <c r="AB1111">
        <v>3</v>
      </c>
    </row>
    <row r="1112" spans="1:28" x14ac:dyDescent="0.35">
      <c r="A1112" s="2">
        <v>35</v>
      </c>
      <c r="B1112" s="2" t="str" cm="1">
        <f t="array" ref="B1112">_xlfn.IFS(HR_table[[#This Row],[Age]]&lt;=20, "Under 20yrs",HR_table[[#This Row],[Age]]&lt;=30,"(21-30)yrs",HR_table[[#This Row],[Age]]&lt;=40,"(31-40)yrs",HR_table[[#This Row],[Age]]&lt;=50,"(41-50)yrs",HR_table[[#This Row],[Age]]&lt;=60,"(51-60)yrs")</f>
        <v>(31-40)yrs</v>
      </c>
      <c r="C1112" t="s">
        <v>35</v>
      </c>
      <c r="D1112" t="s">
        <v>36</v>
      </c>
      <c r="E1112" t="s">
        <v>45</v>
      </c>
      <c r="F1112" t="s">
        <v>38</v>
      </c>
      <c r="G1112" t="s">
        <v>50</v>
      </c>
      <c r="H1112">
        <v>1569</v>
      </c>
      <c r="I1112" s="2">
        <v>2</v>
      </c>
      <c r="J1112" s="2">
        <v>1</v>
      </c>
      <c r="K1112" t="s">
        <v>39</v>
      </c>
      <c r="L1112" s="2">
        <v>1</v>
      </c>
      <c r="M1112" s="2">
        <v>1</v>
      </c>
      <c r="N1112" t="s">
        <v>52</v>
      </c>
      <c r="O1112" s="2">
        <v>2074</v>
      </c>
      <c r="P1112" s="2">
        <v>26619</v>
      </c>
      <c r="Q1112" s="2">
        <v>1</v>
      </c>
      <c r="R1112" t="s">
        <v>35</v>
      </c>
      <c r="S1112" s="2">
        <v>3</v>
      </c>
      <c r="T1112" s="2">
        <v>4</v>
      </c>
      <c r="U1112">
        <v>80</v>
      </c>
      <c r="V1112" s="2">
        <v>1</v>
      </c>
      <c r="W1112">
        <v>2</v>
      </c>
      <c r="X1112">
        <v>3</v>
      </c>
      <c r="Y1112">
        <v>1</v>
      </c>
      <c r="Z1112">
        <v>0</v>
      </c>
      <c r="AA1112">
        <v>0</v>
      </c>
      <c r="AB1112">
        <v>0</v>
      </c>
    </row>
    <row r="1113" spans="1:28" x14ac:dyDescent="0.35">
      <c r="A1113" s="2">
        <v>53</v>
      </c>
      <c r="B1113" s="2" t="str" cm="1">
        <f t="array" ref="B1113">_xlfn.IFS(HR_table[[#This Row],[Age]]&lt;=20, "Under 20yrs",HR_table[[#This Row],[Age]]&lt;=30,"(21-30)yrs",HR_table[[#This Row],[Age]]&lt;=40,"(31-40)yrs",HR_table[[#This Row],[Age]]&lt;=50,"(41-50)yrs",HR_table[[#This Row],[Age]]&lt;=60,"(51-60)yrs")</f>
        <v>(51-60)yrs</v>
      </c>
      <c r="C1113" t="s">
        <v>35</v>
      </c>
      <c r="D1113" t="s">
        <v>36</v>
      </c>
      <c r="E1113" t="s">
        <v>45</v>
      </c>
      <c r="F1113" t="s">
        <v>60</v>
      </c>
      <c r="G1113" t="s">
        <v>53</v>
      </c>
      <c r="H1113">
        <v>1572</v>
      </c>
      <c r="I1113" s="2">
        <v>2</v>
      </c>
      <c r="J1113" s="2">
        <v>3</v>
      </c>
      <c r="K1113" t="s">
        <v>39</v>
      </c>
      <c r="L1113" s="2">
        <v>3</v>
      </c>
      <c r="M1113" s="2">
        <v>4</v>
      </c>
      <c r="N1113" t="s">
        <v>48</v>
      </c>
      <c r="O1113" s="2">
        <v>10169</v>
      </c>
      <c r="P1113" s="2">
        <v>14618</v>
      </c>
      <c r="Q1113" s="2">
        <v>0</v>
      </c>
      <c r="R1113" t="s">
        <v>43</v>
      </c>
      <c r="S1113" s="2">
        <v>3</v>
      </c>
      <c r="T1113" s="2">
        <v>2</v>
      </c>
      <c r="U1113">
        <v>80</v>
      </c>
      <c r="V1113" s="2">
        <v>34</v>
      </c>
      <c r="W1113">
        <v>4</v>
      </c>
      <c r="X1113">
        <v>3</v>
      </c>
      <c r="Y1113">
        <v>33</v>
      </c>
      <c r="Z1113">
        <v>7</v>
      </c>
      <c r="AA1113">
        <v>1</v>
      </c>
      <c r="AB1113">
        <v>9</v>
      </c>
    </row>
    <row r="1114" spans="1:28" x14ac:dyDescent="0.35">
      <c r="A1114" s="2">
        <v>38</v>
      </c>
      <c r="B1114" s="2" t="str" cm="1">
        <f t="array" ref="B1114">_xlfn.IFS(HR_table[[#This Row],[Age]]&lt;=20, "Under 20yrs",HR_table[[#This Row],[Age]]&lt;=30,"(21-30)yrs",HR_table[[#This Row],[Age]]&lt;=40,"(31-40)yrs",HR_table[[#This Row],[Age]]&lt;=50,"(41-50)yrs",HR_table[[#This Row],[Age]]&lt;=60,"(51-60)yrs")</f>
        <v>(31-40)yrs</v>
      </c>
      <c r="C1114" t="s">
        <v>35</v>
      </c>
      <c r="D1114" t="s">
        <v>36</v>
      </c>
      <c r="E1114" t="s">
        <v>45</v>
      </c>
      <c r="F1114" t="s">
        <v>51</v>
      </c>
      <c r="G1114" t="s">
        <v>53</v>
      </c>
      <c r="H1114">
        <v>1573</v>
      </c>
      <c r="I1114" s="2">
        <v>2</v>
      </c>
      <c r="J1114" s="2">
        <v>3</v>
      </c>
      <c r="K1114" t="s">
        <v>46</v>
      </c>
      <c r="L1114" s="2">
        <v>2</v>
      </c>
      <c r="M1114" s="2">
        <v>2</v>
      </c>
      <c r="N1114" t="s">
        <v>48</v>
      </c>
      <c r="O1114" s="2">
        <v>4855</v>
      </c>
      <c r="P1114" s="2">
        <v>7653</v>
      </c>
      <c r="Q1114" s="2">
        <v>4</v>
      </c>
      <c r="R1114" t="s">
        <v>43</v>
      </c>
      <c r="S1114" s="2">
        <v>3</v>
      </c>
      <c r="T1114" s="2">
        <v>1</v>
      </c>
      <c r="U1114">
        <v>80</v>
      </c>
      <c r="V1114" s="2">
        <v>7</v>
      </c>
      <c r="W1114">
        <v>2</v>
      </c>
      <c r="X1114">
        <v>3</v>
      </c>
      <c r="Y1114">
        <v>5</v>
      </c>
      <c r="Z1114">
        <v>2</v>
      </c>
      <c r="AA1114">
        <v>1</v>
      </c>
      <c r="AB1114">
        <v>4</v>
      </c>
    </row>
    <row r="1115" spans="1:28" x14ac:dyDescent="0.35">
      <c r="A1115" s="2">
        <v>32</v>
      </c>
      <c r="B1115" s="2" t="str" cm="1">
        <f t="array" ref="B1115">_xlfn.IFS(HR_table[[#This Row],[Age]]&lt;=20, "Under 20yrs",HR_table[[#This Row],[Age]]&lt;=30,"(21-30)yrs",HR_table[[#This Row],[Age]]&lt;=40,"(31-40)yrs",HR_table[[#This Row],[Age]]&lt;=50,"(41-50)yrs",HR_table[[#This Row],[Age]]&lt;=60,"(51-60)yrs")</f>
        <v>(31-40)yrs</v>
      </c>
      <c r="C1115" t="s">
        <v>43</v>
      </c>
      <c r="D1115" t="s">
        <v>55</v>
      </c>
      <c r="E1115" t="s">
        <v>45</v>
      </c>
      <c r="F1115" t="s">
        <v>60</v>
      </c>
      <c r="G1115" t="s">
        <v>47</v>
      </c>
      <c r="H1115">
        <v>1574</v>
      </c>
      <c r="I1115" s="2">
        <v>1</v>
      </c>
      <c r="J1115" s="2">
        <v>4</v>
      </c>
      <c r="K1115" t="s">
        <v>46</v>
      </c>
      <c r="L1115" s="2">
        <v>2</v>
      </c>
      <c r="M1115" s="2">
        <v>1</v>
      </c>
      <c r="N1115" t="s">
        <v>48</v>
      </c>
      <c r="O1115" s="2">
        <v>4087</v>
      </c>
      <c r="P1115" s="2">
        <v>25174</v>
      </c>
      <c r="Q1115" s="2">
        <v>4</v>
      </c>
      <c r="R1115" t="s">
        <v>43</v>
      </c>
      <c r="S1115" s="2">
        <v>3</v>
      </c>
      <c r="T1115" s="2">
        <v>2</v>
      </c>
      <c r="U1115">
        <v>80</v>
      </c>
      <c r="V1115" s="2">
        <v>9</v>
      </c>
      <c r="W1115">
        <v>3</v>
      </c>
      <c r="X1115">
        <v>2</v>
      </c>
      <c r="Y1115">
        <v>6</v>
      </c>
      <c r="Z1115">
        <v>5</v>
      </c>
      <c r="AA1115">
        <v>1</v>
      </c>
      <c r="AB1115">
        <v>2</v>
      </c>
    </row>
    <row r="1116" spans="1:28" x14ac:dyDescent="0.35">
      <c r="A1116" s="2">
        <v>48</v>
      </c>
      <c r="B1116" s="2" t="str" cm="1">
        <f t="array" ref="B1116">_xlfn.IFS(HR_table[[#This Row],[Age]]&lt;=20, "Under 20yrs",HR_table[[#This Row],[Age]]&lt;=30,"(21-30)yrs",HR_table[[#This Row],[Age]]&lt;=40,"(31-40)yrs",HR_table[[#This Row],[Age]]&lt;=50,"(41-50)yrs",HR_table[[#This Row],[Age]]&lt;=60,"(51-60)yrs")</f>
        <v>(41-50)yrs</v>
      </c>
      <c r="C1116" t="s">
        <v>43</v>
      </c>
      <c r="D1116" t="s">
        <v>36</v>
      </c>
      <c r="E1116" t="s">
        <v>45</v>
      </c>
      <c r="F1116" t="s">
        <v>49</v>
      </c>
      <c r="G1116" t="s">
        <v>47</v>
      </c>
      <c r="H1116">
        <v>1576</v>
      </c>
      <c r="I1116" s="2">
        <v>15</v>
      </c>
      <c r="J1116" s="2">
        <v>3</v>
      </c>
      <c r="K1116" t="s">
        <v>39</v>
      </c>
      <c r="L1116" s="2">
        <v>1</v>
      </c>
      <c r="M1116" s="2">
        <v>1</v>
      </c>
      <c r="N1116" t="s">
        <v>48</v>
      </c>
      <c r="O1116" s="2">
        <v>2367</v>
      </c>
      <c r="P1116" s="2">
        <v>16530</v>
      </c>
      <c r="Q1116" s="2">
        <v>8</v>
      </c>
      <c r="R1116" t="s">
        <v>43</v>
      </c>
      <c r="S1116" s="2">
        <v>3</v>
      </c>
      <c r="T1116" s="2">
        <v>4</v>
      </c>
      <c r="U1116">
        <v>80</v>
      </c>
      <c r="V1116" s="2">
        <v>10</v>
      </c>
      <c r="W1116">
        <v>3</v>
      </c>
      <c r="X1116">
        <v>2</v>
      </c>
      <c r="Y1116">
        <v>8</v>
      </c>
      <c r="Z1116">
        <v>2</v>
      </c>
      <c r="AA1116">
        <v>7</v>
      </c>
      <c r="AB1116">
        <v>6</v>
      </c>
    </row>
    <row r="1117" spans="1:28" x14ac:dyDescent="0.35">
      <c r="A1117" s="2">
        <v>34</v>
      </c>
      <c r="B1117" s="2" t="str" cm="1">
        <f t="array" ref="B1117">_xlfn.IFS(HR_table[[#This Row],[Age]]&lt;=20, "Under 20yrs",HR_table[[#This Row],[Age]]&lt;=30,"(21-30)yrs",HR_table[[#This Row],[Age]]&lt;=40,"(31-40)yrs",HR_table[[#This Row],[Age]]&lt;=50,"(41-50)yrs",HR_table[[#This Row],[Age]]&lt;=60,"(51-60)yrs")</f>
        <v>(31-40)yrs</v>
      </c>
      <c r="C1117" t="s">
        <v>43</v>
      </c>
      <c r="D1117" t="s">
        <v>36</v>
      </c>
      <c r="E1117" t="s">
        <v>45</v>
      </c>
      <c r="F1117" t="s">
        <v>51</v>
      </c>
      <c r="G1117" t="s">
        <v>47</v>
      </c>
      <c r="H1117">
        <v>1577</v>
      </c>
      <c r="I1117" s="2">
        <v>7</v>
      </c>
      <c r="J1117" s="2">
        <v>1</v>
      </c>
      <c r="K1117" t="s">
        <v>46</v>
      </c>
      <c r="L1117" s="2">
        <v>1</v>
      </c>
      <c r="M1117" s="2">
        <v>4</v>
      </c>
      <c r="N1117" t="s">
        <v>41</v>
      </c>
      <c r="O1117" s="2">
        <v>2972</v>
      </c>
      <c r="P1117" s="2">
        <v>22061</v>
      </c>
      <c r="Q1117" s="2">
        <v>1</v>
      </c>
      <c r="R1117" t="s">
        <v>43</v>
      </c>
      <c r="S1117" s="2">
        <v>3</v>
      </c>
      <c r="T1117" s="2">
        <v>3</v>
      </c>
      <c r="U1117">
        <v>80</v>
      </c>
      <c r="V1117" s="2">
        <v>1</v>
      </c>
      <c r="W1117">
        <v>4</v>
      </c>
      <c r="X1117">
        <v>1</v>
      </c>
      <c r="Y1117">
        <v>1</v>
      </c>
      <c r="Z1117">
        <v>0</v>
      </c>
      <c r="AA1117">
        <v>0</v>
      </c>
      <c r="AB1117">
        <v>0</v>
      </c>
    </row>
    <row r="1118" spans="1:28" x14ac:dyDescent="0.35">
      <c r="A1118" s="2">
        <v>55</v>
      </c>
      <c r="B1118" s="2" t="str" cm="1">
        <f t="array" ref="B1118">_xlfn.IFS(HR_table[[#This Row],[Age]]&lt;=20, "Under 20yrs",HR_table[[#This Row],[Age]]&lt;=30,"(21-30)yrs",HR_table[[#This Row],[Age]]&lt;=40,"(31-40)yrs",HR_table[[#This Row],[Age]]&lt;=50,"(41-50)yrs",HR_table[[#This Row],[Age]]&lt;=60,"(51-60)yrs")</f>
        <v>(51-60)yrs</v>
      </c>
      <c r="C1118" t="s">
        <v>43</v>
      </c>
      <c r="D1118" t="s">
        <v>36</v>
      </c>
      <c r="E1118" t="s">
        <v>37</v>
      </c>
      <c r="F1118" t="s">
        <v>59</v>
      </c>
      <c r="G1118" t="s">
        <v>56</v>
      </c>
      <c r="H1118">
        <v>1578</v>
      </c>
      <c r="I1118" s="2">
        <v>26</v>
      </c>
      <c r="J1118" s="2">
        <v>3</v>
      </c>
      <c r="K1118" t="s">
        <v>46</v>
      </c>
      <c r="L1118" s="2">
        <v>5</v>
      </c>
      <c r="M1118" s="2">
        <v>4</v>
      </c>
      <c r="N1118" t="s">
        <v>48</v>
      </c>
      <c r="O1118" s="2">
        <v>19586</v>
      </c>
      <c r="P1118" s="2">
        <v>23037</v>
      </c>
      <c r="Q1118" s="2">
        <v>1</v>
      </c>
      <c r="R1118" t="s">
        <v>43</v>
      </c>
      <c r="S1118" s="2">
        <v>4</v>
      </c>
      <c r="T1118" s="2">
        <v>3</v>
      </c>
      <c r="U1118">
        <v>80</v>
      </c>
      <c r="V1118" s="2">
        <v>36</v>
      </c>
      <c r="W1118">
        <v>3</v>
      </c>
      <c r="X1118">
        <v>3</v>
      </c>
      <c r="Y1118">
        <v>36</v>
      </c>
      <c r="Z1118">
        <v>6</v>
      </c>
      <c r="AA1118">
        <v>2</v>
      </c>
      <c r="AB1118">
        <v>13</v>
      </c>
    </row>
    <row r="1119" spans="1:28" x14ac:dyDescent="0.35">
      <c r="A1119" s="2">
        <v>34</v>
      </c>
      <c r="B1119" s="2" t="str" cm="1">
        <f t="array" ref="B1119">_xlfn.IFS(HR_table[[#This Row],[Age]]&lt;=20, "Under 20yrs",HR_table[[#This Row],[Age]]&lt;=30,"(21-30)yrs",HR_table[[#This Row],[Age]]&lt;=40,"(31-40)yrs",HR_table[[#This Row],[Age]]&lt;=50,"(41-50)yrs",HR_table[[#This Row],[Age]]&lt;=60,"(51-60)yrs")</f>
        <v>(31-40)yrs</v>
      </c>
      <c r="C1119" t="s">
        <v>43</v>
      </c>
      <c r="D1119" t="s">
        <v>36</v>
      </c>
      <c r="E1119" t="s">
        <v>45</v>
      </c>
      <c r="F1119" t="s">
        <v>38</v>
      </c>
      <c r="G1119" t="s">
        <v>47</v>
      </c>
      <c r="H1119">
        <v>1580</v>
      </c>
      <c r="I1119" s="2">
        <v>1</v>
      </c>
      <c r="J1119" s="2">
        <v>2</v>
      </c>
      <c r="K1119" t="s">
        <v>46</v>
      </c>
      <c r="L1119" s="2">
        <v>2</v>
      </c>
      <c r="M1119" s="2">
        <v>4</v>
      </c>
      <c r="N1119" t="s">
        <v>48</v>
      </c>
      <c r="O1119" s="2">
        <v>5484</v>
      </c>
      <c r="P1119" s="2">
        <v>13008</v>
      </c>
      <c r="Q1119" s="2">
        <v>9</v>
      </c>
      <c r="R1119" t="s">
        <v>43</v>
      </c>
      <c r="S1119" s="2">
        <v>3</v>
      </c>
      <c r="T1119" s="2">
        <v>2</v>
      </c>
      <c r="U1119">
        <v>80</v>
      </c>
      <c r="V1119" s="2">
        <v>9</v>
      </c>
      <c r="W1119">
        <v>3</v>
      </c>
      <c r="X1119">
        <v>2</v>
      </c>
      <c r="Y1119">
        <v>2</v>
      </c>
      <c r="Z1119">
        <v>2</v>
      </c>
      <c r="AA1119">
        <v>2</v>
      </c>
      <c r="AB1119">
        <v>1</v>
      </c>
    </row>
    <row r="1120" spans="1:28" x14ac:dyDescent="0.35">
      <c r="A1120" s="2">
        <v>26</v>
      </c>
      <c r="B1120" s="2" t="str" cm="1">
        <f t="array" ref="B1120">_xlfn.IFS(HR_table[[#This Row],[Age]]&lt;=20, "Under 20yrs",HR_table[[#This Row],[Age]]&lt;=30,"(21-30)yrs",HR_table[[#This Row],[Age]]&lt;=40,"(31-40)yrs",HR_table[[#This Row],[Age]]&lt;=50,"(41-50)yrs",HR_table[[#This Row],[Age]]&lt;=60,"(51-60)yrs")</f>
        <v>(21-30)yrs</v>
      </c>
      <c r="C1120" t="s">
        <v>43</v>
      </c>
      <c r="D1120" t="s">
        <v>36</v>
      </c>
      <c r="E1120" t="s">
        <v>45</v>
      </c>
      <c r="F1120" t="s">
        <v>38</v>
      </c>
      <c r="G1120" t="s">
        <v>47</v>
      </c>
      <c r="H1120">
        <v>1581</v>
      </c>
      <c r="I1120" s="2">
        <v>3</v>
      </c>
      <c r="J1120" s="2">
        <v>1</v>
      </c>
      <c r="K1120" t="s">
        <v>39</v>
      </c>
      <c r="L1120" s="2">
        <v>1</v>
      </c>
      <c r="M1120" s="2">
        <v>4</v>
      </c>
      <c r="N1120" t="s">
        <v>48</v>
      </c>
      <c r="O1120" s="2">
        <v>2061</v>
      </c>
      <c r="P1120" s="2">
        <v>11133</v>
      </c>
      <c r="Q1120" s="2">
        <v>1</v>
      </c>
      <c r="R1120" t="s">
        <v>43</v>
      </c>
      <c r="S1120" s="2">
        <v>4</v>
      </c>
      <c r="T1120" s="2">
        <v>1</v>
      </c>
      <c r="U1120">
        <v>80</v>
      </c>
      <c r="V1120" s="2">
        <v>1</v>
      </c>
      <c r="W1120">
        <v>5</v>
      </c>
      <c r="X1120">
        <v>3</v>
      </c>
      <c r="Y1120">
        <v>1</v>
      </c>
      <c r="Z1120">
        <v>0</v>
      </c>
      <c r="AA1120">
        <v>0</v>
      </c>
      <c r="AB1120">
        <v>0</v>
      </c>
    </row>
    <row r="1121" spans="1:28" x14ac:dyDescent="0.35">
      <c r="A1121" s="2">
        <v>38</v>
      </c>
      <c r="B1121" s="2" t="str" cm="1">
        <f t="array" ref="B1121">_xlfn.IFS(HR_table[[#This Row],[Age]]&lt;=20, "Under 20yrs",HR_table[[#This Row],[Age]]&lt;=30,"(21-30)yrs",HR_table[[#This Row],[Age]]&lt;=40,"(31-40)yrs",HR_table[[#This Row],[Age]]&lt;=50,"(41-50)yrs",HR_table[[#This Row],[Age]]&lt;=60,"(51-60)yrs")</f>
        <v>(31-40)yrs</v>
      </c>
      <c r="C1121" t="s">
        <v>43</v>
      </c>
      <c r="D1121" t="s">
        <v>36</v>
      </c>
      <c r="E1121" t="s">
        <v>37</v>
      </c>
      <c r="F1121" t="s">
        <v>38</v>
      </c>
      <c r="G1121" t="s">
        <v>40</v>
      </c>
      <c r="H1121">
        <v>1582</v>
      </c>
      <c r="I1121" s="2">
        <v>14</v>
      </c>
      <c r="J1121" s="2">
        <v>3</v>
      </c>
      <c r="K1121" t="s">
        <v>46</v>
      </c>
      <c r="L1121" s="2">
        <v>2</v>
      </c>
      <c r="M1121" s="2">
        <v>2</v>
      </c>
      <c r="N1121" t="s">
        <v>48</v>
      </c>
      <c r="O1121" s="2">
        <v>9924</v>
      </c>
      <c r="P1121" s="2">
        <v>12355</v>
      </c>
      <c r="Q1121" s="2">
        <v>0</v>
      </c>
      <c r="R1121" t="s">
        <v>43</v>
      </c>
      <c r="S1121" s="2">
        <v>3</v>
      </c>
      <c r="T1121" s="2">
        <v>4</v>
      </c>
      <c r="U1121">
        <v>80</v>
      </c>
      <c r="V1121" s="2">
        <v>10</v>
      </c>
      <c r="W1121">
        <v>3</v>
      </c>
      <c r="X1121">
        <v>3</v>
      </c>
      <c r="Y1121">
        <v>9</v>
      </c>
      <c r="Z1121">
        <v>8</v>
      </c>
      <c r="AA1121">
        <v>7</v>
      </c>
      <c r="AB1121">
        <v>7</v>
      </c>
    </row>
    <row r="1122" spans="1:28" x14ac:dyDescent="0.35">
      <c r="A1122" s="2">
        <v>38</v>
      </c>
      <c r="B1122" s="2" t="str" cm="1">
        <f t="array" ref="B1122">_xlfn.IFS(HR_table[[#This Row],[Age]]&lt;=20, "Under 20yrs",HR_table[[#This Row],[Age]]&lt;=30,"(21-30)yrs",HR_table[[#This Row],[Age]]&lt;=40,"(31-40)yrs",HR_table[[#This Row],[Age]]&lt;=50,"(41-50)yrs",HR_table[[#This Row],[Age]]&lt;=60,"(51-60)yrs")</f>
        <v>(31-40)yrs</v>
      </c>
      <c r="C1122" t="s">
        <v>43</v>
      </c>
      <c r="D1122" t="s">
        <v>36</v>
      </c>
      <c r="E1122" t="s">
        <v>37</v>
      </c>
      <c r="F1122" t="s">
        <v>38</v>
      </c>
      <c r="G1122" t="s">
        <v>40</v>
      </c>
      <c r="H1122">
        <v>1583</v>
      </c>
      <c r="I1122" s="2">
        <v>16</v>
      </c>
      <c r="J1122" s="2">
        <v>2</v>
      </c>
      <c r="K1122" t="s">
        <v>39</v>
      </c>
      <c r="L1122" s="2">
        <v>2</v>
      </c>
      <c r="M1122" s="2">
        <v>2</v>
      </c>
      <c r="N1122" t="s">
        <v>41</v>
      </c>
      <c r="O1122" s="2">
        <v>4198</v>
      </c>
      <c r="P1122" s="2">
        <v>16379</v>
      </c>
      <c r="Q1122" s="2">
        <v>2</v>
      </c>
      <c r="R1122" t="s">
        <v>43</v>
      </c>
      <c r="S1122" s="2">
        <v>3</v>
      </c>
      <c r="T1122" s="2">
        <v>2</v>
      </c>
      <c r="U1122">
        <v>80</v>
      </c>
      <c r="V1122" s="2">
        <v>8</v>
      </c>
      <c r="W1122">
        <v>5</v>
      </c>
      <c r="X1122">
        <v>4</v>
      </c>
      <c r="Y1122">
        <v>3</v>
      </c>
      <c r="Z1122">
        <v>2</v>
      </c>
      <c r="AA1122">
        <v>1</v>
      </c>
      <c r="AB1122">
        <v>2</v>
      </c>
    </row>
    <row r="1123" spans="1:28" x14ac:dyDescent="0.35">
      <c r="A1123" s="2">
        <v>36</v>
      </c>
      <c r="B1123" s="2" t="str" cm="1">
        <f t="array" ref="B1123">_xlfn.IFS(HR_table[[#This Row],[Age]]&lt;=20, "Under 20yrs",HR_table[[#This Row],[Age]]&lt;=30,"(21-30)yrs",HR_table[[#This Row],[Age]]&lt;=40,"(31-40)yrs",HR_table[[#This Row],[Age]]&lt;=50,"(41-50)yrs",HR_table[[#This Row],[Age]]&lt;=60,"(51-60)yrs")</f>
        <v>(31-40)yrs</v>
      </c>
      <c r="C1123" t="s">
        <v>43</v>
      </c>
      <c r="D1123" t="s">
        <v>36</v>
      </c>
      <c r="E1123" t="s">
        <v>37</v>
      </c>
      <c r="F1123" t="s">
        <v>38</v>
      </c>
      <c r="G1123" t="s">
        <v>40</v>
      </c>
      <c r="H1123">
        <v>1585</v>
      </c>
      <c r="I1123" s="2">
        <v>1</v>
      </c>
      <c r="J1123" s="2">
        <v>2</v>
      </c>
      <c r="K1123" t="s">
        <v>39</v>
      </c>
      <c r="L1123" s="2">
        <v>2</v>
      </c>
      <c r="M1123" s="2">
        <v>3</v>
      </c>
      <c r="N1123" t="s">
        <v>41</v>
      </c>
      <c r="O1123" s="2">
        <v>6815</v>
      </c>
      <c r="P1123" s="2">
        <v>21447</v>
      </c>
      <c r="Q1123" s="2">
        <v>6</v>
      </c>
      <c r="R1123" t="s">
        <v>43</v>
      </c>
      <c r="S1123" s="2">
        <v>3</v>
      </c>
      <c r="T1123" s="2">
        <v>1</v>
      </c>
      <c r="U1123">
        <v>80</v>
      </c>
      <c r="V1123" s="2">
        <v>15</v>
      </c>
      <c r="W1123">
        <v>5</v>
      </c>
      <c r="X1123">
        <v>3</v>
      </c>
      <c r="Y1123">
        <v>1</v>
      </c>
      <c r="Z1123">
        <v>0</v>
      </c>
      <c r="AA1123">
        <v>0</v>
      </c>
      <c r="AB1123">
        <v>0</v>
      </c>
    </row>
    <row r="1124" spans="1:28" x14ac:dyDescent="0.35">
      <c r="A1124" s="2">
        <v>29</v>
      </c>
      <c r="B1124" s="2" t="str" cm="1">
        <f t="array" ref="B1124">_xlfn.IFS(HR_table[[#This Row],[Age]]&lt;=20, "Under 20yrs",HR_table[[#This Row],[Age]]&lt;=30,"(21-30)yrs",HR_table[[#This Row],[Age]]&lt;=40,"(31-40)yrs",HR_table[[#This Row],[Age]]&lt;=50,"(41-50)yrs",HR_table[[#This Row],[Age]]&lt;=60,"(51-60)yrs")</f>
        <v>(21-30)yrs</v>
      </c>
      <c r="C1124" t="s">
        <v>43</v>
      </c>
      <c r="D1124" t="s">
        <v>36</v>
      </c>
      <c r="E1124" t="s">
        <v>45</v>
      </c>
      <c r="F1124" t="s">
        <v>51</v>
      </c>
      <c r="G1124" t="s">
        <v>50</v>
      </c>
      <c r="H1124">
        <v>1586</v>
      </c>
      <c r="I1124" s="2">
        <v>3</v>
      </c>
      <c r="J1124" s="2">
        <v>2</v>
      </c>
      <c r="K1124" t="s">
        <v>46</v>
      </c>
      <c r="L1124" s="2">
        <v>1</v>
      </c>
      <c r="M1124" s="2">
        <v>1</v>
      </c>
      <c r="N1124" t="s">
        <v>41</v>
      </c>
      <c r="O1124" s="2">
        <v>4723</v>
      </c>
      <c r="P1124" s="2">
        <v>16213</v>
      </c>
      <c r="Q1124" s="2">
        <v>1</v>
      </c>
      <c r="R1124" t="s">
        <v>35</v>
      </c>
      <c r="S1124" s="2">
        <v>3</v>
      </c>
      <c r="T1124" s="2">
        <v>4</v>
      </c>
      <c r="U1124">
        <v>80</v>
      </c>
      <c r="V1124" s="2">
        <v>10</v>
      </c>
      <c r="W1124">
        <v>3</v>
      </c>
      <c r="X1124">
        <v>3</v>
      </c>
      <c r="Y1124">
        <v>10</v>
      </c>
      <c r="Z1124">
        <v>9</v>
      </c>
      <c r="AA1124">
        <v>1</v>
      </c>
      <c r="AB1124">
        <v>5</v>
      </c>
    </row>
    <row r="1125" spans="1:28" x14ac:dyDescent="0.35">
      <c r="A1125" s="2">
        <v>35</v>
      </c>
      <c r="B1125" s="2" t="str" cm="1">
        <f t="array" ref="B1125">_xlfn.IFS(HR_table[[#This Row],[Age]]&lt;=20, "Under 20yrs",HR_table[[#This Row],[Age]]&lt;=30,"(21-30)yrs",HR_table[[#This Row],[Age]]&lt;=40,"(31-40)yrs",HR_table[[#This Row],[Age]]&lt;=50,"(41-50)yrs",HR_table[[#This Row],[Age]]&lt;=60,"(51-60)yrs")</f>
        <v>(31-40)yrs</v>
      </c>
      <c r="C1125" t="s">
        <v>43</v>
      </c>
      <c r="D1125" t="s">
        <v>36</v>
      </c>
      <c r="E1125" t="s">
        <v>45</v>
      </c>
      <c r="F1125" t="s">
        <v>51</v>
      </c>
      <c r="G1125" t="s">
        <v>54</v>
      </c>
      <c r="H1125">
        <v>1587</v>
      </c>
      <c r="I1125" s="2">
        <v>10</v>
      </c>
      <c r="J1125" s="2">
        <v>1</v>
      </c>
      <c r="K1125" t="s">
        <v>39</v>
      </c>
      <c r="L1125" s="2">
        <v>2</v>
      </c>
      <c r="M1125" s="2">
        <v>3</v>
      </c>
      <c r="N1125" t="s">
        <v>41</v>
      </c>
      <c r="O1125" s="2">
        <v>6142</v>
      </c>
      <c r="P1125" s="2">
        <v>4223</v>
      </c>
      <c r="Q1125" s="2">
        <v>3</v>
      </c>
      <c r="R1125" t="s">
        <v>35</v>
      </c>
      <c r="S1125" s="2">
        <v>3</v>
      </c>
      <c r="T1125" s="2">
        <v>3</v>
      </c>
      <c r="U1125">
        <v>80</v>
      </c>
      <c r="V1125" s="2">
        <v>10</v>
      </c>
      <c r="W1125">
        <v>4</v>
      </c>
      <c r="X1125">
        <v>3</v>
      </c>
      <c r="Y1125">
        <v>5</v>
      </c>
      <c r="Z1125">
        <v>2</v>
      </c>
      <c r="AA1125">
        <v>0</v>
      </c>
      <c r="AB1125">
        <v>4</v>
      </c>
    </row>
    <row r="1126" spans="1:28" x14ac:dyDescent="0.35">
      <c r="A1126" s="2">
        <v>39</v>
      </c>
      <c r="B1126" s="2" t="str" cm="1">
        <f t="array" ref="B1126">_xlfn.IFS(HR_table[[#This Row],[Age]]&lt;=20, "Under 20yrs",HR_table[[#This Row],[Age]]&lt;=30,"(21-30)yrs",HR_table[[#This Row],[Age]]&lt;=40,"(31-40)yrs",HR_table[[#This Row],[Age]]&lt;=50,"(41-50)yrs",HR_table[[#This Row],[Age]]&lt;=60,"(51-60)yrs")</f>
        <v>(31-40)yrs</v>
      </c>
      <c r="C1126" t="s">
        <v>43</v>
      </c>
      <c r="D1126" t="s">
        <v>36</v>
      </c>
      <c r="E1126" t="s">
        <v>37</v>
      </c>
      <c r="F1126" t="s">
        <v>51</v>
      </c>
      <c r="G1126" t="s">
        <v>40</v>
      </c>
      <c r="H1126">
        <v>1588</v>
      </c>
      <c r="I1126" s="2">
        <v>6</v>
      </c>
      <c r="J1126" s="2">
        <v>4</v>
      </c>
      <c r="K1126" t="s">
        <v>46</v>
      </c>
      <c r="L1126" s="2">
        <v>3</v>
      </c>
      <c r="M1126" s="2">
        <v>3</v>
      </c>
      <c r="N1126" t="s">
        <v>48</v>
      </c>
      <c r="O1126" s="2">
        <v>8237</v>
      </c>
      <c r="P1126" s="2">
        <v>4658</v>
      </c>
      <c r="Q1126" s="2">
        <v>2</v>
      </c>
      <c r="R1126" t="s">
        <v>43</v>
      </c>
      <c r="S1126" s="2">
        <v>3</v>
      </c>
      <c r="T1126" s="2">
        <v>1</v>
      </c>
      <c r="U1126">
        <v>80</v>
      </c>
      <c r="V1126" s="2">
        <v>11</v>
      </c>
      <c r="W1126">
        <v>3</v>
      </c>
      <c r="X1126">
        <v>3</v>
      </c>
      <c r="Y1126">
        <v>7</v>
      </c>
      <c r="Z1126">
        <v>6</v>
      </c>
      <c r="AA1126">
        <v>7</v>
      </c>
      <c r="AB1126">
        <v>6</v>
      </c>
    </row>
    <row r="1127" spans="1:28" x14ac:dyDescent="0.35">
      <c r="A1127" s="2">
        <v>29</v>
      </c>
      <c r="B1127" s="2" t="str" cm="1">
        <f t="array" ref="B1127">_xlfn.IFS(HR_table[[#This Row],[Age]]&lt;=20, "Under 20yrs",HR_table[[#This Row],[Age]]&lt;=30,"(21-30)yrs",HR_table[[#This Row],[Age]]&lt;=40,"(31-40)yrs",HR_table[[#This Row],[Age]]&lt;=50,"(41-50)yrs",HR_table[[#This Row],[Age]]&lt;=60,"(51-60)yrs")</f>
        <v>(21-30)yrs</v>
      </c>
      <c r="C1127" t="s">
        <v>43</v>
      </c>
      <c r="D1127" t="s">
        <v>44</v>
      </c>
      <c r="E1127" t="s">
        <v>45</v>
      </c>
      <c r="F1127" t="s">
        <v>38</v>
      </c>
      <c r="G1127" t="s">
        <v>54</v>
      </c>
      <c r="H1127">
        <v>1590</v>
      </c>
      <c r="I1127" s="2">
        <v>2</v>
      </c>
      <c r="J1127" s="2">
        <v>1</v>
      </c>
      <c r="K1127" t="s">
        <v>46</v>
      </c>
      <c r="L1127" s="2">
        <v>2</v>
      </c>
      <c r="M1127" s="2">
        <v>4</v>
      </c>
      <c r="N1127" t="s">
        <v>52</v>
      </c>
      <c r="O1127" s="2">
        <v>8853</v>
      </c>
      <c r="P1127" s="2">
        <v>24483</v>
      </c>
      <c r="Q1127" s="2">
        <v>1</v>
      </c>
      <c r="R1127" t="s">
        <v>43</v>
      </c>
      <c r="S1127" s="2">
        <v>3</v>
      </c>
      <c r="T1127" s="2">
        <v>4</v>
      </c>
      <c r="U1127">
        <v>80</v>
      </c>
      <c r="V1127" s="2">
        <v>6</v>
      </c>
      <c r="W1127">
        <v>0</v>
      </c>
      <c r="X1127">
        <v>4</v>
      </c>
      <c r="Y1127">
        <v>6</v>
      </c>
      <c r="Z1127">
        <v>4</v>
      </c>
      <c r="AA1127">
        <v>1</v>
      </c>
      <c r="AB1127">
        <v>3</v>
      </c>
    </row>
    <row r="1128" spans="1:28" x14ac:dyDescent="0.35">
      <c r="A1128" s="2">
        <v>50</v>
      </c>
      <c r="B1128" s="2" t="str" cm="1">
        <f t="array" ref="B1128">_xlfn.IFS(HR_table[[#This Row],[Age]]&lt;=20, "Under 20yrs",HR_table[[#This Row],[Age]]&lt;=30,"(21-30)yrs",HR_table[[#This Row],[Age]]&lt;=40,"(31-40)yrs",HR_table[[#This Row],[Age]]&lt;=50,"(41-50)yrs",HR_table[[#This Row],[Age]]&lt;=60,"(51-60)yrs")</f>
        <v>(41-50)yrs</v>
      </c>
      <c r="C1128" t="s">
        <v>43</v>
      </c>
      <c r="D1128" t="s">
        <v>36</v>
      </c>
      <c r="E1128" t="s">
        <v>37</v>
      </c>
      <c r="F1128" t="s">
        <v>59</v>
      </c>
      <c r="G1128" t="s">
        <v>56</v>
      </c>
      <c r="H1128">
        <v>1591</v>
      </c>
      <c r="I1128" s="2">
        <v>9</v>
      </c>
      <c r="J1128" s="2">
        <v>3</v>
      </c>
      <c r="K1128" t="s">
        <v>46</v>
      </c>
      <c r="L1128" s="2">
        <v>5</v>
      </c>
      <c r="M1128" s="2">
        <v>3</v>
      </c>
      <c r="N1128" t="s">
        <v>48</v>
      </c>
      <c r="O1128" s="2">
        <v>19331</v>
      </c>
      <c r="P1128" s="2">
        <v>19519</v>
      </c>
      <c r="Q1128" s="2">
        <v>4</v>
      </c>
      <c r="R1128" t="s">
        <v>35</v>
      </c>
      <c r="S1128" s="2">
        <v>3</v>
      </c>
      <c r="T1128" s="2">
        <v>3</v>
      </c>
      <c r="U1128">
        <v>80</v>
      </c>
      <c r="V1128" s="2">
        <v>27</v>
      </c>
      <c r="W1128">
        <v>2</v>
      </c>
      <c r="X1128">
        <v>3</v>
      </c>
      <c r="Y1128">
        <v>1</v>
      </c>
      <c r="Z1128">
        <v>0</v>
      </c>
      <c r="AA1128">
        <v>0</v>
      </c>
      <c r="AB1128">
        <v>0</v>
      </c>
    </row>
    <row r="1129" spans="1:28" x14ac:dyDescent="0.35">
      <c r="A1129" s="2">
        <v>23</v>
      </c>
      <c r="B1129" s="2" t="str" cm="1">
        <f t="array" ref="B1129">_xlfn.IFS(HR_table[[#This Row],[Age]]&lt;=20, "Under 20yrs",HR_table[[#This Row],[Age]]&lt;=30,"(21-30)yrs",HR_table[[#This Row],[Age]]&lt;=40,"(31-40)yrs",HR_table[[#This Row],[Age]]&lt;=50,"(41-50)yrs",HR_table[[#This Row],[Age]]&lt;=60,"(51-60)yrs")</f>
        <v>(21-30)yrs</v>
      </c>
      <c r="C1129" t="s">
        <v>43</v>
      </c>
      <c r="D1129" t="s">
        <v>36</v>
      </c>
      <c r="E1129" t="s">
        <v>45</v>
      </c>
      <c r="F1129" t="s">
        <v>60</v>
      </c>
      <c r="G1129" t="s">
        <v>47</v>
      </c>
      <c r="H1129">
        <v>1592</v>
      </c>
      <c r="I1129" s="2">
        <v>10</v>
      </c>
      <c r="J1129" s="2">
        <v>4</v>
      </c>
      <c r="K1129" t="s">
        <v>46</v>
      </c>
      <c r="L1129" s="2">
        <v>1</v>
      </c>
      <c r="M1129" s="2">
        <v>3</v>
      </c>
      <c r="N1129" t="s">
        <v>48</v>
      </c>
      <c r="O1129" s="2">
        <v>2073</v>
      </c>
      <c r="P1129" s="2">
        <v>12826</v>
      </c>
      <c r="Q1129" s="2">
        <v>2</v>
      </c>
      <c r="R1129" t="s">
        <v>43</v>
      </c>
      <c r="S1129" s="2">
        <v>3</v>
      </c>
      <c r="T1129" s="2">
        <v>4</v>
      </c>
      <c r="U1129">
        <v>80</v>
      </c>
      <c r="V1129" s="2">
        <v>4</v>
      </c>
      <c r="W1129">
        <v>2</v>
      </c>
      <c r="X1129">
        <v>3</v>
      </c>
      <c r="Y1129">
        <v>2</v>
      </c>
      <c r="Z1129">
        <v>2</v>
      </c>
      <c r="AA1129">
        <v>2</v>
      </c>
      <c r="AB1129">
        <v>2</v>
      </c>
    </row>
    <row r="1130" spans="1:28" x14ac:dyDescent="0.35">
      <c r="A1130" s="2">
        <v>36</v>
      </c>
      <c r="B1130" s="2" t="str" cm="1">
        <f t="array" ref="B1130">_xlfn.IFS(HR_table[[#This Row],[Age]]&lt;=20, "Under 20yrs",HR_table[[#This Row],[Age]]&lt;=30,"(21-30)yrs",HR_table[[#This Row],[Age]]&lt;=40,"(31-40)yrs",HR_table[[#This Row],[Age]]&lt;=50,"(41-50)yrs",HR_table[[#This Row],[Age]]&lt;=60,"(51-60)yrs")</f>
        <v>(31-40)yrs</v>
      </c>
      <c r="C1130" t="s">
        <v>43</v>
      </c>
      <c r="D1130" t="s">
        <v>44</v>
      </c>
      <c r="E1130" t="s">
        <v>45</v>
      </c>
      <c r="F1130" t="s">
        <v>38</v>
      </c>
      <c r="G1130" t="s">
        <v>50</v>
      </c>
      <c r="H1130">
        <v>1594</v>
      </c>
      <c r="I1130" s="2">
        <v>6</v>
      </c>
      <c r="J1130" s="2">
        <v>1</v>
      </c>
      <c r="K1130" t="s">
        <v>46</v>
      </c>
      <c r="L1130" s="2">
        <v>2</v>
      </c>
      <c r="M1130" s="2">
        <v>1</v>
      </c>
      <c r="N1130" t="s">
        <v>48</v>
      </c>
      <c r="O1130" s="2">
        <v>5562</v>
      </c>
      <c r="P1130" s="2">
        <v>19711</v>
      </c>
      <c r="Q1130" s="2">
        <v>3</v>
      </c>
      <c r="R1130" t="s">
        <v>35</v>
      </c>
      <c r="S1130" s="2">
        <v>3</v>
      </c>
      <c r="T1130" s="2">
        <v>4</v>
      </c>
      <c r="U1130">
        <v>80</v>
      </c>
      <c r="V1130" s="2">
        <v>9</v>
      </c>
      <c r="W1130">
        <v>3</v>
      </c>
      <c r="X1130">
        <v>3</v>
      </c>
      <c r="Y1130">
        <v>3</v>
      </c>
      <c r="Z1130">
        <v>2</v>
      </c>
      <c r="AA1130">
        <v>0</v>
      </c>
      <c r="AB1130">
        <v>2</v>
      </c>
    </row>
    <row r="1131" spans="1:28" x14ac:dyDescent="0.35">
      <c r="A1131" s="2">
        <v>42</v>
      </c>
      <c r="B1131" s="2" t="str" cm="1">
        <f t="array" ref="B1131">_xlfn.IFS(HR_table[[#This Row],[Age]]&lt;=20, "Under 20yrs",HR_table[[#This Row],[Age]]&lt;=30,"(21-30)yrs",HR_table[[#This Row],[Age]]&lt;=40,"(31-40)yrs",HR_table[[#This Row],[Age]]&lt;=50,"(41-50)yrs",HR_table[[#This Row],[Age]]&lt;=60,"(51-60)yrs")</f>
        <v>(41-50)yrs</v>
      </c>
      <c r="C1131" t="s">
        <v>43</v>
      </c>
      <c r="D1131" t="s">
        <v>36</v>
      </c>
      <c r="E1131" t="s">
        <v>45</v>
      </c>
      <c r="F1131" t="s">
        <v>49</v>
      </c>
      <c r="G1131" t="s">
        <v>56</v>
      </c>
      <c r="H1131">
        <v>1595</v>
      </c>
      <c r="I1131" s="2">
        <v>9</v>
      </c>
      <c r="J1131" s="2">
        <v>4</v>
      </c>
      <c r="K1131" t="s">
        <v>46</v>
      </c>
      <c r="L1131" s="2">
        <v>5</v>
      </c>
      <c r="M1131" s="2">
        <v>4</v>
      </c>
      <c r="N1131" t="s">
        <v>41</v>
      </c>
      <c r="O1131" s="2">
        <v>19613</v>
      </c>
      <c r="P1131" s="2">
        <v>26362</v>
      </c>
      <c r="Q1131" s="2">
        <v>8</v>
      </c>
      <c r="R1131" t="s">
        <v>43</v>
      </c>
      <c r="S1131" s="2">
        <v>4</v>
      </c>
      <c r="T1131" s="2">
        <v>4</v>
      </c>
      <c r="U1131">
        <v>80</v>
      </c>
      <c r="V1131" s="2">
        <v>24</v>
      </c>
      <c r="W1131">
        <v>2</v>
      </c>
      <c r="X1131">
        <v>3</v>
      </c>
      <c r="Y1131">
        <v>1</v>
      </c>
      <c r="Z1131">
        <v>0</v>
      </c>
      <c r="AA1131">
        <v>0</v>
      </c>
      <c r="AB1131">
        <v>1</v>
      </c>
    </row>
    <row r="1132" spans="1:28" x14ac:dyDescent="0.35">
      <c r="A1132" s="2">
        <v>35</v>
      </c>
      <c r="B1132" s="2" t="str" cm="1">
        <f t="array" ref="B1132">_xlfn.IFS(HR_table[[#This Row],[Age]]&lt;=20, "Under 20yrs",HR_table[[#This Row],[Age]]&lt;=30,"(21-30)yrs",HR_table[[#This Row],[Age]]&lt;=40,"(31-40)yrs",HR_table[[#This Row],[Age]]&lt;=50,"(41-50)yrs",HR_table[[#This Row],[Age]]&lt;=60,"(51-60)yrs")</f>
        <v>(31-40)yrs</v>
      </c>
      <c r="C1132" t="s">
        <v>43</v>
      </c>
      <c r="D1132" t="s">
        <v>36</v>
      </c>
      <c r="E1132" t="s">
        <v>45</v>
      </c>
      <c r="F1132" t="s">
        <v>38</v>
      </c>
      <c r="G1132" t="s">
        <v>50</v>
      </c>
      <c r="H1132">
        <v>1596</v>
      </c>
      <c r="I1132" s="2">
        <v>28</v>
      </c>
      <c r="J1132" s="2">
        <v>2</v>
      </c>
      <c r="K1132" t="s">
        <v>46</v>
      </c>
      <c r="L1132" s="2">
        <v>2</v>
      </c>
      <c r="M1132" s="2">
        <v>3</v>
      </c>
      <c r="N1132" t="s">
        <v>48</v>
      </c>
      <c r="O1132" s="2">
        <v>3407</v>
      </c>
      <c r="P1132" s="2">
        <v>25348</v>
      </c>
      <c r="Q1132" s="2">
        <v>1</v>
      </c>
      <c r="R1132" t="s">
        <v>43</v>
      </c>
      <c r="S1132" s="2">
        <v>3</v>
      </c>
      <c r="T1132" s="2">
        <v>4</v>
      </c>
      <c r="U1132">
        <v>80</v>
      </c>
      <c r="V1132" s="2">
        <v>10</v>
      </c>
      <c r="W1132">
        <v>3</v>
      </c>
      <c r="X1132">
        <v>2</v>
      </c>
      <c r="Y1132">
        <v>10</v>
      </c>
      <c r="Z1132">
        <v>9</v>
      </c>
      <c r="AA1132">
        <v>6</v>
      </c>
      <c r="AB1132">
        <v>8</v>
      </c>
    </row>
    <row r="1133" spans="1:28" x14ac:dyDescent="0.35">
      <c r="A1133" s="2">
        <v>34</v>
      </c>
      <c r="B1133" s="2" t="str" cm="1">
        <f t="array" ref="B1133">_xlfn.IFS(HR_table[[#This Row],[Age]]&lt;=20, "Under 20yrs",HR_table[[#This Row],[Age]]&lt;=30,"(21-30)yrs",HR_table[[#This Row],[Age]]&lt;=40,"(31-40)yrs",HR_table[[#This Row],[Age]]&lt;=50,"(41-50)yrs",HR_table[[#This Row],[Age]]&lt;=60,"(51-60)yrs")</f>
        <v>(31-40)yrs</v>
      </c>
      <c r="C1133" t="s">
        <v>43</v>
      </c>
      <c r="D1133" t="s">
        <v>44</v>
      </c>
      <c r="E1133" t="s">
        <v>45</v>
      </c>
      <c r="F1133" t="s">
        <v>60</v>
      </c>
      <c r="G1133" t="s">
        <v>54</v>
      </c>
      <c r="H1133">
        <v>1597</v>
      </c>
      <c r="I1133" s="2">
        <v>10</v>
      </c>
      <c r="J1133" s="2">
        <v>4</v>
      </c>
      <c r="K1133" t="s">
        <v>46</v>
      </c>
      <c r="L1133" s="2">
        <v>2</v>
      </c>
      <c r="M1133" s="2">
        <v>3</v>
      </c>
      <c r="N1133" t="s">
        <v>48</v>
      </c>
      <c r="O1133" s="2">
        <v>5063</v>
      </c>
      <c r="P1133" s="2">
        <v>15332</v>
      </c>
      <c r="Q1133" s="2">
        <v>1</v>
      </c>
      <c r="R1133" t="s">
        <v>43</v>
      </c>
      <c r="S1133" s="2">
        <v>3</v>
      </c>
      <c r="T1133" s="2">
        <v>2</v>
      </c>
      <c r="U1133">
        <v>80</v>
      </c>
      <c r="V1133" s="2">
        <v>8</v>
      </c>
      <c r="W1133">
        <v>3</v>
      </c>
      <c r="X1133">
        <v>2</v>
      </c>
      <c r="Y1133">
        <v>8</v>
      </c>
      <c r="Z1133">
        <v>2</v>
      </c>
      <c r="AA1133">
        <v>7</v>
      </c>
      <c r="AB1133">
        <v>7</v>
      </c>
    </row>
    <row r="1134" spans="1:28" x14ac:dyDescent="0.35">
      <c r="A1134" s="2">
        <v>40</v>
      </c>
      <c r="B1134" s="2" t="str" cm="1">
        <f t="array" ref="B1134">_xlfn.IFS(HR_table[[#This Row],[Age]]&lt;=20, "Under 20yrs",HR_table[[#This Row],[Age]]&lt;=30,"(21-30)yrs",HR_table[[#This Row],[Age]]&lt;=40,"(31-40)yrs",HR_table[[#This Row],[Age]]&lt;=50,"(41-50)yrs",HR_table[[#This Row],[Age]]&lt;=60,"(51-60)yrs")</f>
        <v>(31-40)yrs</v>
      </c>
      <c r="C1134" t="s">
        <v>43</v>
      </c>
      <c r="D1134" t="s">
        <v>36</v>
      </c>
      <c r="E1134" t="s">
        <v>37</v>
      </c>
      <c r="F1134" t="s">
        <v>38</v>
      </c>
      <c r="G1134" t="s">
        <v>40</v>
      </c>
      <c r="H1134">
        <v>1598</v>
      </c>
      <c r="I1134" s="2">
        <v>14</v>
      </c>
      <c r="J1134" s="2">
        <v>4</v>
      </c>
      <c r="K1134" t="s">
        <v>39</v>
      </c>
      <c r="L1134" s="2">
        <v>2</v>
      </c>
      <c r="M1134" s="2">
        <v>1</v>
      </c>
      <c r="N1134" t="s">
        <v>48</v>
      </c>
      <c r="O1134" s="2">
        <v>4639</v>
      </c>
      <c r="P1134" s="2">
        <v>11262</v>
      </c>
      <c r="Q1134" s="2">
        <v>1</v>
      </c>
      <c r="R1134" t="s">
        <v>43</v>
      </c>
      <c r="S1134" s="2">
        <v>3</v>
      </c>
      <c r="T1134" s="2">
        <v>3</v>
      </c>
      <c r="U1134">
        <v>80</v>
      </c>
      <c r="V1134" s="2">
        <v>5</v>
      </c>
      <c r="W1134">
        <v>2</v>
      </c>
      <c r="X1134">
        <v>3</v>
      </c>
      <c r="Y1134">
        <v>5</v>
      </c>
      <c r="Z1134">
        <v>4</v>
      </c>
      <c r="AA1134">
        <v>1</v>
      </c>
      <c r="AB1134">
        <v>2</v>
      </c>
    </row>
    <row r="1135" spans="1:28" x14ac:dyDescent="0.35">
      <c r="A1135" s="2">
        <v>43</v>
      </c>
      <c r="B1135" s="2" t="str" cm="1">
        <f t="array" ref="B1135">_xlfn.IFS(HR_table[[#This Row],[Age]]&lt;=20, "Under 20yrs",HR_table[[#This Row],[Age]]&lt;=30,"(21-30)yrs",HR_table[[#This Row],[Age]]&lt;=40,"(31-40)yrs",HR_table[[#This Row],[Age]]&lt;=50,"(41-50)yrs",HR_table[[#This Row],[Age]]&lt;=60,"(51-60)yrs")</f>
        <v>(41-50)yrs</v>
      </c>
      <c r="C1135" t="s">
        <v>43</v>
      </c>
      <c r="D1135" t="s">
        <v>36</v>
      </c>
      <c r="E1135" t="s">
        <v>45</v>
      </c>
      <c r="F1135" t="s">
        <v>60</v>
      </c>
      <c r="G1135" t="s">
        <v>50</v>
      </c>
      <c r="H1135">
        <v>1599</v>
      </c>
      <c r="I1135" s="2">
        <v>27</v>
      </c>
      <c r="J1135" s="2">
        <v>4</v>
      </c>
      <c r="K1135" t="s">
        <v>46</v>
      </c>
      <c r="L1135" s="2">
        <v>1</v>
      </c>
      <c r="M1135" s="2">
        <v>2</v>
      </c>
      <c r="N1135" t="s">
        <v>52</v>
      </c>
      <c r="O1135" s="2">
        <v>4876</v>
      </c>
      <c r="P1135" s="2">
        <v>5855</v>
      </c>
      <c r="Q1135" s="2">
        <v>5</v>
      </c>
      <c r="R1135" t="s">
        <v>43</v>
      </c>
      <c r="S1135" s="2">
        <v>3</v>
      </c>
      <c r="T1135" s="2">
        <v>3</v>
      </c>
      <c r="U1135">
        <v>80</v>
      </c>
      <c r="V1135" s="2">
        <v>8</v>
      </c>
      <c r="W1135">
        <v>0</v>
      </c>
      <c r="X1135">
        <v>3</v>
      </c>
      <c r="Y1135">
        <v>6</v>
      </c>
      <c r="Z1135">
        <v>4</v>
      </c>
      <c r="AA1135">
        <v>0</v>
      </c>
      <c r="AB1135">
        <v>2</v>
      </c>
    </row>
    <row r="1136" spans="1:28" x14ac:dyDescent="0.35">
      <c r="A1136" s="2">
        <v>35</v>
      </c>
      <c r="B1136" s="2" t="str" cm="1">
        <f t="array" ref="B1136">_xlfn.IFS(HR_table[[#This Row],[Age]]&lt;=20, "Under 20yrs",HR_table[[#This Row],[Age]]&lt;=30,"(21-30)yrs",HR_table[[#This Row],[Age]]&lt;=40,"(31-40)yrs",HR_table[[#This Row],[Age]]&lt;=50,"(41-50)yrs",HR_table[[#This Row],[Age]]&lt;=60,"(51-60)yrs")</f>
        <v>(31-40)yrs</v>
      </c>
      <c r="C1136" t="s">
        <v>43</v>
      </c>
      <c r="D1136" t="s">
        <v>36</v>
      </c>
      <c r="E1136" t="s">
        <v>45</v>
      </c>
      <c r="F1136" t="s">
        <v>38</v>
      </c>
      <c r="G1136" t="s">
        <v>50</v>
      </c>
      <c r="H1136">
        <v>1601</v>
      </c>
      <c r="I1136" s="2">
        <v>7</v>
      </c>
      <c r="J1136" s="2">
        <v>3</v>
      </c>
      <c r="K1136" t="s">
        <v>46</v>
      </c>
      <c r="L1136" s="2">
        <v>1</v>
      </c>
      <c r="M1136" s="2">
        <v>4</v>
      </c>
      <c r="N1136" t="s">
        <v>48</v>
      </c>
      <c r="O1136" s="2">
        <v>2690</v>
      </c>
      <c r="P1136" s="2">
        <v>7713</v>
      </c>
      <c r="Q1136" s="2">
        <v>1</v>
      </c>
      <c r="R1136" t="s">
        <v>43</v>
      </c>
      <c r="S1136" s="2">
        <v>3</v>
      </c>
      <c r="T1136" s="2">
        <v>4</v>
      </c>
      <c r="U1136">
        <v>80</v>
      </c>
      <c r="V1136" s="2">
        <v>1</v>
      </c>
      <c r="W1136">
        <v>5</v>
      </c>
      <c r="X1136">
        <v>2</v>
      </c>
      <c r="Y1136">
        <v>1</v>
      </c>
      <c r="Z1136">
        <v>0</v>
      </c>
      <c r="AA1136">
        <v>0</v>
      </c>
      <c r="AB1136">
        <v>1</v>
      </c>
    </row>
    <row r="1137" spans="1:28" x14ac:dyDescent="0.35">
      <c r="A1137" s="2">
        <v>46</v>
      </c>
      <c r="B1137" s="2" t="str" cm="1">
        <f t="array" ref="B1137">_xlfn.IFS(HR_table[[#This Row],[Age]]&lt;=20, "Under 20yrs",HR_table[[#This Row],[Age]]&lt;=30,"(21-30)yrs",HR_table[[#This Row],[Age]]&lt;=40,"(31-40)yrs",HR_table[[#This Row],[Age]]&lt;=50,"(41-50)yrs",HR_table[[#This Row],[Age]]&lt;=60,"(51-60)yrs")</f>
        <v>(41-50)yrs</v>
      </c>
      <c r="C1137" t="s">
        <v>43</v>
      </c>
      <c r="D1137" t="s">
        <v>36</v>
      </c>
      <c r="E1137" t="s">
        <v>37</v>
      </c>
      <c r="F1137" t="s">
        <v>38</v>
      </c>
      <c r="G1137" t="s">
        <v>56</v>
      </c>
      <c r="H1137">
        <v>1602</v>
      </c>
      <c r="I1137" s="2">
        <v>1</v>
      </c>
      <c r="J1137" s="2">
        <v>4</v>
      </c>
      <c r="K1137" t="s">
        <v>46</v>
      </c>
      <c r="L1137" s="2">
        <v>4</v>
      </c>
      <c r="M1137" s="2">
        <v>1</v>
      </c>
      <c r="N1137" t="s">
        <v>41</v>
      </c>
      <c r="O1137" s="2">
        <v>17567</v>
      </c>
      <c r="P1137" s="2">
        <v>3156</v>
      </c>
      <c r="Q1137" s="2">
        <v>1</v>
      </c>
      <c r="R1137" t="s">
        <v>43</v>
      </c>
      <c r="S1137" s="2">
        <v>3</v>
      </c>
      <c r="T1137" s="2">
        <v>2</v>
      </c>
      <c r="U1137">
        <v>80</v>
      </c>
      <c r="V1137" s="2">
        <v>27</v>
      </c>
      <c r="W1137">
        <v>5</v>
      </c>
      <c r="X1137">
        <v>1</v>
      </c>
      <c r="Y1137">
        <v>26</v>
      </c>
      <c r="Z1137">
        <v>0</v>
      </c>
      <c r="AA1137">
        <v>0</v>
      </c>
      <c r="AB1137">
        <v>12</v>
      </c>
    </row>
    <row r="1138" spans="1:28" x14ac:dyDescent="0.35">
      <c r="A1138" s="2">
        <v>28</v>
      </c>
      <c r="B1138" s="2" t="str" cm="1">
        <f t="array" ref="B1138">_xlfn.IFS(HR_table[[#This Row],[Age]]&lt;=20, "Under 20yrs",HR_table[[#This Row],[Age]]&lt;=30,"(21-30)yrs",HR_table[[#This Row],[Age]]&lt;=40,"(31-40)yrs",HR_table[[#This Row],[Age]]&lt;=50,"(41-50)yrs",HR_table[[#This Row],[Age]]&lt;=60,"(51-60)yrs")</f>
        <v>(21-30)yrs</v>
      </c>
      <c r="C1138" t="s">
        <v>35</v>
      </c>
      <c r="D1138" t="s">
        <v>36</v>
      </c>
      <c r="E1138" t="s">
        <v>45</v>
      </c>
      <c r="F1138" t="s">
        <v>51</v>
      </c>
      <c r="G1138" t="s">
        <v>50</v>
      </c>
      <c r="H1138">
        <v>1604</v>
      </c>
      <c r="I1138" s="2">
        <v>24</v>
      </c>
      <c r="J1138" s="2">
        <v>3</v>
      </c>
      <c r="K1138" t="s">
        <v>46</v>
      </c>
      <c r="L1138" s="2">
        <v>1</v>
      </c>
      <c r="M1138" s="2">
        <v>2</v>
      </c>
      <c r="N1138" t="s">
        <v>48</v>
      </c>
      <c r="O1138" s="2">
        <v>2408</v>
      </c>
      <c r="P1138" s="2">
        <v>7324</v>
      </c>
      <c r="Q1138" s="2">
        <v>1</v>
      </c>
      <c r="R1138" t="s">
        <v>35</v>
      </c>
      <c r="S1138" s="2">
        <v>3</v>
      </c>
      <c r="T1138" s="2">
        <v>3</v>
      </c>
      <c r="U1138">
        <v>80</v>
      </c>
      <c r="V1138" s="2">
        <v>1</v>
      </c>
      <c r="W1138">
        <v>3</v>
      </c>
      <c r="X1138">
        <v>3</v>
      </c>
      <c r="Y1138">
        <v>1</v>
      </c>
      <c r="Z1138">
        <v>1</v>
      </c>
      <c r="AA1138">
        <v>0</v>
      </c>
      <c r="AB1138">
        <v>0</v>
      </c>
    </row>
    <row r="1139" spans="1:28" x14ac:dyDescent="0.35">
      <c r="A1139" s="2">
        <v>22</v>
      </c>
      <c r="B1139" s="2" t="str" cm="1">
        <f t="array" ref="B1139">_xlfn.IFS(HR_table[[#This Row],[Age]]&lt;=20, "Under 20yrs",HR_table[[#This Row],[Age]]&lt;=30,"(21-30)yrs",HR_table[[#This Row],[Age]]&lt;=40,"(31-40)yrs",HR_table[[#This Row],[Age]]&lt;=50,"(41-50)yrs",HR_table[[#This Row],[Age]]&lt;=60,"(51-60)yrs")</f>
        <v>(21-30)yrs</v>
      </c>
      <c r="C1139" t="s">
        <v>43</v>
      </c>
      <c r="D1139" t="s">
        <v>55</v>
      </c>
      <c r="E1139" t="s">
        <v>45</v>
      </c>
      <c r="F1139" t="s">
        <v>49</v>
      </c>
      <c r="G1139" t="s">
        <v>47</v>
      </c>
      <c r="H1139">
        <v>1605</v>
      </c>
      <c r="I1139" s="2">
        <v>26</v>
      </c>
      <c r="J1139" s="2">
        <v>2</v>
      </c>
      <c r="K1139" t="s">
        <v>39</v>
      </c>
      <c r="L1139" s="2">
        <v>1</v>
      </c>
      <c r="M1139" s="2">
        <v>3</v>
      </c>
      <c r="N1139" t="s">
        <v>48</v>
      </c>
      <c r="O1139" s="2">
        <v>2814</v>
      </c>
      <c r="P1139" s="2">
        <v>10293</v>
      </c>
      <c r="Q1139" s="2">
        <v>1</v>
      </c>
      <c r="R1139" t="s">
        <v>35</v>
      </c>
      <c r="S1139" s="2">
        <v>3</v>
      </c>
      <c r="T1139" s="2">
        <v>2</v>
      </c>
      <c r="U1139">
        <v>80</v>
      </c>
      <c r="V1139" s="2">
        <v>4</v>
      </c>
      <c r="W1139">
        <v>2</v>
      </c>
      <c r="X1139">
        <v>2</v>
      </c>
      <c r="Y1139">
        <v>4</v>
      </c>
      <c r="Z1139">
        <v>2</v>
      </c>
      <c r="AA1139">
        <v>1</v>
      </c>
      <c r="AB1139">
        <v>3</v>
      </c>
    </row>
    <row r="1140" spans="1:28" x14ac:dyDescent="0.35">
      <c r="A1140" s="2">
        <v>50</v>
      </c>
      <c r="B1140" s="2" t="str" cm="1">
        <f t="array" ref="B1140">_xlfn.IFS(HR_table[[#This Row],[Age]]&lt;=20, "Under 20yrs",HR_table[[#This Row],[Age]]&lt;=30,"(21-30)yrs",HR_table[[#This Row],[Age]]&lt;=40,"(31-40)yrs",HR_table[[#This Row],[Age]]&lt;=50,"(41-50)yrs",HR_table[[#This Row],[Age]]&lt;=60,"(51-60)yrs")</f>
        <v>(41-50)yrs</v>
      </c>
      <c r="C1140" t="s">
        <v>43</v>
      </c>
      <c r="D1140" t="s">
        <v>44</v>
      </c>
      <c r="E1140" t="s">
        <v>45</v>
      </c>
      <c r="F1140" t="s">
        <v>51</v>
      </c>
      <c r="G1140" t="s">
        <v>54</v>
      </c>
      <c r="H1140">
        <v>1606</v>
      </c>
      <c r="I1140" s="2">
        <v>20</v>
      </c>
      <c r="J1140" s="2">
        <v>2</v>
      </c>
      <c r="K1140" t="s">
        <v>46</v>
      </c>
      <c r="L1140" s="2">
        <v>4</v>
      </c>
      <c r="M1140" s="2">
        <v>3</v>
      </c>
      <c r="N1140" t="s">
        <v>48</v>
      </c>
      <c r="O1140" s="2">
        <v>11245</v>
      </c>
      <c r="P1140" s="2">
        <v>20689</v>
      </c>
      <c r="Q1140" s="2">
        <v>2</v>
      </c>
      <c r="R1140" t="s">
        <v>35</v>
      </c>
      <c r="S1140" s="2">
        <v>3</v>
      </c>
      <c r="T1140" s="2">
        <v>3</v>
      </c>
      <c r="U1140">
        <v>80</v>
      </c>
      <c r="V1140" s="2">
        <v>32</v>
      </c>
      <c r="W1140">
        <v>3</v>
      </c>
      <c r="X1140">
        <v>3</v>
      </c>
      <c r="Y1140">
        <v>30</v>
      </c>
      <c r="Z1140">
        <v>8</v>
      </c>
      <c r="AA1140">
        <v>12</v>
      </c>
      <c r="AB1140">
        <v>13</v>
      </c>
    </row>
    <row r="1141" spans="1:28" x14ac:dyDescent="0.35">
      <c r="A1141" s="2">
        <v>32</v>
      </c>
      <c r="B1141" s="2" t="str" cm="1">
        <f t="array" ref="B1141">_xlfn.IFS(HR_table[[#This Row],[Age]]&lt;=20, "Under 20yrs",HR_table[[#This Row],[Age]]&lt;=30,"(21-30)yrs",HR_table[[#This Row],[Age]]&lt;=40,"(31-40)yrs",HR_table[[#This Row],[Age]]&lt;=50,"(41-50)yrs",HR_table[[#This Row],[Age]]&lt;=60,"(51-60)yrs")</f>
        <v>(31-40)yrs</v>
      </c>
      <c r="C1141" t="s">
        <v>43</v>
      </c>
      <c r="D1141" t="s">
        <v>36</v>
      </c>
      <c r="E1141" t="s">
        <v>45</v>
      </c>
      <c r="F1141" t="s">
        <v>49</v>
      </c>
      <c r="G1141" t="s">
        <v>47</v>
      </c>
      <c r="H1141">
        <v>1607</v>
      </c>
      <c r="I1141" s="2">
        <v>5</v>
      </c>
      <c r="J1141" s="2">
        <v>2</v>
      </c>
      <c r="K1141" t="s">
        <v>39</v>
      </c>
      <c r="L1141" s="2">
        <v>1</v>
      </c>
      <c r="M1141" s="2">
        <v>4</v>
      </c>
      <c r="N1141" t="s">
        <v>48</v>
      </c>
      <c r="O1141" s="2">
        <v>3312</v>
      </c>
      <c r="P1141" s="2">
        <v>18783</v>
      </c>
      <c r="Q1141" s="2">
        <v>3</v>
      </c>
      <c r="R1141" t="s">
        <v>43</v>
      </c>
      <c r="S1141" s="2">
        <v>3</v>
      </c>
      <c r="T1141" s="2">
        <v>4</v>
      </c>
      <c r="U1141">
        <v>80</v>
      </c>
      <c r="V1141" s="2">
        <v>6</v>
      </c>
      <c r="W1141">
        <v>3</v>
      </c>
      <c r="X1141">
        <v>3</v>
      </c>
      <c r="Y1141">
        <v>3</v>
      </c>
      <c r="Z1141">
        <v>2</v>
      </c>
      <c r="AA1141">
        <v>0</v>
      </c>
      <c r="AB1141">
        <v>2</v>
      </c>
    </row>
    <row r="1142" spans="1:28" x14ac:dyDescent="0.35">
      <c r="A1142" s="2">
        <v>44</v>
      </c>
      <c r="B1142" s="2" t="str" cm="1">
        <f t="array" ref="B1142">_xlfn.IFS(HR_table[[#This Row],[Age]]&lt;=20, "Under 20yrs",HR_table[[#This Row],[Age]]&lt;=30,"(21-30)yrs",HR_table[[#This Row],[Age]]&lt;=40,"(31-40)yrs",HR_table[[#This Row],[Age]]&lt;=50,"(41-50)yrs",HR_table[[#This Row],[Age]]&lt;=60,"(51-60)yrs")</f>
        <v>(41-50)yrs</v>
      </c>
      <c r="C1142" t="s">
        <v>43</v>
      </c>
      <c r="D1142" t="s">
        <v>36</v>
      </c>
      <c r="E1142" t="s">
        <v>45</v>
      </c>
      <c r="F1142" t="s">
        <v>51</v>
      </c>
      <c r="G1142" t="s">
        <v>58</v>
      </c>
      <c r="H1142">
        <v>1608</v>
      </c>
      <c r="I1142" s="2">
        <v>7</v>
      </c>
      <c r="J1142" s="2">
        <v>2</v>
      </c>
      <c r="K1142" t="s">
        <v>39</v>
      </c>
      <c r="L1142" s="2">
        <v>5</v>
      </c>
      <c r="M1142" s="2">
        <v>4</v>
      </c>
      <c r="N1142" t="s">
        <v>52</v>
      </c>
      <c r="O1142" s="2">
        <v>19049</v>
      </c>
      <c r="P1142" s="2">
        <v>3549</v>
      </c>
      <c r="Q1142" s="2">
        <v>0</v>
      </c>
      <c r="R1142" t="s">
        <v>35</v>
      </c>
      <c r="S1142" s="2">
        <v>3</v>
      </c>
      <c r="T1142" s="2">
        <v>4</v>
      </c>
      <c r="U1142">
        <v>80</v>
      </c>
      <c r="V1142" s="2">
        <v>23</v>
      </c>
      <c r="W1142">
        <v>4</v>
      </c>
      <c r="X1142">
        <v>2</v>
      </c>
      <c r="Y1142">
        <v>22</v>
      </c>
      <c r="Z1142">
        <v>7</v>
      </c>
      <c r="AA1142">
        <v>1</v>
      </c>
      <c r="AB1142">
        <v>10</v>
      </c>
    </row>
    <row r="1143" spans="1:28" x14ac:dyDescent="0.35">
      <c r="A1143" s="2">
        <v>30</v>
      </c>
      <c r="B1143" s="2" t="str" cm="1">
        <f t="array" ref="B1143">_xlfn.IFS(HR_table[[#This Row],[Age]]&lt;=20, "Under 20yrs",HR_table[[#This Row],[Age]]&lt;=30,"(21-30)yrs",HR_table[[#This Row],[Age]]&lt;=40,"(31-40)yrs",HR_table[[#This Row],[Age]]&lt;=50,"(41-50)yrs",HR_table[[#This Row],[Age]]&lt;=60,"(51-60)yrs")</f>
        <v>(21-30)yrs</v>
      </c>
      <c r="C1143" t="s">
        <v>43</v>
      </c>
      <c r="D1143" t="s">
        <v>36</v>
      </c>
      <c r="E1143" t="s">
        <v>45</v>
      </c>
      <c r="F1143" t="s">
        <v>51</v>
      </c>
      <c r="G1143" t="s">
        <v>47</v>
      </c>
      <c r="H1143">
        <v>1609</v>
      </c>
      <c r="I1143" s="2">
        <v>7</v>
      </c>
      <c r="J1143" s="2">
        <v>2</v>
      </c>
      <c r="K1143" t="s">
        <v>46</v>
      </c>
      <c r="L1143" s="2">
        <v>1</v>
      </c>
      <c r="M1143" s="2">
        <v>2</v>
      </c>
      <c r="N1143" t="s">
        <v>48</v>
      </c>
      <c r="O1143" s="2">
        <v>2141</v>
      </c>
      <c r="P1143" s="2">
        <v>5348</v>
      </c>
      <c r="Q1143" s="2">
        <v>1</v>
      </c>
      <c r="R1143" t="s">
        <v>43</v>
      </c>
      <c r="S1143" s="2">
        <v>3</v>
      </c>
      <c r="T1143" s="2">
        <v>2</v>
      </c>
      <c r="U1143">
        <v>80</v>
      </c>
      <c r="V1143" s="2">
        <v>6</v>
      </c>
      <c r="W1143">
        <v>3</v>
      </c>
      <c r="X1143">
        <v>2</v>
      </c>
      <c r="Y1143">
        <v>6</v>
      </c>
      <c r="Z1143">
        <v>4</v>
      </c>
      <c r="AA1143">
        <v>1</v>
      </c>
      <c r="AB1143">
        <v>1</v>
      </c>
    </row>
    <row r="1144" spans="1:28" x14ac:dyDescent="0.35">
      <c r="A1144" s="2">
        <v>45</v>
      </c>
      <c r="B1144" s="2" t="str" cm="1">
        <f t="array" ref="B1144">_xlfn.IFS(HR_table[[#This Row],[Age]]&lt;=20, "Under 20yrs",HR_table[[#This Row],[Age]]&lt;=30,"(21-30)yrs",HR_table[[#This Row],[Age]]&lt;=40,"(31-40)yrs",HR_table[[#This Row],[Age]]&lt;=50,"(41-50)yrs",HR_table[[#This Row],[Age]]&lt;=60,"(51-60)yrs")</f>
        <v>(41-50)yrs</v>
      </c>
      <c r="C1144" t="s">
        <v>43</v>
      </c>
      <c r="D1144" t="s">
        <v>36</v>
      </c>
      <c r="E1144" t="s">
        <v>45</v>
      </c>
      <c r="F1144" t="s">
        <v>51</v>
      </c>
      <c r="G1144" t="s">
        <v>50</v>
      </c>
      <c r="H1144">
        <v>1611</v>
      </c>
      <c r="I1144" s="2">
        <v>5</v>
      </c>
      <c r="J1144" s="2">
        <v>3</v>
      </c>
      <c r="K1144" t="s">
        <v>39</v>
      </c>
      <c r="L1144" s="2">
        <v>2</v>
      </c>
      <c r="M1144" s="2">
        <v>1</v>
      </c>
      <c r="N1144" t="s">
        <v>41</v>
      </c>
      <c r="O1144" s="2">
        <v>5769</v>
      </c>
      <c r="P1144" s="2">
        <v>23447</v>
      </c>
      <c r="Q1144" s="2">
        <v>1</v>
      </c>
      <c r="R1144" t="s">
        <v>35</v>
      </c>
      <c r="S1144" s="2">
        <v>3</v>
      </c>
      <c r="T1144" s="2">
        <v>1</v>
      </c>
      <c r="U1144">
        <v>80</v>
      </c>
      <c r="V1144" s="2">
        <v>10</v>
      </c>
      <c r="W1144">
        <v>3</v>
      </c>
      <c r="X1144">
        <v>3</v>
      </c>
      <c r="Y1144">
        <v>10</v>
      </c>
      <c r="Z1144">
        <v>7</v>
      </c>
      <c r="AA1144">
        <v>1</v>
      </c>
      <c r="AB1144">
        <v>4</v>
      </c>
    </row>
    <row r="1145" spans="1:28" x14ac:dyDescent="0.35">
      <c r="A1145" s="2">
        <v>45</v>
      </c>
      <c r="B1145" s="2" t="str" cm="1">
        <f t="array" ref="B1145">_xlfn.IFS(HR_table[[#This Row],[Age]]&lt;=20, "Under 20yrs",HR_table[[#This Row],[Age]]&lt;=30,"(21-30)yrs",HR_table[[#This Row],[Age]]&lt;=40,"(31-40)yrs",HR_table[[#This Row],[Age]]&lt;=50,"(41-50)yrs",HR_table[[#This Row],[Age]]&lt;=60,"(51-60)yrs")</f>
        <v>(41-50)yrs</v>
      </c>
      <c r="C1145" t="s">
        <v>43</v>
      </c>
      <c r="D1145" t="s">
        <v>55</v>
      </c>
      <c r="E1145" t="s">
        <v>37</v>
      </c>
      <c r="F1145" t="s">
        <v>59</v>
      </c>
      <c r="G1145" t="s">
        <v>40</v>
      </c>
      <c r="H1145">
        <v>1612</v>
      </c>
      <c r="I1145" s="2">
        <v>26</v>
      </c>
      <c r="J1145" s="2">
        <v>1</v>
      </c>
      <c r="K1145" t="s">
        <v>46</v>
      </c>
      <c r="L1145" s="2">
        <v>2</v>
      </c>
      <c r="M1145" s="2">
        <v>1</v>
      </c>
      <c r="N1145" t="s">
        <v>48</v>
      </c>
      <c r="O1145" s="2">
        <v>4385</v>
      </c>
      <c r="P1145" s="2">
        <v>24162</v>
      </c>
      <c r="Q1145" s="2">
        <v>1</v>
      </c>
      <c r="R1145" t="s">
        <v>43</v>
      </c>
      <c r="S1145" s="2">
        <v>3</v>
      </c>
      <c r="T1145" s="2">
        <v>1</v>
      </c>
      <c r="U1145">
        <v>80</v>
      </c>
      <c r="V1145" s="2">
        <v>10</v>
      </c>
      <c r="W1145">
        <v>2</v>
      </c>
      <c r="X1145">
        <v>3</v>
      </c>
      <c r="Y1145">
        <v>10</v>
      </c>
      <c r="Z1145">
        <v>7</v>
      </c>
      <c r="AA1145">
        <v>4</v>
      </c>
      <c r="AB1145">
        <v>5</v>
      </c>
    </row>
    <row r="1146" spans="1:28" x14ac:dyDescent="0.35">
      <c r="A1146" s="2">
        <v>31</v>
      </c>
      <c r="B1146" s="2" t="str" cm="1">
        <f t="array" ref="B1146">_xlfn.IFS(HR_table[[#This Row],[Age]]&lt;=20, "Under 20yrs",HR_table[[#This Row],[Age]]&lt;=30,"(21-30)yrs",HR_table[[#This Row],[Age]]&lt;=40,"(31-40)yrs",HR_table[[#This Row],[Age]]&lt;=50,"(41-50)yrs",HR_table[[#This Row],[Age]]&lt;=60,"(51-60)yrs")</f>
        <v>(31-40)yrs</v>
      </c>
      <c r="C1146" t="s">
        <v>43</v>
      </c>
      <c r="D1146" t="s">
        <v>44</v>
      </c>
      <c r="E1146" t="s">
        <v>37</v>
      </c>
      <c r="F1146" t="s">
        <v>49</v>
      </c>
      <c r="G1146" t="s">
        <v>40</v>
      </c>
      <c r="H1146">
        <v>1613</v>
      </c>
      <c r="I1146" s="2">
        <v>2</v>
      </c>
      <c r="J1146" s="2">
        <v>4</v>
      </c>
      <c r="K1146" t="s">
        <v>46</v>
      </c>
      <c r="L1146" s="2">
        <v>2</v>
      </c>
      <c r="M1146" s="2">
        <v>1</v>
      </c>
      <c r="N1146" t="s">
        <v>41</v>
      </c>
      <c r="O1146" s="2">
        <v>5332</v>
      </c>
      <c r="P1146" s="2">
        <v>21602</v>
      </c>
      <c r="Q1146" s="2">
        <v>7</v>
      </c>
      <c r="R1146" t="s">
        <v>43</v>
      </c>
      <c r="S1146" s="2">
        <v>3</v>
      </c>
      <c r="T1146" s="2">
        <v>4</v>
      </c>
      <c r="U1146">
        <v>80</v>
      </c>
      <c r="V1146" s="2">
        <v>10</v>
      </c>
      <c r="W1146">
        <v>3</v>
      </c>
      <c r="X1146">
        <v>3</v>
      </c>
      <c r="Y1146">
        <v>5</v>
      </c>
      <c r="Z1146">
        <v>2</v>
      </c>
      <c r="AA1146">
        <v>0</v>
      </c>
      <c r="AB1146">
        <v>3</v>
      </c>
    </row>
    <row r="1147" spans="1:28" x14ac:dyDescent="0.35">
      <c r="A1147" s="2">
        <v>36</v>
      </c>
      <c r="B1147" s="2" t="str" cm="1">
        <f t="array" ref="B1147">_xlfn.IFS(HR_table[[#This Row],[Age]]&lt;=20, "Under 20yrs",HR_table[[#This Row],[Age]]&lt;=30,"(21-30)yrs",HR_table[[#This Row],[Age]]&lt;=40,"(31-40)yrs",HR_table[[#This Row],[Age]]&lt;=50,"(41-50)yrs",HR_table[[#This Row],[Age]]&lt;=60,"(51-60)yrs")</f>
        <v>(31-40)yrs</v>
      </c>
      <c r="C1147" t="s">
        <v>43</v>
      </c>
      <c r="D1147" t="s">
        <v>36</v>
      </c>
      <c r="E1147" t="s">
        <v>45</v>
      </c>
      <c r="F1147" t="s">
        <v>38</v>
      </c>
      <c r="G1147" t="s">
        <v>53</v>
      </c>
      <c r="H1147">
        <v>1614</v>
      </c>
      <c r="I1147" s="2">
        <v>12</v>
      </c>
      <c r="J1147" s="2">
        <v>3</v>
      </c>
      <c r="K1147" t="s">
        <v>39</v>
      </c>
      <c r="L1147" s="2">
        <v>2</v>
      </c>
      <c r="M1147" s="2">
        <v>3</v>
      </c>
      <c r="N1147" t="s">
        <v>48</v>
      </c>
      <c r="O1147" s="2">
        <v>4663</v>
      </c>
      <c r="P1147" s="2">
        <v>12421</v>
      </c>
      <c r="Q1147" s="2">
        <v>9</v>
      </c>
      <c r="R1147" t="s">
        <v>35</v>
      </c>
      <c r="S1147" s="2">
        <v>3</v>
      </c>
      <c r="T1147" s="2">
        <v>2</v>
      </c>
      <c r="U1147">
        <v>80</v>
      </c>
      <c r="V1147" s="2">
        <v>7</v>
      </c>
      <c r="W1147">
        <v>2</v>
      </c>
      <c r="X1147">
        <v>3</v>
      </c>
      <c r="Y1147">
        <v>3</v>
      </c>
      <c r="Z1147">
        <v>2</v>
      </c>
      <c r="AA1147">
        <v>1</v>
      </c>
      <c r="AB1147">
        <v>1</v>
      </c>
    </row>
    <row r="1148" spans="1:28" x14ac:dyDescent="0.35">
      <c r="A1148" s="2">
        <v>34</v>
      </c>
      <c r="B1148" s="2" t="str" cm="1">
        <f t="array" ref="B1148">_xlfn.IFS(HR_table[[#This Row],[Age]]&lt;=20, "Under 20yrs",HR_table[[#This Row],[Age]]&lt;=30,"(21-30)yrs",HR_table[[#This Row],[Age]]&lt;=40,"(31-40)yrs",HR_table[[#This Row],[Age]]&lt;=50,"(41-50)yrs",HR_table[[#This Row],[Age]]&lt;=60,"(51-60)yrs")</f>
        <v>(31-40)yrs</v>
      </c>
      <c r="C1148" t="s">
        <v>43</v>
      </c>
      <c r="D1148" t="s">
        <v>44</v>
      </c>
      <c r="E1148" t="s">
        <v>45</v>
      </c>
      <c r="F1148" t="s">
        <v>38</v>
      </c>
      <c r="G1148" t="s">
        <v>53</v>
      </c>
      <c r="H1148">
        <v>1615</v>
      </c>
      <c r="I1148" s="2">
        <v>10</v>
      </c>
      <c r="J1148" s="2">
        <v>3</v>
      </c>
      <c r="K1148" t="s">
        <v>46</v>
      </c>
      <c r="L1148" s="2">
        <v>2</v>
      </c>
      <c r="M1148" s="2">
        <v>4</v>
      </c>
      <c r="N1148" t="s">
        <v>52</v>
      </c>
      <c r="O1148" s="2">
        <v>4724</v>
      </c>
      <c r="P1148" s="2">
        <v>17000</v>
      </c>
      <c r="Q1148" s="2">
        <v>1</v>
      </c>
      <c r="R1148" t="s">
        <v>43</v>
      </c>
      <c r="S1148" s="2">
        <v>3</v>
      </c>
      <c r="T1148" s="2">
        <v>1</v>
      </c>
      <c r="U1148">
        <v>80</v>
      </c>
      <c r="V1148" s="2">
        <v>9</v>
      </c>
      <c r="W1148">
        <v>3</v>
      </c>
      <c r="X1148">
        <v>3</v>
      </c>
      <c r="Y1148">
        <v>9</v>
      </c>
      <c r="Z1148">
        <v>7</v>
      </c>
      <c r="AA1148">
        <v>7</v>
      </c>
      <c r="AB1148">
        <v>2</v>
      </c>
    </row>
    <row r="1149" spans="1:28" x14ac:dyDescent="0.35">
      <c r="A1149" s="2">
        <v>49</v>
      </c>
      <c r="B1149" s="2" t="str" cm="1">
        <f t="array" ref="B1149">_xlfn.IFS(HR_table[[#This Row],[Age]]&lt;=20, "Under 20yrs",HR_table[[#This Row],[Age]]&lt;=30,"(21-30)yrs",HR_table[[#This Row],[Age]]&lt;=40,"(31-40)yrs",HR_table[[#This Row],[Age]]&lt;=50,"(41-50)yrs",HR_table[[#This Row],[Age]]&lt;=60,"(51-60)yrs")</f>
        <v>(41-50)yrs</v>
      </c>
      <c r="C1149" t="s">
        <v>43</v>
      </c>
      <c r="D1149" t="s">
        <v>36</v>
      </c>
      <c r="E1149" t="s">
        <v>45</v>
      </c>
      <c r="F1149" t="s">
        <v>38</v>
      </c>
      <c r="G1149" t="s">
        <v>50</v>
      </c>
      <c r="H1149">
        <v>1617</v>
      </c>
      <c r="I1149" s="2">
        <v>25</v>
      </c>
      <c r="J1149" s="2">
        <v>3</v>
      </c>
      <c r="K1149" t="s">
        <v>39</v>
      </c>
      <c r="L1149" s="2">
        <v>1</v>
      </c>
      <c r="M1149" s="2">
        <v>1</v>
      </c>
      <c r="N1149" t="s">
        <v>48</v>
      </c>
      <c r="O1149" s="2">
        <v>3211</v>
      </c>
      <c r="P1149" s="2">
        <v>22102</v>
      </c>
      <c r="Q1149" s="2">
        <v>1</v>
      </c>
      <c r="R1149" t="s">
        <v>43</v>
      </c>
      <c r="S1149" s="2">
        <v>3</v>
      </c>
      <c r="T1149" s="2">
        <v>4</v>
      </c>
      <c r="U1149">
        <v>80</v>
      </c>
      <c r="V1149" s="2">
        <v>10</v>
      </c>
      <c r="W1149">
        <v>3</v>
      </c>
      <c r="X1149">
        <v>2</v>
      </c>
      <c r="Y1149">
        <v>9</v>
      </c>
      <c r="Z1149">
        <v>6</v>
      </c>
      <c r="AA1149">
        <v>1</v>
      </c>
      <c r="AB1149">
        <v>4</v>
      </c>
    </row>
    <row r="1150" spans="1:28" x14ac:dyDescent="0.35">
      <c r="A1150" s="2">
        <v>39</v>
      </c>
      <c r="B1150" s="2" t="str" cm="1">
        <f t="array" ref="B1150">_xlfn.IFS(HR_table[[#This Row],[Age]]&lt;=20, "Under 20yrs",HR_table[[#This Row],[Age]]&lt;=30,"(21-30)yrs",HR_table[[#This Row],[Age]]&lt;=40,"(31-40)yrs",HR_table[[#This Row],[Age]]&lt;=50,"(41-50)yrs",HR_table[[#This Row],[Age]]&lt;=60,"(51-60)yrs")</f>
        <v>(31-40)yrs</v>
      </c>
      <c r="C1150" t="s">
        <v>43</v>
      </c>
      <c r="D1150" t="s">
        <v>36</v>
      </c>
      <c r="E1150" t="s">
        <v>45</v>
      </c>
      <c r="F1150" t="s">
        <v>51</v>
      </c>
      <c r="G1150" t="s">
        <v>53</v>
      </c>
      <c r="H1150">
        <v>1618</v>
      </c>
      <c r="I1150" s="2">
        <v>10</v>
      </c>
      <c r="J1150" s="2">
        <v>2</v>
      </c>
      <c r="K1150" t="s">
        <v>46</v>
      </c>
      <c r="L1150" s="2">
        <v>2</v>
      </c>
      <c r="M1150" s="2">
        <v>1</v>
      </c>
      <c r="N1150" t="s">
        <v>48</v>
      </c>
      <c r="O1150" s="2">
        <v>5377</v>
      </c>
      <c r="P1150" s="2">
        <v>3835</v>
      </c>
      <c r="Q1150" s="2">
        <v>2</v>
      </c>
      <c r="R1150" t="s">
        <v>43</v>
      </c>
      <c r="S1150" s="2">
        <v>3</v>
      </c>
      <c r="T1150" s="2">
        <v>4</v>
      </c>
      <c r="U1150">
        <v>80</v>
      </c>
      <c r="V1150" s="2">
        <v>10</v>
      </c>
      <c r="W1150">
        <v>3</v>
      </c>
      <c r="X1150">
        <v>3</v>
      </c>
      <c r="Y1150">
        <v>7</v>
      </c>
      <c r="Z1150">
        <v>7</v>
      </c>
      <c r="AA1150">
        <v>7</v>
      </c>
      <c r="AB1150">
        <v>7</v>
      </c>
    </row>
    <row r="1151" spans="1:28" x14ac:dyDescent="0.35">
      <c r="A1151" s="2">
        <v>27</v>
      </c>
      <c r="B1151" s="2" t="str" cm="1">
        <f t="array" ref="B1151">_xlfn.IFS(HR_table[[#This Row],[Age]]&lt;=20, "Under 20yrs",HR_table[[#This Row],[Age]]&lt;=30,"(21-30)yrs",HR_table[[#This Row],[Age]]&lt;=40,"(31-40)yrs",HR_table[[#This Row],[Age]]&lt;=50,"(41-50)yrs",HR_table[[#This Row],[Age]]&lt;=60,"(51-60)yrs")</f>
        <v>(21-30)yrs</v>
      </c>
      <c r="C1151" t="s">
        <v>43</v>
      </c>
      <c r="D1151" t="s">
        <v>36</v>
      </c>
      <c r="E1151" t="s">
        <v>45</v>
      </c>
      <c r="F1151" t="s">
        <v>49</v>
      </c>
      <c r="G1151" t="s">
        <v>50</v>
      </c>
      <c r="H1151">
        <v>1619</v>
      </c>
      <c r="I1151" s="2">
        <v>19</v>
      </c>
      <c r="J1151" s="2">
        <v>4</v>
      </c>
      <c r="K1151" t="s">
        <v>46</v>
      </c>
      <c r="L1151" s="2">
        <v>1</v>
      </c>
      <c r="M1151" s="2">
        <v>1</v>
      </c>
      <c r="N1151" t="s">
        <v>52</v>
      </c>
      <c r="O1151" s="2">
        <v>4066</v>
      </c>
      <c r="P1151" s="2">
        <v>16290</v>
      </c>
      <c r="Q1151" s="2">
        <v>1</v>
      </c>
      <c r="R1151" t="s">
        <v>43</v>
      </c>
      <c r="S1151" s="2">
        <v>3</v>
      </c>
      <c r="T1151" s="2">
        <v>1</v>
      </c>
      <c r="U1151">
        <v>80</v>
      </c>
      <c r="V1151" s="2">
        <v>7</v>
      </c>
      <c r="W1151">
        <v>3</v>
      </c>
      <c r="X1151">
        <v>3</v>
      </c>
      <c r="Y1151">
        <v>7</v>
      </c>
      <c r="Z1151">
        <v>7</v>
      </c>
      <c r="AA1151">
        <v>0</v>
      </c>
      <c r="AB1151">
        <v>7</v>
      </c>
    </row>
    <row r="1152" spans="1:28" x14ac:dyDescent="0.35">
      <c r="A1152" s="2">
        <v>35</v>
      </c>
      <c r="B1152" s="2" t="str" cm="1">
        <f t="array" ref="B1152">_xlfn.IFS(HR_table[[#This Row],[Age]]&lt;=20, "Under 20yrs",HR_table[[#This Row],[Age]]&lt;=30,"(21-30)yrs",HR_table[[#This Row],[Age]]&lt;=40,"(31-40)yrs",HR_table[[#This Row],[Age]]&lt;=50,"(41-50)yrs",HR_table[[#This Row],[Age]]&lt;=60,"(51-60)yrs")</f>
        <v>(31-40)yrs</v>
      </c>
      <c r="C1152" t="s">
        <v>43</v>
      </c>
      <c r="D1152" t="s">
        <v>36</v>
      </c>
      <c r="E1152" t="s">
        <v>45</v>
      </c>
      <c r="F1152" t="s">
        <v>38</v>
      </c>
      <c r="G1152" t="s">
        <v>47</v>
      </c>
      <c r="H1152">
        <v>1621</v>
      </c>
      <c r="I1152" s="2">
        <v>18</v>
      </c>
      <c r="J1152" s="2">
        <v>2</v>
      </c>
      <c r="K1152" t="s">
        <v>46</v>
      </c>
      <c r="L1152" s="2">
        <v>2</v>
      </c>
      <c r="M1152" s="2">
        <v>1</v>
      </c>
      <c r="N1152" t="s">
        <v>48</v>
      </c>
      <c r="O1152" s="2">
        <v>5208</v>
      </c>
      <c r="P1152" s="2">
        <v>26312</v>
      </c>
      <c r="Q1152" s="2">
        <v>1</v>
      </c>
      <c r="R1152" t="s">
        <v>43</v>
      </c>
      <c r="S1152" s="2">
        <v>3</v>
      </c>
      <c r="T1152" s="2">
        <v>4</v>
      </c>
      <c r="U1152">
        <v>80</v>
      </c>
      <c r="V1152" s="2">
        <v>16</v>
      </c>
      <c r="W1152">
        <v>2</v>
      </c>
      <c r="X1152">
        <v>3</v>
      </c>
      <c r="Y1152">
        <v>16</v>
      </c>
      <c r="Z1152">
        <v>15</v>
      </c>
      <c r="AA1152">
        <v>1</v>
      </c>
      <c r="AB1152">
        <v>10</v>
      </c>
    </row>
    <row r="1153" spans="1:28" x14ac:dyDescent="0.35">
      <c r="A1153" s="2">
        <v>28</v>
      </c>
      <c r="B1153" s="2" t="str" cm="1">
        <f t="array" ref="B1153">_xlfn.IFS(HR_table[[#This Row],[Age]]&lt;=20, "Under 20yrs",HR_table[[#This Row],[Age]]&lt;=30,"(21-30)yrs",HR_table[[#This Row],[Age]]&lt;=40,"(31-40)yrs",HR_table[[#This Row],[Age]]&lt;=50,"(41-50)yrs",HR_table[[#This Row],[Age]]&lt;=60,"(51-60)yrs")</f>
        <v>(21-30)yrs</v>
      </c>
      <c r="C1153" t="s">
        <v>43</v>
      </c>
      <c r="D1153" t="s">
        <v>36</v>
      </c>
      <c r="E1153" t="s">
        <v>45</v>
      </c>
      <c r="F1153" t="s">
        <v>51</v>
      </c>
      <c r="G1153" t="s">
        <v>53</v>
      </c>
      <c r="H1153">
        <v>1622</v>
      </c>
      <c r="I1153" s="2">
        <v>27</v>
      </c>
      <c r="J1153" s="2">
        <v>2</v>
      </c>
      <c r="K1153" t="s">
        <v>39</v>
      </c>
      <c r="L1153" s="2">
        <v>2</v>
      </c>
      <c r="M1153" s="2">
        <v>1</v>
      </c>
      <c r="N1153" t="s">
        <v>52</v>
      </c>
      <c r="O1153" s="2">
        <v>4877</v>
      </c>
      <c r="P1153" s="2">
        <v>20460</v>
      </c>
      <c r="Q1153" s="2">
        <v>0</v>
      </c>
      <c r="R1153" t="s">
        <v>43</v>
      </c>
      <c r="S1153" s="2">
        <v>4</v>
      </c>
      <c r="T1153" s="2">
        <v>2</v>
      </c>
      <c r="U1153">
        <v>80</v>
      </c>
      <c r="V1153" s="2">
        <v>6</v>
      </c>
      <c r="W1153">
        <v>5</v>
      </c>
      <c r="X1153">
        <v>2</v>
      </c>
      <c r="Y1153">
        <v>5</v>
      </c>
      <c r="Z1153">
        <v>3</v>
      </c>
      <c r="AA1153">
        <v>0</v>
      </c>
      <c r="AB1153">
        <v>0</v>
      </c>
    </row>
    <row r="1154" spans="1:28" x14ac:dyDescent="0.35">
      <c r="A1154" s="2">
        <v>21</v>
      </c>
      <c r="B1154" s="2" t="str" cm="1">
        <f t="array" ref="B1154">_xlfn.IFS(HR_table[[#This Row],[Age]]&lt;=20, "Under 20yrs",HR_table[[#This Row],[Age]]&lt;=30,"(21-30)yrs",HR_table[[#This Row],[Age]]&lt;=40,"(31-40)yrs",HR_table[[#This Row],[Age]]&lt;=50,"(41-50)yrs",HR_table[[#This Row],[Age]]&lt;=60,"(51-60)yrs")</f>
        <v>(21-30)yrs</v>
      </c>
      <c r="C1154" t="s">
        <v>43</v>
      </c>
      <c r="D1154" t="s">
        <v>36</v>
      </c>
      <c r="E1154" t="s">
        <v>45</v>
      </c>
      <c r="F1154" t="s">
        <v>51</v>
      </c>
      <c r="G1154" t="s">
        <v>47</v>
      </c>
      <c r="H1154">
        <v>1623</v>
      </c>
      <c r="I1154" s="2">
        <v>5</v>
      </c>
      <c r="J1154" s="2">
        <v>3</v>
      </c>
      <c r="K1154" t="s">
        <v>46</v>
      </c>
      <c r="L1154" s="2">
        <v>1</v>
      </c>
      <c r="M1154" s="2">
        <v>4</v>
      </c>
      <c r="N1154" t="s">
        <v>41</v>
      </c>
      <c r="O1154" s="2">
        <v>3117</v>
      </c>
      <c r="P1154" s="2">
        <v>26009</v>
      </c>
      <c r="Q1154" s="2">
        <v>1</v>
      </c>
      <c r="R1154" t="s">
        <v>43</v>
      </c>
      <c r="S1154" s="2">
        <v>3</v>
      </c>
      <c r="T1154" s="2">
        <v>3</v>
      </c>
      <c r="U1154">
        <v>80</v>
      </c>
      <c r="V1154" s="2">
        <v>3</v>
      </c>
      <c r="W1154">
        <v>2</v>
      </c>
      <c r="X1154">
        <v>3</v>
      </c>
      <c r="Y1154">
        <v>2</v>
      </c>
      <c r="Z1154">
        <v>2</v>
      </c>
      <c r="AA1154">
        <v>2</v>
      </c>
      <c r="AB1154">
        <v>2</v>
      </c>
    </row>
    <row r="1155" spans="1:28" x14ac:dyDescent="0.35">
      <c r="A1155" s="2">
        <v>18</v>
      </c>
      <c r="B1155" s="2" t="str" cm="1">
        <f t="array" ref="B1155">_xlfn.IFS(HR_table[[#This Row],[Age]]&lt;=20, "Under 20yrs",HR_table[[#This Row],[Age]]&lt;=30,"(21-30)yrs",HR_table[[#This Row],[Age]]&lt;=40,"(31-40)yrs",HR_table[[#This Row],[Age]]&lt;=50,"(41-50)yrs",HR_table[[#This Row],[Age]]&lt;=60,"(51-60)yrs")</f>
        <v>Under 20yrs</v>
      </c>
      <c r="C1155" t="s">
        <v>35</v>
      </c>
      <c r="D1155" t="s">
        <v>44</v>
      </c>
      <c r="E1155" t="s">
        <v>37</v>
      </c>
      <c r="F1155" t="s">
        <v>51</v>
      </c>
      <c r="G1155" t="s">
        <v>57</v>
      </c>
      <c r="H1155">
        <v>1624</v>
      </c>
      <c r="I1155" s="2">
        <v>3</v>
      </c>
      <c r="J1155" s="2">
        <v>2</v>
      </c>
      <c r="K1155" t="s">
        <v>39</v>
      </c>
      <c r="L1155" s="2">
        <v>1</v>
      </c>
      <c r="M1155" s="2">
        <v>4</v>
      </c>
      <c r="N1155" t="s">
        <v>41</v>
      </c>
      <c r="O1155" s="2">
        <v>1569</v>
      </c>
      <c r="P1155" s="2">
        <v>18420</v>
      </c>
      <c r="Q1155" s="2">
        <v>1</v>
      </c>
      <c r="R1155" t="s">
        <v>35</v>
      </c>
      <c r="S1155" s="2">
        <v>3</v>
      </c>
      <c r="T1155" s="2">
        <v>3</v>
      </c>
      <c r="U1155">
        <v>80</v>
      </c>
      <c r="V1155" s="2">
        <v>0</v>
      </c>
      <c r="W1155">
        <v>2</v>
      </c>
      <c r="X1155">
        <v>4</v>
      </c>
      <c r="Y1155">
        <v>0</v>
      </c>
      <c r="Z1155">
        <v>0</v>
      </c>
      <c r="AA1155">
        <v>0</v>
      </c>
      <c r="AB1155">
        <v>0</v>
      </c>
    </row>
    <row r="1156" spans="1:28" x14ac:dyDescent="0.35">
      <c r="A1156" s="2">
        <v>47</v>
      </c>
      <c r="B1156" s="2" t="str" cm="1">
        <f t="array" ref="B1156">_xlfn.IFS(HR_table[[#This Row],[Age]]&lt;=20, "Under 20yrs",HR_table[[#This Row],[Age]]&lt;=30,"(21-30)yrs",HR_table[[#This Row],[Age]]&lt;=40,"(31-40)yrs",HR_table[[#This Row],[Age]]&lt;=50,"(41-50)yrs",HR_table[[#This Row],[Age]]&lt;=60,"(51-60)yrs")</f>
        <v>(41-50)yrs</v>
      </c>
      <c r="C1156" t="s">
        <v>43</v>
      </c>
      <c r="D1156" t="s">
        <v>36</v>
      </c>
      <c r="E1156" t="s">
        <v>61</v>
      </c>
      <c r="F1156" t="s">
        <v>38</v>
      </c>
      <c r="G1156" t="s">
        <v>56</v>
      </c>
      <c r="H1156">
        <v>1625</v>
      </c>
      <c r="I1156" s="2">
        <v>26</v>
      </c>
      <c r="J1156" s="2">
        <v>4</v>
      </c>
      <c r="K1156" t="s">
        <v>39</v>
      </c>
      <c r="L1156" s="2">
        <v>5</v>
      </c>
      <c r="M1156" s="2">
        <v>3</v>
      </c>
      <c r="N1156" t="s">
        <v>48</v>
      </c>
      <c r="O1156" s="2">
        <v>19658</v>
      </c>
      <c r="P1156" s="2">
        <v>5220</v>
      </c>
      <c r="Q1156" s="2">
        <v>3</v>
      </c>
      <c r="R1156" t="s">
        <v>43</v>
      </c>
      <c r="S1156" s="2">
        <v>3</v>
      </c>
      <c r="T1156" s="2">
        <v>3</v>
      </c>
      <c r="U1156">
        <v>80</v>
      </c>
      <c r="V1156" s="2">
        <v>27</v>
      </c>
      <c r="W1156">
        <v>2</v>
      </c>
      <c r="X1156">
        <v>3</v>
      </c>
      <c r="Y1156">
        <v>5</v>
      </c>
      <c r="Z1156">
        <v>2</v>
      </c>
      <c r="AA1156">
        <v>1</v>
      </c>
      <c r="AB1156">
        <v>0</v>
      </c>
    </row>
    <row r="1157" spans="1:28" x14ac:dyDescent="0.35">
      <c r="A1157" s="2">
        <v>39</v>
      </c>
      <c r="B1157" s="2" t="str" cm="1">
        <f t="array" ref="B1157">_xlfn.IFS(HR_table[[#This Row],[Age]]&lt;=20, "Under 20yrs",HR_table[[#This Row],[Age]]&lt;=30,"(21-30)yrs",HR_table[[#This Row],[Age]]&lt;=40,"(31-40)yrs",HR_table[[#This Row],[Age]]&lt;=50,"(41-50)yrs",HR_table[[#This Row],[Age]]&lt;=60,"(51-60)yrs")</f>
        <v>(31-40)yrs</v>
      </c>
      <c r="C1157" t="s">
        <v>43</v>
      </c>
      <c r="D1157" t="s">
        <v>36</v>
      </c>
      <c r="E1157" t="s">
        <v>45</v>
      </c>
      <c r="F1157" t="s">
        <v>51</v>
      </c>
      <c r="G1157" t="s">
        <v>50</v>
      </c>
      <c r="H1157">
        <v>1627</v>
      </c>
      <c r="I1157" s="2">
        <v>3</v>
      </c>
      <c r="J1157" s="2">
        <v>3</v>
      </c>
      <c r="K1157" t="s">
        <v>46</v>
      </c>
      <c r="L1157" s="2">
        <v>2</v>
      </c>
      <c r="M1157" s="2">
        <v>3</v>
      </c>
      <c r="N1157" t="s">
        <v>52</v>
      </c>
      <c r="O1157" s="2">
        <v>3069</v>
      </c>
      <c r="P1157" s="2">
        <v>10302</v>
      </c>
      <c r="Q1157" s="2">
        <v>0</v>
      </c>
      <c r="R1157" t="s">
        <v>43</v>
      </c>
      <c r="S1157" s="2">
        <v>3</v>
      </c>
      <c r="T1157" s="2">
        <v>4</v>
      </c>
      <c r="U1157">
        <v>80</v>
      </c>
      <c r="V1157" s="2">
        <v>11</v>
      </c>
      <c r="W1157">
        <v>3</v>
      </c>
      <c r="X1157">
        <v>3</v>
      </c>
      <c r="Y1157">
        <v>10</v>
      </c>
      <c r="Z1157">
        <v>8</v>
      </c>
      <c r="AA1157">
        <v>0</v>
      </c>
      <c r="AB1157">
        <v>7</v>
      </c>
    </row>
    <row r="1158" spans="1:28" x14ac:dyDescent="0.35">
      <c r="A1158" s="2">
        <v>40</v>
      </c>
      <c r="B1158" s="2" t="str" cm="1">
        <f t="array" ref="B1158">_xlfn.IFS(HR_table[[#This Row],[Age]]&lt;=20, "Under 20yrs",HR_table[[#This Row],[Age]]&lt;=30,"(21-30)yrs",HR_table[[#This Row],[Age]]&lt;=40,"(31-40)yrs",HR_table[[#This Row],[Age]]&lt;=50,"(41-50)yrs",HR_table[[#This Row],[Age]]&lt;=60,"(51-60)yrs")</f>
        <v>(31-40)yrs</v>
      </c>
      <c r="C1158" t="s">
        <v>43</v>
      </c>
      <c r="D1158" t="s">
        <v>36</v>
      </c>
      <c r="E1158" t="s">
        <v>45</v>
      </c>
      <c r="F1158" t="s">
        <v>38</v>
      </c>
      <c r="G1158" t="s">
        <v>53</v>
      </c>
      <c r="H1158">
        <v>1628</v>
      </c>
      <c r="I1158" s="2">
        <v>15</v>
      </c>
      <c r="J1158" s="2">
        <v>1</v>
      </c>
      <c r="K1158" t="s">
        <v>39</v>
      </c>
      <c r="L1158" s="2">
        <v>3</v>
      </c>
      <c r="M1158" s="2">
        <v>3</v>
      </c>
      <c r="N1158" t="s">
        <v>48</v>
      </c>
      <c r="O1158" s="2">
        <v>10435</v>
      </c>
      <c r="P1158" s="2">
        <v>25800</v>
      </c>
      <c r="Q1158" s="2">
        <v>1</v>
      </c>
      <c r="R1158" t="s">
        <v>43</v>
      </c>
      <c r="S1158" s="2">
        <v>3</v>
      </c>
      <c r="T1158" s="2">
        <v>4</v>
      </c>
      <c r="U1158">
        <v>80</v>
      </c>
      <c r="V1158" s="2">
        <v>18</v>
      </c>
      <c r="W1158">
        <v>2</v>
      </c>
      <c r="X1158">
        <v>3</v>
      </c>
      <c r="Y1158">
        <v>18</v>
      </c>
      <c r="Z1158">
        <v>15</v>
      </c>
      <c r="AA1158">
        <v>14</v>
      </c>
      <c r="AB1158">
        <v>12</v>
      </c>
    </row>
    <row r="1159" spans="1:28" x14ac:dyDescent="0.35">
      <c r="A1159" s="2">
        <v>35</v>
      </c>
      <c r="B1159" s="2" t="str" cm="1">
        <f t="array" ref="B1159">_xlfn.IFS(HR_table[[#This Row],[Age]]&lt;=20, "Under 20yrs",HR_table[[#This Row],[Age]]&lt;=30,"(21-30)yrs",HR_table[[#This Row],[Age]]&lt;=40,"(31-40)yrs",HR_table[[#This Row],[Age]]&lt;=50,"(41-50)yrs",HR_table[[#This Row],[Age]]&lt;=60,"(51-60)yrs")</f>
        <v>(31-40)yrs</v>
      </c>
      <c r="C1159" t="s">
        <v>43</v>
      </c>
      <c r="D1159" t="s">
        <v>55</v>
      </c>
      <c r="E1159" t="s">
        <v>45</v>
      </c>
      <c r="F1159" t="s">
        <v>38</v>
      </c>
      <c r="G1159" t="s">
        <v>54</v>
      </c>
      <c r="H1159">
        <v>1630</v>
      </c>
      <c r="I1159" s="2">
        <v>8</v>
      </c>
      <c r="J1159" s="2">
        <v>3</v>
      </c>
      <c r="K1159" t="s">
        <v>39</v>
      </c>
      <c r="L1159" s="2">
        <v>2</v>
      </c>
      <c r="M1159" s="2">
        <v>3</v>
      </c>
      <c r="N1159" t="s">
        <v>48</v>
      </c>
      <c r="O1159" s="2">
        <v>4148</v>
      </c>
      <c r="P1159" s="2">
        <v>12250</v>
      </c>
      <c r="Q1159" s="2">
        <v>1</v>
      </c>
      <c r="R1159" t="s">
        <v>43</v>
      </c>
      <c r="S1159" s="2">
        <v>3</v>
      </c>
      <c r="T1159" s="2">
        <v>4</v>
      </c>
      <c r="U1159">
        <v>80</v>
      </c>
      <c r="V1159" s="2">
        <v>15</v>
      </c>
      <c r="W1159">
        <v>5</v>
      </c>
      <c r="X1159">
        <v>3</v>
      </c>
      <c r="Y1159">
        <v>14</v>
      </c>
      <c r="Z1159">
        <v>11</v>
      </c>
      <c r="AA1159">
        <v>2</v>
      </c>
      <c r="AB1159">
        <v>9</v>
      </c>
    </row>
    <row r="1160" spans="1:28" x14ac:dyDescent="0.35">
      <c r="A1160" s="2">
        <v>37</v>
      </c>
      <c r="B1160" s="2" t="str" cm="1">
        <f t="array" ref="B1160">_xlfn.IFS(HR_table[[#This Row],[Age]]&lt;=20, "Under 20yrs",HR_table[[#This Row],[Age]]&lt;=30,"(21-30)yrs",HR_table[[#This Row],[Age]]&lt;=40,"(31-40)yrs",HR_table[[#This Row],[Age]]&lt;=50,"(41-50)yrs",HR_table[[#This Row],[Age]]&lt;=60,"(51-60)yrs")</f>
        <v>(31-40)yrs</v>
      </c>
      <c r="C1160" t="s">
        <v>43</v>
      </c>
      <c r="D1160" t="s">
        <v>36</v>
      </c>
      <c r="E1160" t="s">
        <v>45</v>
      </c>
      <c r="F1160" t="s">
        <v>38</v>
      </c>
      <c r="G1160" t="s">
        <v>53</v>
      </c>
      <c r="H1160">
        <v>1631</v>
      </c>
      <c r="I1160" s="2">
        <v>19</v>
      </c>
      <c r="J1160" s="2">
        <v>3</v>
      </c>
      <c r="K1160" t="s">
        <v>46</v>
      </c>
      <c r="L1160" s="2">
        <v>2</v>
      </c>
      <c r="M1160" s="2">
        <v>3</v>
      </c>
      <c r="N1160" t="s">
        <v>48</v>
      </c>
      <c r="O1160" s="2">
        <v>5768</v>
      </c>
      <c r="P1160" s="2">
        <v>26493</v>
      </c>
      <c r="Q1160" s="2">
        <v>3</v>
      </c>
      <c r="R1160" t="s">
        <v>43</v>
      </c>
      <c r="S1160" s="2">
        <v>3</v>
      </c>
      <c r="T1160" s="2">
        <v>1</v>
      </c>
      <c r="U1160">
        <v>80</v>
      </c>
      <c r="V1160" s="2">
        <v>9</v>
      </c>
      <c r="W1160">
        <v>2</v>
      </c>
      <c r="X1160">
        <v>2</v>
      </c>
      <c r="Y1160">
        <v>4</v>
      </c>
      <c r="Z1160">
        <v>3</v>
      </c>
      <c r="AA1160">
        <v>0</v>
      </c>
      <c r="AB1160">
        <v>2</v>
      </c>
    </row>
    <row r="1161" spans="1:28" x14ac:dyDescent="0.35">
      <c r="A1161" s="2">
        <v>39</v>
      </c>
      <c r="B1161" s="2" t="str" cm="1">
        <f t="array" ref="B1161">_xlfn.IFS(HR_table[[#This Row],[Age]]&lt;=20, "Under 20yrs",HR_table[[#This Row],[Age]]&lt;=30,"(21-30)yrs",HR_table[[#This Row],[Age]]&lt;=40,"(31-40)yrs",HR_table[[#This Row],[Age]]&lt;=50,"(41-50)yrs",HR_table[[#This Row],[Age]]&lt;=60,"(51-60)yrs")</f>
        <v>(31-40)yrs</v>
      </c>
      <c r="C1161" t="s">
        <v>43</v>
      </c>
      <c r="D1161" t="s">
        <v>44</v>
      </c>
      <c r="E1161" t="s">
        <v>45</v>
      </c>
      <c r="F1161" t="s">
        <v>51</v>
      </c>
      <c r="G1161" t="s">
        <v>53</v>
      </c>
      <c r="H1161">
        <v>1633</v>
      </c>
      <c r="I1161" s="2">
        <v>4</v>
      </c>
      <c r="J1161" s="2">
        <v>1</v>
      </c>
      <c r="K1161" t="s">
        <v>39</v>
      </c>
      <c r="L1161" s="2">
        <v>2</v>
      </c>
      <c r="M1161" s="2">
        <v>3</v>
      </c>
      <c r="N1161" t="s">
        <v>41</v>
      </c>
      <c r="O1161" s="2">
        <v>5042</v>
      </c>
      <c r="P1161" s="2">
        <v>3140</v>
      </c>
      <c r="Q1161" s="2">
        <v>0</v>
      </c>
      <c r="R1161" t="s">
        <v>43</v>
      </c>
      <c r="S1161" s="2">
        <v>3</v>
      </c>
      <c r="T1161" s="2">
        <v>4</v>
      </c>
      <c r="U1161">
        <v>80</v>
      </c>
      <c r="V1161" s="2">
        <v>10</v>
      </c>
      <c r="W1161">
        <v>2</v>
      </c>
      <c r="X1161">
        <v>1</v>
      </c>
      <c r="Y1161">
        <v>9</v>
      </c>
      <c r="Z1161">
        <v>2</v>
      </c>
      <c r="AA1161">
        <v>3</v>
      </c>
      <c r="AB1161">
        <v>8</v>
      </c>
    </row>
    <row r="1162" spans="1:28" x14ac:dyDescent="0.35">
      <c r="A1162" s="2">
        <v>45</v>
      </c>
      <c r="B1162" s="2" t="str" cm="1">
        <f t="array" ref="B1162">_xlfn.IFS(HR_table[[#This Row],[Age]]&lt;=20, "Under 20yrs",HR_table[[#This Row],[Age]]&lt;=30,"(21-30)yrs",HR_table[[#This Row],[Age]]&lt;=40,"(31-40)yrs",HR_table[[#This Row],[Age]]&lt;=50,"(41-50)yrs",HR_table[[#This Row],[Age]]&lt;=60,"(51-60)yrs")</f>
        <v>(41-50)yrs</v>
      </c>
      <c r="C1162" t="s">
        <v>43</v>
      </c>
      <c r="D1162" t="s">
        <v>36</v>
      </c>
      <c r="E1162" t="s">
        <v>45</v>
      </c>
      <c r="F1162" t="s">
        <v>49</v>
      </c>
      <c r="G1162" t="s">
        <v>53</v>
      </c>
      <c r="H1162">
        <v>1635</v>
      </c>
      <c r="I1162" s="2">
        <v>2</v>
      </c>
      <c r="J1162" s="2">
        <v>4</v>
      </c>
      <c r="K1162" t="s">
        <v>39</v>
      </c>
      <c r="L1162" s="2">
        <v>2</v>
      </c>
      <c r="M1162" s="2">
        <v>4</v>
      </c>
      <c r="N1162" t="s">
        <v>52</v>
      </c>
      <c r="O1162" s="2">
        <v>5770</v>
      </c>
      <c r="P1162" s="2">
        <v>5388</v>
      </c>
      <c r="Q1162" s="2">
        <v>1</v>
      </c>
      <c r="R1162" t="s">
        <v>43</v>
      </c>
      <c r="S1162" s="2">
        <v>3</v>
      </c>
      <c r="T1162" s="2">
        <v>1</v>
      </c>
      <c r="U1162">
        <v>80</v>
      </c>
      <c r="V1162" s="2">
        <v>10</v>
      </c>
      <c r="W1162">
        <v>3</v>
      </c>
      <c r="X1162">
        <v>3</v>
      </c>
      <c r="Y1162">
        <v>10</v>
      </c>
      <c r="Z1162">
        <v>7</v>
      </c>
      <c r="AA1162">
        <v>3</v>
      </c>
      <c r="AB1162">
        <v>9</v>
      </c>
    </row>
    <row r="1163" spans="1:28" x14ac:dyDescent="0.35">
      <c r="A1163" s="2">
        <v>38</v>
      </c>
      <c r="B1163" s="2" t="str" cm="1">
        <f t="array" ref="B1163">_xlfn.IFS(HR_table[[#This Row],[Age]]&lt;=20, "Under 20yrs",HR_table[[#This Row],[Age]]&lt;=30,"(21-30)yrs",HR_table[[#This Row],[Age]]&lt;=40,"(31-40)yrs",HR_table[[#This Row],[Age]]&lt;=50,"(41-50)yrs",HR_table[[#This Row],[Age]]&lt;=60,"(51-60)yrs")</f>
        <v>(31-40)yrs</v>
      </c>
      <c r="C1163" t="s">
        <v>43</v>
      </c>
      <c r="D1163" t="s">
        <v>36</v>
      </c>
      <c r="E1163" t="s">
        <v>45</v>
      </c>
      <c r="F1163" t="s">
        <v>51</v>
      </c>
      <c r="G1163" t="s">
        <v>53</v>
      </c>
      <c r="H1163">
        <v>1638</v>
      </c>
      <c r="I1163" s="2">
        <v>2</v>
      </c>
      <c r="J1163" s="2">
        <v>4</v>
      </c>
      <c r="K1163" t="s">
        <v>39</v>
      </c>
      <c r="L1163" s="2">
        <v>3</v>
      </c>
      <c r="M1163" s="2">
        <v>3</v>
      </c>
      <c r="N1163" t="s">
        <v>48</v>
      </c>
      <c r="O1163" s="2">
        <v>7756</v>
      </c>
      <c r="P1163" s="2">
        <v>14199</v>
      </c>
      <c r="Q1163" s="2">
        <v>3</v>
      </c>
      <c r="R1163" t="s">
        <v>35</v>
      </c>
      <c r="S1163" s="2">
        <v>3</v>
      </c>
      <c r="T1163" s="2">
        <v>4</v>
      </c>
      <c r="U1163">
        <v>80</v>
      </c>
      <c r="V1163" s="2">
        <v>10</v>
      </c>
      <c r="W1163">
        <v>6</v>
      </c>
      <c r="X1163">
        <v>4</v>
      </c>
      <c r="Y1163">
        <v>5</v>
      </c>
      <c r="Z1163">
        <v>4</v>
      </c>
      <c r="AA1163">
        <v>0</v>
      </c>
      <c r="AB1163">
        <v>2</v>
      </c>
    </row>
    <row r="1164" spans="1:28" x14ac:dyDescent="0.35">
      <c r="A1164" s="2">
        <v>35</v>
      </c>
      <c r="B1164" s="2" t="str" cm="1">
        <f t="array" ref="B1164">_xlfn.IFS(HR_table[[#This Row],[Age]]&lt;=20, "Under 20yrs",HR_table[[#This Row],[Age]]&lt;=30,"(21-30)yrs",HR_table[[#This Row],[Age]]&lt;=40,"(31-40)yrs",HR_table[[#This Row],[Age]]&lt;=50,"(41-50)yrs",HR_table[[#This Row],[Age]]&lt;=60,"(51-60)yrs")</f>
        <v>(31-40)yrs</v>
      </c>
      <c r="C1164" t="s">
        <v>35</v>
      </c>
      <c r="D1164" t="s">
        <v>36</v>
      </c>
      <c r="E1164" t="s">
        <v>37</v>
      </c>
      <c r="F1164" t="s">
        <v>51</v>
      </c>
      <c r="G1164" t="s">
        <v>40</v>
      </c>
      <c r="H1164">
        <v>1639</v>
      </c>
      <c r="I1164" s="2">
        <v>10</v>
      </c>
      <c r="J1164" s="2">
        <v>4</v>
      </c>
      <c r="K1164" t="s">
        <v>46</v>
      </c>
      <c r="L1164" s="2">
        <v>3</v>
      </c>
      <c r="M1164" s="2">
        <v>1</v>
      </c>
      <c r="N1164" t="s">
        <v>48</v>
      </c>
      <c r="O1164" s="2">
        <v>10306</v>
      </c>
      <c r="P1164" s="2">
        <v>21530</v>
      </c>
      <c r="Q1164" s="2">
        <v>9</v>
      </c>
      <c r="R1164" t="s">
        <v>43</v>
      </c>
      <c r="S1164" s="2">
        <v>3</v>
      </c>
      <c r="T1164" s="2">
        <v>3</v>
      </c>
      <c r="U1164">
        <v>80</v>
      </c>
      <c r="V1164" s="2">
        <v>15</v>
      </c>
      <c r="W1164">
        <v>3</v>
      </c>
      <c r="X1164">
        <v>3</v>
      </c>
      <c r="Y1164">
        <v>13</v>
      </c>
      <c r="Z1164">
        <v>12</v>
      </c>
      <c r="AA1164">
        <v>6</v>
      </c>
      <c r="AB1164">
        <v>0</v>
      </c>
    </row>
    <row r="1165" spans="1:28" x14ac:dyDescent="0.35">
      <c r="A1165" s="2">
        <v>37</v>
      </c>
      <c r="B1165" s="2" t="str" cm="1">
        <f t="array" ref="B1165">_xlfn.IFS(HR_table[[#This Row],[Age]]&lt;=20, "Under 20yrs",HR_table[[#This Row],[Age]]&lt;=30,"(21-30)yrs",HR_table[[#This Row],[Age]]&lt;=40,"(31-40)yrs",HR_table[[#This Row],[Age]]&lt;=50,"(41-50)yrs",HR_table[[#This Row],[Age]]&lt;=60,"(51-60)yrs")</f>
        <v>(31-40)yrs</v>
      </c>
      <c r="C1165" t="s">
        <v>43</v>
      </c>
      <c r="D1165" t="s">
        <v>36</v>
      </c>
      <c r="E1165" t="s">
        <v>45</v>
      </c>
      <c r="F1165" t="s">
        <v>51</v>
      </c>
      <c r="G1165" t="s">
        <v>47</v>
      </c>
      <c r="H1165">
        <v>1640</v>
      </c>
      <c r="I1165" s="2">
        <v>10</v>
      </c>
      <c r="J1165" s="2">
        <v>2</v>
      </c>
      <c r="K1165" t="s">
        <v>39</v>
      </c>
      <c r="L1165" s="2">
        <v>1</v>
      </c>
      <c r="M1165" s="2">
        <v>2</v>
      </c>
      <c r="N1165" t="s">
        <v>48</v>
      </c>
      <c r="O1165" s="2">
        <v>3936</v>
      </c>
      <c r="P1165" s="2">
        <v>9953</v>
      </c>
      <c r="Q1165" s="2">
        <v>1</v>
      </c>
      <c r="R1165" t="s">
        <v>43</v>
      </c>
      <c r="S1165" s="2">
        <v>3</v>
      </c>
      <c r="T1165" s="2">
        <v>1</v>
      </c>
      <c r="U1165">
        <v>80</v>
      </c>
      <c r="V1165" s="2">
        <v>8</v>
      </c>
      <c r="W1165">
        <v>2</v>
      </c>
      <c r="X1165">
        <v>1</v>
      </c>
      <c r="Y1165">
        <v>8</v>
      </c>
      <c r="Z1165">
        <v>4</v>
      </c>
      <c r="AA1165">
        <v>7</v>
      </c>
      <c r="AB1165">
        <v>7</v>
      </c>
    </row>
    <row r="1166" spans="1:28" x14ac:dyDescent="0.35">
      <c r="A1166" s="2">
        <v>40</v>
      </c>
      <c r="B1166" s="2" t="str" cm="1">
        <f t="array" ref="B1166">_xlfn.IFS(HR_table[[#This Row],[Age]]&lt;=20, "Under 20yrs",HR_table[[#This Row],[Age]]&lt;=30,"(21-30)yrs",HR_table[[#This Row],[Age]]&lt;=40,"(31-40)yrs",HR_table[[#This Row],[Age]]&lt;=50,"(41-50)yrs",HR_table[[#This Row],[Age]]&lt;=60,"(51-60)yrs")</f>
        <v>(31-40)yrs</v>
      </c>
      <c r="C1166" t="s">
        <v>43</v>
      </c>
      <c r="D1166" t="s">
        <v>36</v>
      </c>
      <c r="E1166" t="s">
        <v>45</v>
      </c>
      <c r="F1166" t="s">
        <v>38</v>
      </c>
      <c r="G1166" t="s">
        <v>53</v>
      </c>
      <c r="H1166">
        <v>1641</v>
      </c>
      <c r="I1166" s="2">
        <v>16</v>
      </c>
      <c r="J1166" s="2">
        <v>3</v>
      </c>
      <c r="K1166" t="s">
        <v>39</v>
      </c>
      <c r="L1166" s="2">
        <v>3</v>
      </c>
      <c r="M1166" s="2">
        <v>4</v>
      </c>
      <c r="N1166" t="s">
        <v>41</v>
      </c>
      <c r="O1166" s="2">
        <v>7945</v>
      </c>
      <c r="P1166" s="2">
        <v>19948</v>
      </c>
      <c r="Q1166" s="2">
        <v>6</v>
      </c>
      <c r="R1166" t="s">
        <v>35</v>
      </c>
      <c r="S1166" s="2">
        <v>3</v>
      </c>
      <c r="T1166" s="2">
        <v>4</v>
      </c>
      <c r="U1166">
        <v>80</v>
      </c>
      <c r="V1166" s="2">
        <v>18</v>
      </c>
      <c r="W1166">
        <v>2</v>
      </c>
      <c r="X1166">
        <v>2</v>
      </c>
      <c r="Y1166">
        <v>4</v>
      </c>
      <c r="Z1166">
        <v>2</v>
      </c>
      <c r="AA1166">
        <v>3</v>
      </c>
      <c r="AB1166">
        <v>3</v>
      </c>
    </row>
    <row r="1167" spans="1:28" x14ac:dyDescent="0.35">
      <c r="A1167" s="2">
        <v>44</v>
      </c>
      <c r="B1167" s="2" t="str" cm="1">
        <f t="array" ref="B1167">_xlfn.IFS(HR_table[[#This Row],[Age]]&lt;=20, "Under 20yrs",HR_table[[#This Row],[Age]]&lt;=30,"(21-30)yrs",HR_table[[#This Row],[Age]]&lt;=40,"(31-40)yrs",HR_table[[#This Row],[Age]]&lt;=50,"(41-50)yrs",HR_table[[#This Row],[Age]]&lt;=60,"(51-60)yrs")</f>
        <v>(41-50)yrs</v>
      </c>
      <c r="C1167" t="s">
        <v>43</v>
      </c>
      <c r="D1167" t="s">
        <v>44</v>
      </c>
      <c r="E1167" t="s">
        <v>61</v>
      </c>
      <c r="F1167" t="s">
        <v>61</v>
      </c>
      <c r="G1167" t="s">
        <v>61</v>
      </c>
      <c r="H1167">
        <v>1642</v>
      </c>
      <c r="I1167" s="2">
        <v>1</v>
      </c>
      <c r="J1167" s="2">
        <v>1</v>
      </c>
      <c r="K1167" t="s">
        <v>46</v>
      </c>
      <c r="L1167" s="2">
        <v>2</v>
      </c>
      <c r="M1167" s="2">
        <v>4</v>
      </c>
      <c r="N1167" t="s">
        <v>48</v>
      </c>
      <c r="O1167" s="2">
        <v>5743</v>
      </c>
      <c r="P1167" s="2">
        <v>10503</v>
      </c>
      <c r="Q1167" s="2">
        <v>4</v>
      </c>
      <c r="R1167" t="s">
        <v>35</v>
      </c>
      <c r="S1167" s="2">
        <v>3</v>
      </c>
      <c r="T1167" s="2">
        <v>3</v>
      </c>
      <c r="U1167">
        <v>80</v>
      </c>
      <c r="V1167" s="2">
        <v>14</v>
      </c>
      <c r="W1167">
        <v>3</v>
      </c>
      <c r="X1167">
        <v>3</v>
      </c>
      <c r="Y1167">
        <v>10</v>
      </c>
      <c r="Z1167">
        <v>7</v>
      </c>
      <c r="AA1167">
        <v>0</v>
      </c>
      <c r="AB1167">
        <v>2</v>
      </c>
    </row>
    <row r="1168" spans="1:28" x14ac:dyDescent="0.35">
      <c r="A1168" s="2">
        <v>48</v>
      </c>
      <c r="B1168" s="2" t="str" cm="1">
        <f t="array" ref="B1168">_xlfn.IFS(HR_table[[#This Row],[Age]]&lt;=20, "Under 20yrs",HR_table[[#This Row],[Age]]&lt;=30,"(21-30)yrs",HR_table[[#This Row],[Age]]&lt;=40,"(31-40)yrs",HR_table[[#This Row],[Age]]&lt;=50,"(41-50)yrs",HR_table[[#This Row],[Age]]&lt;=60,"(51-60)yrs")</f>
        <v>(41-50)yrs</v>
      </c>
      <c r="C1168" t="s">
        <v>43</v>
      </c>
      <c r="D1168" t="s">
        <v>44</v>
      </c>
      <c r="E1168" t="s">
        <v>45</v>
      </c>
      <c r="F1168" t="s">
        <v>51</v>
      </c>
      <c r="G1168" t="s">
        <v>56</v>
      </c>
      <c r="H1168">
        <v>1644</v>
      </c>
      <c r="I1168" s="2">
        <v>4</v>
      </c>
      <c r="J1168" s="2">
        <v>3</v>
      </c>
      <c r="K1168" t="s">
        <v>46</v>
      </c>
      <c r="L1168" s="2">
        <v>4</v>
      </c>
      <c r="M1168" s="2">
        <v>4</v>
      </c>
      <c r="N1168" t="s">
        <v>48</v>
      </c>
      <c r="O1168" s="2">
        <v>15202</v>
      </c>
      <c r="P1168" s="2">
        <v>5602</v>
      </c>
      <c r="Q1168" s="2">
        <v>2</v>
      </c>
      <c r="R1168" t="s">
        <v>43</v>
      </c>
      <c r="S1168" s="2">
        <v>4</v>
      </c>
      <c r="T1168" s="2">
        <v>2</v>
      </c>
      <c r="U1168">
        <v>80</v>
      </c>
      <c r="V1168" s="2">
        <v>23</v>
      </c>
      <c r="W1168">
        <v>3</v>
      </c>
      <c r="X1168">
        <v>3</v>
      </c>
      <c r="Y1168">
        <v>2</v>
      </c>
      <c r="Z1168">
        <v>2</v>
      </c>
      <c r="AA1168">
        <v>2</v>
      </c>
      <c r="AB1168">
        <v>2</v>
      </c>
    </row>
    <row r="1169" spans="1:28" x14ac:dyDescent="0.35">
      <c r="A1169" s="2">
        <v>35</v>
      </c>
      <c r="B1169" s="2" t="str" cm="1">
        <f t="array" ref="B1169">_xlfn.IFS(HR_table[[#This Row],[Age]]&lt;=20, "Under 20yrs",HR_table[[#This Row],[Age]]&lt;=30,"(21-30)yrs",HR_table[[#This Row],[Age]]&lt;=40,"(31-40)yrs",HR_table[[#This Row],[Age]]&lt;=50,"(41-50)yrs",HR_table[[#This Row],[Age]]&lt;=60,"(51-60)yrs")</f>
        <v>(31-40)yrs</v>
      </c>
      <c r="C1169" t="s">
        <v>35</v>
      </c>
      <c r="D1169" t="s">
        <v>36</v>
      </c>
      <c r="E1169" t="s">
        <v>37</v>
      </c>
      <c r="F1169" t="s">
        <v>51</v>
      </c>
      <c r="G1169" t="s">
        <v>40</v>
      </c>
      <c r="H1169">
        <v>1645</v>
      </c>
      <c r="I1169" s="2">
        <v>15</v>
      </c>
      <c r="J1169" s="2">
        <v>1</v>
      </c>
      <c r="K1169" t="s">
        <v>46</v>
      </c>
      <c r="L1169" s="2">
        <v>2</v>
      </c>
      <c r="M1169" s="2">
        <v>4</v>
      </c>
      <c r="N1169" t="s">
        <v>52</v>
      </c>
      <c r="O1169" s="2">
        <v>5440</v>
      </c>
      <c r="P1169" s="2">
        <v>22098</v>
      </c>
      <c r="Q1169" s="2">
        <v>6</v>
      </c>
      <c r="R1169" t="s">
        <v>35</v>
      </c>
      <c r="S1169" s="2">
        <v>3</v>
      </c>
      <c r="T1169" s="2">
        <v>4</v>
      </c>
      <c r="U1169">
        <v>80</v>
      </c>
      <c r="V1169" s="2">
        <v>7</v>
      </c>
      <c r="W1169">
        <v>2</v>
      </c>
      <c r="X1169">
        <v>2</v>
      </c>
      <c r="Y1169">
        <v>2</v>
      </c>
      <c r="Z1169">
        <v>2</v>
      </c>
      <c r="AA1169">
        <v>2</v>
      </c>
      <c r="AB1169">
        <v>2</v>
      </c>
    </row>
    <row r="1170" spans="1:28" x14ac:dyDescent="0.35">
      <c r="A1170" s="2">
        <v>24</v>
      </c>
      <c r="B1170" s="2" t="str" cm="1">
        <f t="array" ref="B1170">_xlfn.IFS(HR_table[[#This Row],[Age]]&lt;=20, "Under 20yrs",HR_table[[#This Row],[Age]]&lt;=30,"(21-30)yrs",HR_table[[#This Row],[Age]]&lt;=40,"(31-40)yrs",HR_table[[#This Row],[Age]]&lt;=50,"(41-50)yrs",HR_table[[#This Row],[Age]]&lt;=60,"(51-60)yrs")</f>
        <v>(21-30)yrs</v>
      </c>
      <c r="C1170" t="s">
        <v>43</v>
      </c>
      <c r="D1170" t="s">
        <v>44</v>
      </c>
      <c r="E1170" t="s">
        <v>45</v>
      </c>
      <c r="F1170" t="s">
        <v>60</v>
      </c>
      <c r="G1170" t="s">
        <v>47</v>
      </c>
      <c r="H1170">
        <v>1646</v>
      </c>
      <c r="I1170" s="2">
        <v>2</v>
      </c>
      <c r="J1170" s="2">
        <v>1</v>
      </c>
      <c r="K1170" t="s">
        <v>39</v>
      </c>
      <c r="L1170" s="2">
        <v>1</v>
      </c>
      <c r="M1170" s="2">
        <v>4</v>
      </c>
      <c r="N1170" t="s">
        <v>41</v>
      </c>
      <c r="O1170" s="2">
        <v>3760</v>
      </c>
      <c r="P1170" s="2">
        <v>17218</v>
      </c>
      <c r="Q1170" s="2">
        <v>1</v>
      </c>
      <c r="R1170" t="s">
        <v>35</v>
      </c>
      <c r="S1170" s="2">
        <v>3</v>
      </c>
      <c r="T1170" s="2">
        <v>3</v>
      </c>
      <c r="U1170">
        <v>80</v>
      </c>
      <c r="V1170" s="2">
        <v>6</v>
      </c>
      <c r="W1170">
        <v>2</v>
      </c>
      <c r="X1170">
        <v>3</v>
      </c>
      <c r="Y1170">
        <v>6</v>
      </c>
      <c r="Z1170">
        <v>3</v>
      </c>
      <c r="AA1170">
        <v>1</v>
      </c>
      <c r="AB1170">
        <v>3</v>
      </c>
    </row>
    <row r="1171" spans="1:28" x14ac:dyDescent="0.35">
      <c r="A1171" s="2">
        <v>27</v>
      </c>
      <c r="B1171" s="2" t="str" cm="1">
        <f t="array" ref="B1171">_xlfn.IFS(HR_table[[#This Row],[Age]]&lt;=20, "Under 20yrs",HR_table[[#This Row],[Age]]&lt;=30,"(21-30)yrs",HR_table[[#This Row],[Age]]&lt;=40,"(31-40)yrs",HR_table[[#This Row],[Age]]&lt;=50,"(41-50)yrs",HR_table[[#This Row],[Age]]&lt;=60,"(51-60)yrs")</f>
        <v>(21-30)yrs</v>
      </c>
      <c r="C1171" t="s">
        <v>43</v>
      </c>
      <c r="D1171" t="s">
        <v>36</v>
      </c>
      <c r="E1171" t="s">
        <v>45</v>
      </c>
      <c r="F1171" t="s">
        <v>51</v>
      </c>
      <c r="G1171" t="s">
        <v>47</v>
      </c>
      <c r="H1171">
        <v>1647</v>
      </c>
      <c r="I1171" s="2">
        <v>8</v>
      </c>
      <c r="J1171" s="2">
        <v>2</v>
      </c>
      <c r="K1171" t="s">
        <v>39</v>
      </c>
      <c r="L1171" s="2">
        <v>1</v>
      </c>
      <c r="M1171" s="2">
        <v>3</v>
      </c>
      <c r="N1171" t="s">
        <v>48</v>
      </c>
      <c r="O1171" s="2">
        <v>3517</v>
      </c>
      <c r="P1171" s="2">
        <v>22490</v>
      </c>
      <c r="Q1171" s="2">
        <v>7</v>
      </c>
      <c r="R1171" t="s">
        <v>43</v>
      </c>
      <c r="S1171" s="2">
        <v>3</v>
      </c>
      <c r="T1171" s="2">
        <v>1</v>
      </c>
      <c r="U1171">
        <v>80</v>
      </c>
      <c r="V1171" s="2">
        <v>5</v>
      </c>
      <c r="W1171">
        <v>0</v>
      </c>
      <c r="X1171">
        <v>3</v>
      </c>
      <c r="Y1171">
        <v>3</v>
      </c>
      <c r="Z1171">
        <v>2</v>
      </c>
      <c r="AA1171">
        <v>0</v>
      </c>
      <c r="AB1171">
        <v>2</v>
      </c>
    </row>
    <row r="1172" spans="1:28" x14ac:dyDescent="0.35">
      <c r="A1172" s="2">
        <v>27</v>
      </c>
      <c r="B1172" s="2" t="str" cm="1">
        <f t="array" ref="B1172">_xlfn.IFS(HR_table[[#This Row],[Age]]&lt;=20, "Under 20yrs",HR_table[[#This Row],[Age]]&lt;=30,"(21-30)yrs",HR_table[[#This Row],[Age]]&lt;=40,"(31-40)yrs",HR_table[[#This Row],[Age]]&lt;=50,"(41-50)yrs",HR_table[[#This Row],[Age]]&lt;=60,"(51-60)yrs")</f>
        <v>(21-30)yrs</v>
      </c>
      <c r="C1172" t="s">
        <v>43</v>
      </c>
      <c r="D1172" t="s">
        <v>44</v>
      </c>
      <c r="E1172" t="s">
        <v>45</v>
      </c>
      <c r="F1172" t="s">
        <v>51</v>
      </c>
      <c r="G1172" t="s">
        <v>47</v>
      </c>
      <c r="H1172">
        <v>1648</v>
      </c>
      <c r="I1172" s="2">
        <v>2</v>
      </c>
      <c r="J1172" s="2">
        <v>4</v>
      </c>
      <c r="K1172" t="s">
        <v>46</v>
      </c>
      <c r="L1172" s="2">
        <v>1</v>
      </c>
      <c r="M1172" s="2">
        <v>4</v>
      </c>
      <c r="N1172" t="s">
        <v>41</v>
      </c>
      <c r="O1172" s="2">
        <v>2580</v>
      </c>
      <c r="P1172" s="2">
        <v>6297</v>
      </c>
      <c r="Q1172" s="2">
        <v>2</v>
      </c>
      <c r="R1172" t="s">
        <v>43</v>
      </c>
      <c r="S1172" s="2">
        <v>3</v>
      </c>
      <c r="T1172" s="2">
        <v>3</v>
      </c>
      <c r="U1172">
        <v>80</v>
      </c>
      <c r="V1172" s="2">
        <v>6</v>
      </c>
      <c r="W1172">
        <v>0</v>
      </c>
      <c r="X1172">
        <v>2</v>
      </c>
      <c r="Y1172">
        <v>4</v>
      </c>
      <c r="Z1172">
        <v>2</v>
      </c>
      <c r="AA1172">
        <v>1</v>
      </c>
      <c r="AB1172">
        <v>2</v>
      </c>
    </row>
    <row r="1173" spans="1:28" x14ac:dyDescent="0.35">
      <c r="A1173" s="2">
        <v>40</v>
      </c>
      <c r="B1173" s="2" t="str" cm="1">
        <f t="array" ref="B1173">_xlfn.IFS(HR_table[[#This Row],[Age]]&lt;=20, "Under 20yrs",HR_table[[#This Row],[Age]]&lt;=30,"(21-30)yrs",HR_table[[#This Row],[Age]]&lt;=40,"(31-40)yrs",HR_table[[#This Row],[Age]]&lt;=50,"(41-50)yrs",HR_table[[#This Row],[Age]]&lt;=60,"(51-60)yrs")</f>
        <v>(31-40)yrs</v>
      </c>
      <c r="C1173" t="s">
        <v>35</v>
      </c>
      <c r="D1173" t="s">
        <v>36</v>
      </c>
      <c r="E1173" t="s">
        <v>45</v>
      </c>
      <c r="F1173" t="s">
        <v>38</v>
      </c>
      <c r="G1173" t="s">
        <v>50</v>
      </c>
      <c r="H1173">
        <v>1649</v>
      </c>
      <c r="I1173" s="2">
        <v>7</v>
      </c>
      <c r="J1173" s="2">
        <v>1</v>
      </c>
      <c r="K1173" t="s">
        <v>46</v>
      </c>
      <c r="L1173" s="2">
        <v>1</v>
      </c>
      <c r="M1173" s="2">
        <v>1</v>
      </c>
      <c r="N1173" t="s">
        <v>41</v>
      </c>
      <c r="O1173" s="2">
        <v>2166</v>
      </c>
      <c r="P1173" s="2">
        <v>3339</v>
      </c>
      <c r="Q1173" s="2">
        <v>3</v>
      </c>
      <c r="R1173" t="s">
        <v>35</v>
      </c>
      <c r="S1173" s="2">
        <v>3</v>
      </c>
      <c r="T1173" s="2">
        <v>2</v>
      </c>
      <c r="U1173">
        <v>80</v>
      </c>
      <c r="V1173" s="2">
        <v>10</v>
      </c>
      <c r="W1173">
        <v>3</v>
      </c>
      <c r="X1173">
        <v>1</v>
      </c>
      <c r="Y1173">
        <v>4</v>
      </c>
      <c r="Z1173">
        <v>2</v>
      </c>
      <c r="AA1173">
        <v>0</v>
      </c>
      <c r="AB1173">
        <v>3</v>
      </c>
    </row>
    <row r="1174" spans="1:28" x14ac:dyDescent="0.35">
      <c r="A1174" s="2">
        <v>29</v>
      </c>
      <c r="B1174" s="2" t="str" cm="1">
        <f t="array" ref="B1174">_xlfn.IFS(HR_table[[#This Row],[Age]]&lt;=20, "Under 20yrs",HR_table[[#This Row],[Age]]&lt;=30,"(21-30)yrs",HR_table[[#This Row],[Age]]&lt;=40,"(31-40)yrs",HR_table[[#This Row],[Age]]&lt;=50,"(41-50)yrs",HR_table[[#This Row],[Age]]&lt;=60,"(51-60)yrs")</f>
        <v>(21-30)yrs</v>
      </c>
      <c r="C1174" t="s">
        <v>43</v>
      </c>
      <c r="D1174" t="s">
        <v>36</v>
      </c>
      <c r="E1174" t="s">
        <v>37</v>
      </c>
      <c r="F1174" t="s">
        <v>51</v>
      </c>
      <c r="G1174" t="s">
        <v>40</v>
      </c>
      <c r="H1174">
        <v>1650</v>
      </c>
      <c r="I1174" s="2">
        <v>10</v>
      </c>
      <c r="J1174" s="2">
        <v>3</v>
      </c>
      <c r="K1174" t="s">
        <v>46</v>
      </c>
      <c r="L1174" s="2">
        <v>2</v>
      </c>
      <c r="M1174" s="2">
        <v>3</v>
      </c>
      <c r="N1174" t="s">
        <v>41</v>
      </c>
      <c r="O1174" s="2">
        <v>5869</v>
      </c>
      <c r="P1174" s="2">
        <v>23413</v>
      </c>
      <c r="Q1174" s="2">
        <v>9</v>
      </c>
      <c r="R1174" t="s">
        <v>43</v>
      </c>
      <c r="S1174" s="2">
        <v>3</v>
      </c>
      <c r="T1174" s="2">
        <v>3</v>
      </c>
      <c r="U1174">
        <v>80</v>
      </c>
      <c r="V1174" s="2">
        <v>8</v>
      </c>
      <c r="W1174">
        <v>2</v>
      </c>
      <c r="X1174">
        <v>3</v>
      </c>
      <c r="Y1174">
        <v>5</v>
      </c>
      <c r="Z1174">
        <v>2</v>
      </c>
      <c r="AA1174">
        <v>1</v>
      </c>
      <c r="AB1174">
        <v>4</v>
      </c>
    </row>
    <row r="1175" spans="1:28" x14ac:dyDescent="0.35">
      <c r="A1175" s="2">
        <v>36</v>
      </c>
      <c r="B1175" s="2" t="str" cm="1">
        <f t="array" ref="B1175">_xlfn.IFS(HR_table[[#This Row],[Age]]&lt;=20, "Under 20yrs",HR_table[[#This Row],[Age]]&lt;=30,"(21-30)yrs",HR_table[[#This Row],[Age]]&lt;=40,"(31-40)yrs",HR_table[[#This Row],[Age]]&lt;=50,"(41-50)yrs",HR_table[[#This Row],[Age]]&lt;=60,"(51-60)yrs")</f>
        <v>(31-40)yrs</v>
      </c>
      <c r="C1175" t="s">
        <v>43</v>
      </c>
      <c r="D1175" t="s">
        <v>36</v>
      </c>
      <c r="E1175" t="s">
        <v>45</v>
      </c>
      <c r="F1175" t="s">
        <v>38</v>
      </c>
      <c r="G1175" t="s">
        <v>54</v>
      </c>
      <c r="H1175">
        <v>1651</v>
      </c>
      <c r="I1175" s="2">
        <v>5</v>
      </c>
      <c r="J1175" s="2">
        <v>2</v>
      </c>
      <c r="K1175" t="s">
        <v>39</v>
      </c>
      <c r="L1175" s="2">
        <v>3</v>
      </c>
      <c r="M1175" s="2">
        <v>1</v>
      </c>
      <c r="N1175" t="s">
        <v>48</v>
      </c>
      <c r="O1175" s="2">
        <v>8008</v>
      </c>
      <c r="P1175" s="2">
        <v>22792</v>
      </c>
      <c r="Q1175" s="2">
        <v>4</v>
      </c>
      <c r="R1175" t="s">
        <v>43</v>
      </c>
      <c r="S1175" s="2">
        <v>3</v>
      </c>
      <c r="T1175" s="2">
        <v>3</v>
      </c>
      <c r="U1175">
        <v>80</v>
      </c>
      <c r="V1175" s="2">
        <v>9</v>
      </c>
      <c r="W1175">
        <v>6</v>
      </c>
      <c r="X1175">
        <v>3</v>
      </c>
      <c r="Y1175">
        <v>3</v>
      </c>
      <c r="Z1175">
        <v>2</v>
      </c>
      <c r="AA1175">
        <v>0</v>
      </c>
      <c r="AB1175">
        <v>2</v>
      </c>
    </row>
    <row r="1176" spans="1:28" x14ac:dyDescent="0.35">
      <c r="A1176" s="2">
        <v>25</v>
      </c>
      <c r="B1176" s="2" t="str" cm="1">
        <f t="array" ref="B1176">_xlfn.IFS(HR_table[[#This Row],[Age]]&lt;=20, "Under 20yrs",HR_table[[#This Row],[Age]]&lt;=30,"(21-30)yrs",HR_table[[#This Row],[Age]]&lt;=40,"(31-40)yrs",HR_table[[#This Row],[Age]]&lt;=50,"(41-50)yrs",HR_table[[#This Row],[Age]]&lt;=60,"(51-60)yrs")</f>
        <v>(21-30)yrs</v>
      </c>
      <c r="C1176" t="s">
        <v>43</v>
      </c>
      <c r="D1176" t="s">
        <v>44</v>
      </c>
      <c r="E1176" t="s">
        <v>45</v>
      </c>
      <c r="F1176" t="s">
        <v>38</v>
      </c>
      <c r="G1176" t="s">
        <v>53</v>
      </c>
      <c r="H1176">
        <v>1653</v>
      </c>
      <c r="I1176" s="2">
        <v>2</v>
      </c>
      <c r="J1176" s="2">
        <v>4</v>
      </c>
      <c r="K1176" t="s">
        <v>46</v>
      </c>
      <c r="L1176" s="2">
        <v>2</v>
      </c>
      <c r="M1176" s="2">
        <v>3</v>
      </c>
      <c r="N1176" t="s">
        <v>52</v>
      </c>
      <c r="O1176" s="2">
        <v>5206</v>
      </c>
      <c r="P1176" s="2">
        <v>4973</v>
      </c>
      <c r="Q1176" s="2">
        <v>1</v>
      </c>
      <c r="R1176" t="s">
        <v>43</v>
      </c>
      <c r="S1176" s="2">
        <v>3</v>
      </c>
      <c r="T1176" s="2">
        <v>3</v>
      </c>
      <c r="U1176">
        <v>80</v>
      </c>
      <c r="V1176" s="2">
        <v>7</v>
      </c>
      <c r="W1176">
        <v>6</v>
      </c>
      <c r="X1176">
        <v>3</v>
      </c>
      <c r="Y1176">
        <v>7</v>
      </c>
      <c r="Z1176">
        <v>7</v>
      </c>
      <c r="AA1176">
        <v>0</v>
      </c>
      <c r="AB1176">
        <v>7</v>
      </c>
    </row>
    <row r="1177" spans="1:28" x14ac:dyDescent="0.35">
      <c r="A1177" s="2">
        <v>39</v>
      </c>
      <c r="B1177" s="2" t="str" cm="1">
        <f t="array" ref="B1177">_xlfn.IFS(HR_table[[#This Row],[Age]]&lt;=20, "Under 20yrs",HR_table[[#This Row],[Age]]&lt;=30,"(21-30)yrs",HR_table[[#This Row],[Age]]&lt;=40,"(31-40)yrs",HR_table[[#This Row],[Age]]&lt;=50,"(41-50)yrs",HR_table[[#This Row],[Age]]&lt;=60,"(51-60)yrs")</f>
        <v>(31-40)yrs</v>
      </c>
      <c r="C1177" t="s">
        <v>43</v>
      </c>
      <c r="D1177" t="s">
        <v>36</v>
      </c>
      <c r="E1177" t="s">
        <v>45</v>
      </c>
      <c r="F1177" t="s">
        <v>51</v>
      </c>
      <c r="G1177" t="s">
        <v>53</v>
      </c>
      <c r="H1177">
        <v>1654</v>
      </c>
      <c r="I1177" s="2">
        <v>12</v>
      </c>
      <c r="J1177" s="2">
        <v>4</v>
      </c>
      <c r="K1177" t="s">
        <v>46</v>
      </c>
      <c r="L1177" s="2">
        <v>2</v>
      </c>
      <c r="M1177" s="2">
        <v>2</v>
      </c>
      <c r="N1177" t="s">
        <v>48</v>
      </c>
      <c r="O1177" s="2">
        <v>5295</v>
      </c>
      <c r="P1177" s="2">
        <v>7693</v>
      </c>
      <c r="Q1177" s="2">
        <v>4</v>
      </c>
      <c r="R1177" t="s">
        <v>43</v>
      </c>
      <c r="S1177" s="2">
        <v>4</v>
      </c>
      <c r="T1177" s="2">
        <v>3</v>
      </c>
      <c r="U1177">
        <v>80</v>
      </c>
      <c r="V1177" s="2">
        <v>7</v>
      </c>
      <c r="W1177">
        <v>3</v>
      </c>
      <c r="X1177">
        <v>3</v>
      </c>
      <c r="Y1177">
        <v>5</v>
      </c>
      <c r="Z1177">
        <v>4</v>
      </c>
      <c r="AA1177">
        <v>1</v>
      </c>
      <c r="AB1177">
        <v>0</v>
      </c>
    </row>
    <row r="1178" spans="1:28" x14ac:dyDescent="0.35">
      <c r="A1178" s="2">
        <v>49</v>
      </c>
      <c r="B1178" s="2" t="str" cm="1">
        <f t="array" ref="B1178">_xlfn.IFS(HR_table[[#This Row],[Age]]&lt;=20, "Under 20yrs",HR_table[[#This Row],[Age]]&lt;=30,"(21-30)yrs",HR_table[[#This Row],[Age]]&lt;=40,"(31-40)yrs",HR_table[[#This Row],[Age]]&lt;=50,"(41-50)yrs",HR_table[[#This Row],[Age]]&lt;=60,"(51-60)yrs")</f>
        <v>(41-50)yrs</v>
      </c>
      <c r="C1178" t="s">
        <v>43</v>
      </c>
      <c r="D1178" t="s">
        <v>36</v>
      </c>
      <c r="E1178" t="s">
        <v>45</v>
      </c>
      <c r="F1178" t="s">
        <v>49</v>
      </c>
      <c r="G1178" t="s">
        <v>58</v>
      </c>
      <c r="H1178">
        <v>1655</v>
      </c>
      <c r="I1178" s="2">
        <v>22</v>
      </c>
      <c r="J1178" s="2">
        <v>1</v>
      </c>
      <c r="K1178" t="s">
        <v>39</v>
      </c>
      <c r="L1178" s="2">
        <v>4</v>
      </c>
      <c r="M1178" s="2">
        <v>2</v>
      </c>
      <c r="N1178" t="s">
        <v>48</v>
      </c>
      <c r="O1178" s="2">
        <v>16413</v>
      </c>
      <c r="P1178" s="2">
        <v>3498</v>
      </c>
      <c r="Q1178" s="2">
        <v>3</v>
      </c>
      <c r="R1178" t="s">
        <v>43</v>
      </c>
      <c r="S1178" s="2">
        <v>3</v>
      </c>
      <c r="T1178" s="2">
        <v>2</v>
      </c>
      <c r="U1178">
        <v>80</v>
      </c>
      <c r="V1178" s="2">
        <v>27</v>
      </c>
      <c r="W1178">
        <v>2</v>
      </c>
      <c r="X1178">
        <v>3</v>
      </c>
      <c r="Y1178">
        <v>4</v>
      </c>
      <c r="Z1178">
        <v>2</v>
      </c>
      <c r="AA1178">
        <v>1</v>
      </c>
      <c r="AB1178">
        <v>2</v>
      </c>
    </row>
    <row r="1179" spans="1:28" x14ac:dyDescent="0.35">
      <c r="A1179" s="2">
        <v>50</v>
      </c>
      <c r="B1179" s="2" t="str" cm="1">
        <f t="array" ref="B1179">_xlfn.IFS(HR_table[[#This Row],[Age]]&lt;=20, "Under 20yrs",HR_table[[#This Row],[Age]]&lt;=30,"(21-30)yrs",HR_table[[#This Row],[Age]]&lt;=40,"(31-40)yrs",HR_table[[#This Row],[Age]]&lt;=50,"(41-50)yrs",HR_table[[#This Row],[Age]]&lt;=60,"(51-60)yrs")</f>
        <v>(41-50)yrs</v>
      </c>
      <c r="C1179" t="s">
        <v>43</v>
      </c>
      <c r="D1179" t="s">
        <v>36</v>
      </c>
      <c r="E1179" t="s">
        <v>45</v>
      </c>
      <c r="F1179" t="s">
        <v>38</v>
      </c>
      <c r="G1179" t="s">
        <v>58</v>
      </c>
      <c r="H1179">
        <v>1656</v>
      </c>
      <c r="I1179" s="2">
        <v>17</v>
      </c>
      <c r="J1179" s="2">
        <v>4</v>
      </c>
      <c r="K1179" t="s">
        <v>39</v>
      </c>
      <c r="L1179" s="2">
        <v>3</v>
      </c>
      <c r="M1179" s="2">
        <v>1</v>
      </c>
      <c r="N1179" t="s">
        <v>52</v>
      </c>
      <c r="O1179" s="2">
        <v>13269</v>
      </c>
      <c r="P1179" s="2">
        <v>21981</v>
      </c>
      <c r="Q1179" s="2">
        <v>5</v>
      </c>
      <c r="R1179" t="s">
        <v>43</v>
      </c>
      <c r="S1179" s="2">
        <v>3</v>
      </c>
      <c r="T1179" s="2">
        <v>3</v>
      </c>
      <c r="U1179">
        <v>80</v>
      </c>
      <c r="V1179" s="2">
        <v>19</v>
      </c>
      <c r="W1179">
        <v>3</v>
      </c>
      <c r="X1179">
        <v>3</v>
      </c>
      <c r="Y1179">
        <v>14</v>
      </c>
      <c r="Z1179">
        <v>11</v>
      </c>
      <c r="AA1179">
        <v>1</v>
      </c>
      <c r="AB1179">
        <v>11</v>
      </c>
    </row>
    <row r="1180" spans="1:28" x14ac:dyDescent="0.35">
      <c r="A1180" s="2">
        <v>20</v>
      </c>
      <c r="B1180" s="2" t="str" cm="1">
        <f t="array" ref="B1180">_xlfn.IFS(HR_table[[#This Row],[Age]]&lt;=20, "Under 20yrs",HR_table[[#This Row],[Age]]&lt;=30,"(21-30)yrs",HR_table[[#This Row],[Age]]&lt;=40,"(31-40)yrs",HR_table[[#This Row],[Age]]&lt;=50,"(41-50)yrs",HR_table[[#This Row],[Age]]&lt;=60,"(51-60)yrs")</f>
        <v>Under 20yrs</v>
      </c>
      <c r="C1180" t="s">
        <v>43</v>
      </c>
      <c r="D1180" t="s">
        <v>36</v>
      </c>
      <c r="E1180" t="s">
        <v>37</v>
      </c>
      <c r="F1180" t="s">
        <v>51</v>
      </c>
      <c r="G1180" t="s">
        <v>57</v>
      </c>
      <c r="H1180">
        <v>1657</v>
      </c>
      <c r="I1180" s="2">
        <v>2</v>
      </c>
      <c r="J1180" s="2">
        <v>3</v>
      </c>
      <c r="K1180" t="s">
        <v>39</v>
      </c>
      <c r="L1180" s="2">
        <v>1</v>
      </c>
      <c r="M1180" s="2">
        <v>3</v>
      </c>
      <c r="N1180" t="s">
        <v>41</v>
      </c>
      <c r="O1180" s="2">
        <v>2783</v>
      </c>
      <c r="P1180" s="2">
        <v>13251</v>
      </c>
      <c r="Q1180" s="2">
        <v>1</v>
      </c>
      <c r="R1180" t="s">
        <v>43</v>
      </c>
      <c r="S1180" s="2">
        <v>3</v>
      </c>
      <c r="T1180" s="2">
        <v>1</v>
      </c>
      <c r="U1180">
        <v>80</v>
      </c>
      <c r="V1180" s="2">
        <v>2</v>
      </c>
      <c r="W1180">
        <v>3</v>
      </c>
      <c r="X1180">
        <v>3</v>
      </c>
      <c r="Y1180">
        <v>2</v>
      </c>
      <c r="Z1180">
        <v>2</v>
      </c>
      <c r="AA1180">
        <v>2</v>
      </c>
      <c r="AB1180">
        <v>2</v>
      </c>
    </row>
    <row r="1181" spans="1:28" x14ac:dyDescent="0.35">
      <c r="A1181" s="2">
        <v>34</v>
      </c>
      <c r="B1181" s="2" t="str" cm="1">
        <f t="array" ref="B1181">_xlfn.IFS(HR_table[[#This Row],[Age]]&lt;=20, "Under 20yrs",HR_table[[#This Row],[Age]]&lt;=30,"(21-30)yrs",HR_table[[#This Row],[Age]]&lt;=40,"(31-40)yrs",HR_table[[#This Row],[Age]]&lt;=50,"(41-50)yrs",HR_table[[#This Row],[Age]]&lt;=60,"(51-60)yrs")</f>
        <v>(31-40)yrs</v>
      </c>
      <c r="C1181" t="s">
        <v>43</v>
      </c>
      <c r="D1181" t="s">
        <v>36</v>
      </c>
      <c r="E1181" t="s">
        <v>45</v>
      </c>
      <c r="F1181" t="s">
        <v>38</v>
      </c>
      <c r="G1181" t="s">
        <v>47</v>
      </c>
      <c r="H1181">
        <v>1658</v>
      </c>
      <c r="I1181" s="2">
        <v>3</v>
      </c>
      <c r="J1181" s="2">
        <v>4</v>
      </c>
      <c r="K1181" t="s">
        <v>39</v>
      </c>
      <c r="L1181" s="2">
        <v>2</v>
      </c>
      <c r="M1181" s="2">
        <v>2</v>
      </c>
      <c r="N1181" t="s">
        <v>52</v>
      </c>
      <c r="O1181" s="2">
        <v>5433</v>
      </c>
      <c r="P1181" s="2">
        <v>19332</v>
      </c>
      <c r="Q1181" s="2">
        <v>1</v>
      </c>
      <c r="R1181" t="s">
        <v>43</v>
      </c>
      <c r="S1181" s="2">
        <v>3</v>
      </c>
      <c r="T1181" s="2">
        <v>3</v>
      </c>
      <c r="U1181">
        <v>80</v>
      </c>
      <c r="V1181" s="2">
        <v>11</v>
      </c>
      <c r="W1181">
        <v>2</v>
      </c>
      <c r="X1181">
        <v>3</v>
      </c>
      <c r="Y1181">
        <v>11</v>
      </c>
      <c r="Z1181">
        <v>8</v>
      </c>
      <c r="AA1181">
        <v>7</v>
      </c>
      <c r="AB1181">
        <v>9</v>
      </c>
    </row>
    <row r="1182" spans="1:28" x14ac:dyDescent="0.35">
      <c r="A1182" s="2">
        <v>36</v>
      </c>
      <c r="B1182" s="2" t="str" cm="1">
        <f t="array" ref="B1182">_xlfn.IFS(HR_table[[#This Row],[Age]]&lt;=20, "Under 20yrs",HR_table[[#This Row],[Age]]&lt;=30,"(21-30)yrs",HR_table[[#This Row],[Age]]&lt;=40,"(31-40)yrs",HR_table[[#This Row],[Age]]&lt;=50,"(41-50)yrs",HR_table[[#This Row],[Age]]&lt;=60,"(51-60)yrs")</f>
        <v>(31-40)yrs</v>
      </c>
      <c r="C1182" t="s">
        <v>43</v>
      </c>
      <c r="D1182" t="s">
        <v>36</v>
      </c>
      <c r="E1182" t="s">
        <v>45</v>
      </c>
      <c r="F1182" t="s">
        <v>38</v>
      </c>
      <c r="G1182" t="s">
        <v>50</v>
      </c>
      <c r="H1182">
        <v>1659</v>
      </c>
      <c r="I1182" s="2">
        <v>7</v>
      </c>
      <c r="J1182" s="2">
        <v>1</v>
      </c>
      <c r="K1182" t="s">
        <v>46</v>
      </c>
      <c r="L1182" s="2">
        <v>1</v>
      </c>
      <c r="M1182" s="2">
        <v>2</v>
      </c>
      <c r="N1182" t="s">
        <v>41</v>
      </c>
      <c r="O1182" s="2">
        <v>2013</v>
      </c>
      <c r="P1182" s="2">
        <v>10950</v>
      </c>
      <c r="Q1182" s="2">
        <v>2</v>
      </c>
      <c r="R1182" t="s">
        <v>43</v>
      </c>
      <c r="S1182" s="2">
        <v>3</v>
      </c>
      <c r="T1182" s="2">
        <v>3</v>
      </c>
      <c r="U1182">
        <v>80</v>
      </c>
      <c r="V1182" s="2">
        <v>15</v>
      </c>
      <c r="W1182">
        <v>4</v>
      </c>
      <c r="X1182">
        <v>3</v>
      </c>
      <c r="Y1182">
        <v>4</v>
      </c>
      <c r="Z1182">
        <v>3</v>
      </c>
      <c r="AA1182">
        <v>1</v>
      </c>
      <c r="AB1182">
        <v>3</v>
      </c>
    </row>
    <row r="1183" spans="1:28" x14ac:dyDescent="0.35">
      <c r="A1183" s="2">
        <v>49</v>
      </c>
      <c r="B1183" s="2" t="str" cm="1">
        <f t="array" ref="B1183">_xlfn.IFS(HR_table[[#This Row],[Age]]&lt;=20, "Under 20yrs",HR_table[[#This Row],[Age]]&lt;=30,"(21-30)yrs",HR_table[[#This Row],[Age]]&lt;=40,"(31-40)yrs",HR_table[[#This Row],[Age]]&lt;=50,"(41-50)yrs",HR_table[[#This Row],[Age]]&lt;=60,"(51-60)yrs")</f>
        <v>(41-50)yrs</v>
      </c>
      <c r="C1183" t="s">
        <v>43</v>
      </c>
      <c r="D1183" t="s">
        <v>36</v>
      </c>
      <c r="E1183" t="s">
        <v>45</v>
      </c>
      <c r="F1183" t="s">
        <v>38</v>
      </c>
      <c r="G1183" t="s">
        <v>54</v>
      </c>
      <c r="H1183">
        <v>1661</v>
      </c>
      <c r="I1183" s="2">
        <v>6</v>
      </c>
      <c r="J1183" s="2">
        <v>3</v>
      </c>
      <c r="K1183" t="s">
        <v>39</v>
      </c>
      <c r="L1183" s="2">
        <v>4</v>
      </c>
      <c r="M1183" s="2">
        <v>3</v>
      </c>
      <c r="N1183" t="s">
        <v>48</v>
      </c>
      <c r="O1183" s="2">
        <v>13966</v>
      </c>
      <c r="P1183" s="2">
        <v>11652</v>
      </c>
      <c r="Q1183" s="2">
        <v>2</v>
      </c>
      <c r="R1183" t="s">
        <v>35</v>
      </c>
      <c r="S1183" s="2">
        <v>3</v>
      </c>
      <c r="T1183" s="2">
        <v>2</v>
      </c>
      <c r="U1183">
        <v>80</v>
      </c>
      <c r="V1183" s="2">
        <v>30</v>
      </c>
      <c r="W1183">
        <v>3</v>
      </c>
      <c r="X1183">
        <v>3</v>
      </c>
      <c r="Y1183">
        <v>15</v>
      </c>
      <c r="Z1183">
        <v>11</v>
      </c>
      <c r="AA1183">
        <v>2</v>
      </c>
      <c r="AB1183">
        <v>12</v>
      </c>
    </row>
    <row r="1184" spans="1:28" x14ac:dyDescent="0.35">
      <c r="A1184" s="2">
        <v>36</v>
      </c>
      <c r="B1184" s="2" t="str" cm="1">
        <f t="array" ref="B1184">_xlfn.IFS(HR_table[[#This Row],[Age]]&lt;=20, "Under 20yrs",HR_table[[#This Row],[Age]]&lt;=30,"(21-30)yrs",HR_table[[#This Row],[Age]]&lt;=40,"(31-40)yrs",HR_table[[#This Row],[Age]]&lt;=50,"(41-50)yrs",HR_table[[#This Row],[Age]]&lt;=60,"(51-60)yrs")</f>
        <v>(31-40)yrs</v>
      </c>
      <c r="C1184" t="s">
        <v>43</v>
      </c>
      <c r="D1184" t="s">
        <v>55</v>
      </c>
      <c r="E1184" t="s">
        <v>45</v>
      </c>
      <c r="F1184" t="s">
        <v>51</v>
      </c>
      <c r="G1184" t="s">
        <v>53</v>
      </c>
      <c r="H1184">
        <v>1662</v>
      </c>
      <c r="I1184" s="2">
        <v>1</v>
      </c>
      <c r="J1184" s="2">
        <v>4</v>
      </c>
      <c r="K1184" t="s">
        <v>39</v>
      </c>
      <c r="L1184" s="2">
        <v>2</v>
      </c>
      <c r="M1184" s="2">
        <v>3</v>
      </c>
      <c r="N1184" t="s">
        <v>48</v>
      </c>
      <c r="O1184" s="2">
        <v>4374</v>
      </c>
      <c r="P1184" s="2">
        <v>15411</v>
      </c>
      <c r="Q1184" s="2">
        <v>0</v>
      </c>
      <c r="R1184" t="s">
        <v>43</v>
      </c>
      <c r="S1184" s="2">
        <v>3</v>
      </c>
      <c r="T1184" s="2">
        <v>3</v>
      </c>
      <c r="U1184">
        <v>80</v>
      </c>
      <c r="V1184" s="2">
        <v>4</v>
      </c>
      <c r="W1184">
        <v>6</v>
      </c>
      <c r="X1184">
        <v>3</v>
      </c>
      <c r="Y1184">
        <v>3</v>
      </c>
      <c r="Z1184">
        <v>2</v>
      </c>
      <c r="AA1184">
        <v>1</v>
      </c>
      <c r="AB1184">
        <v>2</v>
      </c>
    </row>
    <row r="1185" spans="1:28" x14ac:dyDescent="0.35">
      <c r="A1185" s="2">
        <v>36</v>
      </c>
      <c r="B1185" s="2" t="str" cm="1">
        <f t="array" ref="B1185">_xlfn.IFS(HR_table[[#This Row],[Age]]&lt;=20, "Under 20yrs",HR_table[[#This Row],[Age]]&lt;=30,"(21-30)yrs",HR_table[[#This Row],[Age]]&lt;=40,"(31-40)yrs",HR_table[[#This Row],[Age]]&lt;=50,"(41-50)yrs",HR_table[[#This Row],[Age]]&lt;=60,"(51-60)yrs")</f>
        <v>(31-40)yrs</v>
      </c>
      <c r="C1185" t="s">
        <v>43</v>
      </c>
      <c r="D1185" t="s">
        <v>36</v>
      </c>
      <c r="E1185" t="s">
        <v>45</v>
      </c>
      <c r="F1185" t="s">
        <v>38</v>
      </c>
      <c r="G1185" t="s">
        <v>54</v>
      </c>
      <c r="H1185">
        <v>1664</v>
      </c>
      <c r="I1185" s="2">
        <v>3</v>
      </c>
      <c r="J1185" s="2">
        <v>4</v>
      </c>
      <c r="K1185" t="s">
        <v>46</v>
      </c>
      <c r="L1185" s="2">
        <v>2</v>
      </c>
      <c r="M1185" s="2">
        <v>1</v>
      </c>
      <c r="N1185" t="s">
        <v>52</v>
      </c>
      <c r="O1185" s="2">
        <v>6842</v>
      </c>
      <c r="P1185" s="2">
        <v>26308</v>
      </c>
      <c r="Q1185" s="2">
        <v>6</v>
      </c>
      <c r="R1185" t="s">
        <v>43</v>
      </c>
      <c r="S1185" s="2">
        <v>4</v>
      </c>
      <c r="T1185" s="2">
        <v>1</v>
      </c>
      <c r="U1185">
        <v>80</v>
      </c>
      <c r="V1185" s="2">
        <v>13</v>
      </c>
      <c r="W1185">
        <v>3</v>
      </c>
      <c r="X1185">
        <v>3</v>
      </c>
      <c r="Y1185">
        <v>5</v>
      </c>
      <c r="Z1185">
        <v>4</v>
      </c>
      <c r="AA1185">
        <v>0</v>
      </c>
      <c r="AB1185">
        <v>4</v>
      </c>
    </row>
    <row r="1186" spans="1:28" x14ac:dyDescent="0.35">
      <c r="A1186" s="2">
        <v>54</v>
      </c>
      <c r="B1186" s="2" t="str" cm="1">
        <f t="array" ref="B1186">_xlfn.IFS(HR_table[[#This Row],[Age]]&lt;=20, "Under 20yrs",HR_table[[#This Row],[Age]]&lt;=30,"(21-30)yrs",HR_table[[#This Row],[Age]]&lt;=40,"(31-40)yrs",HR_table[[#This Row],[Age]]&lt;=50,"(41-50)yrs",HR_table[[#This Row],[Age]]&lt;=60,"(51-60)yrs")</f>
        <v>(51-60)yrs</v>
      </c>
      <c r="C1186" t="s">
        <v>43</v>
      </c>
      <c r="D1186" t="s">
        <v>36</v>
      </c>
      <c r="E1186" t="s">
        <v>45</v>
      </c>
      <c r="F1186" t="s">
        <v>51</v>
      </c>
      <c r="G1186" t="s">
        <v>56</v>
      </c>
      <c r="H1186">
        <v>1665</v>
      </c>
      <c r="I1186" s="2">
        <v>22</v>
      </c>
      <c r="J1186" s="2">
        <v>2</v>
      </c>
      <c r="K1186" t="s">
        <v>39</v>
      </c>
      <c r="L1186" s="2">
        <v>4</v>
      </c>
      <c r="M1186" s="2">
        <v>3</v>
      </c>
      <c r="N1186" t="s">
        <v>48</v>
      </c>
      <c r="O1186" s="2">
        <v>17426</v>
      </c>
      <c r="P1186" s="2">
        <v>18685</v>
      </c>
      <c r="Q1186" s="2">
        <v>3</v>
      </c>
      <c r="R1186" t="s">
        <v>43</v>
      </c>
      <c r="S1186" s="2">
        <v>4</v>
      </c>
      <c r="T1186" s="2">
        <v>3</v>
      </c>
      <c r="U1186">
        <v>80</v>
      </c>
      <c r="V1186" s="2">
        <v>36</v>
      </c>
      <c r="W1186">
        <v>6</v>
      </c>
      <c r="X1186">
        <v>3</v>
      </c>
      <c r="Y1186">
        <v>10</v>
      </c>
      <c r="Z1186">
        <v>8</v>
      </c>
      <c r="AA1186">
        <v>4</v>
      </c>
      <c r="AB1186">
        <v>7</v>
      </c>
    </row>
    <row r="1187" spans="1:28" x14ac:dyDescent="0.35">
      <c r="A1187" s="2">
        <v>43</v>
      </c>
      <c r="B1187" s="2" t="str" cm="1">
        <f t="array" ref="B1187">_xlfn.IFS(HR_table[[#This Row],[Age]]&lt;=20, "Under 20yrs",HR_table[[#This Row],[Age]]&lt;=30,"(21-30)yrs",HR_table[[#This Row],[Age]]&lt;=40,"(31-40)yrs",HR_table[[#This Row],[Age]]&lt;=50,"(41-50)yrs",HR_table[[#This Row],[Age]]&lt;=60,"(51-60)yrs")</f>
        <v>(41-50)yrs</v>
      </c>
      <c r="C1187" t="s">
        <v>43</v>
      </c>
      <c r="D1187" t="s">
        <v>36</v>
      </c>
      <c r="E1187" t="s">
        <v>45</v>
      </c>
      <c r="F1187" t="s">
        <v>38</v>
      </c>
      <c r="G1187" t="s">
        <v>58</v>
      </c>
      <c r="H1187">
        <v>1666</v>
      </c>
      <c r="I1187" s="2">
        <v>15</v>
      </c>
      <c r="J1187" s="2">
        <v>3</v>
      </c>
      <c r="K1187" t="s">
        <v>46</v>
      </c>
      <c r="L1187" s="2">
        <v>4</v>
      </c>
      <c r="M1187" s="2">
        <v>3</v>
      </c>
      <c r="N1187" t="s">
        <v>48</v>
      </c>
      <c r="O1187" s="2">
        <v>17603</v>
      </c>
      <c r="P1187" s="2">
        <v>3525</v>
      </c>
      <c r="Q1187" s="2">
        <v>1</v>
      </c>
      <c r="R1187" t="s">
        <v>43</v>
      </c>
      <c r="S1187" s="2">
        <v>4</v>
      </c>
      <c r="T1187" s="2">
        <v>1</v>
      </c>
      <c r="U1187">
        <v>80</v>
      </c>
      <c r="V1187" s="2">
        <v>14</v>
      </c>
      <c r="W1187">
        <v>3</v>
      </c>
      <c r="X1187">
        <v>3</v>
      </c>
      <c r="Y1187">
        <v>14</v>
      </c>
      <c r="Z1187">
        <v>10</v>
      </c>
      <c r="AA1187">
        <v>6</v>
      </c>
      <c r="AB1187">
        <v>11</v>
      </c>
    </row>
    <row r="1188" spans="1:28" x14ac:dyDescent="0.35">
      <c r="A1188" s="2">
        <v>35</v>
      </c>
      <c r="B1188" s="2" t="str" cm="1">
        <f t="array" ref="B1188">_xlfn.IFS(HR_table[[#This Row],[Age]]&lt;=20, "Under 20yrs",HR_table[[#This Row],[Age]]&lt;=30,"(21-30)yrs",HR_table[[#This Row],[Age]]&lt;=40,"(31-40)yrs",HR_table[[#This Row],[Age]]&lt;=50,"(41-50)yrs",HR_table[[#This Row],[Age]]&lt;=60,"(51-60)yrs")</f>
        <v>(31-40)yrs</v>
      </c>
      <c r="C1188" t="s">
        <v>35</v>
      </c>
      <c r="D1188" t="s">
        <v>44</v>
      </c>
      <c r="E1188" t="s">
        <v>37</v>
      </c>
      <c r="F1188" t="s">
        <v>49</v>
      </c>
      <c r="G1188" t="s">
        <v>40</v>
      </c>
      <c r="H1188">
        <v>1667</v>
      </c>
      <c r="I1188" s="2">
        <v>12</v>
      </c>
      <c r="J1188" s="2">
        <v>4</v>
      </c>
      <c r="K1188" t="s">
        <v>46</v>
      </c>
      <c r="L1188" s="2">
        <v>2</v>
      </c>
      <c r="M1188" s="2">
        <v>4</v>
      </c>
      <c r="N1188" t="s">
        <v>41</v>
      </c>
      <c r="O1188" s="2">
        <v>4581</v>
      </c>
      <c r="P1188" s="2">
        <v>10414</v>
      </c>
      <c r="Q1188" s="2">
        <v>3</v>
      </c>
      <c r="R1188" t="s">
        <v>35</v>
      </c>
      <c r="S1188" s="2">
        <v>4</v>
      </c>
      <c r="T1188" s="2">
        <v>1</v>
      </c>
      <c r="U1188">
        <v>80</v>
      </c>
      <c r="V1188" s="2">
        <v>13</v>
      </c>
      <c r="W1188">
        <v>2</v>
      </c>
      <c r="X1188">
        <v>4</v>
      </c>
      <c r="Y1188">
        <v>11</v>
      </c>
      <c r="Z1188">
        <v>9</v>
      </c>
      <c r="AA1188">
        <v>6</v>
      </c>
      <c r="AB1188">
        <v>7</v>
      </c>
    </row>
    <row r="1189" spans="1:28" x14ac:dyDescent="0.35">
      <c r="A1189" s="2">
        <v>38</v>
      </c>
      <c r="B1189" s="2" t="str" cm="1">
        <f t="array" ref="B1189">_xlfn.IFS(HR_table[[#This Row],[Age]]&lt;=20, "Under 20yrs",HR_table[[#This Row],[Age]]&lt;=30,"(21-30)yrs",HR_table[[#This Row],[Age]]&lt;=40,"(31-40)yrs",HR_table[[#This Row],[Age]]&lt;=50,"(41-50)yrs",HR_table[[#This Row],[Age]]&lt;=60,"(51-60)yrs")</f>
        <v>(31-40)yrs</v>
      </c>
      <c r="C1189" t="s">
        <v>43</v>
      </c>
      <c r="D1189" t="s">
        <v>44</v>
      </c>
      <c r="E1189" t="s">
        <v>45</v>
      </c>
      <c r="F1189" t="s">
        <v>38</v>
      </c>
      <c r="G1189" t="s">
        <v>47</v>
      </c>
      <c r="H1189">
        <v>1668</v>
      </c>
      <c r="I1189" s="2">
        <v>1</v>
      </c>
      <c r="J1189" s="2">
        <v>4</v>
      </c>
      <c r="K1189" t="s">
        <v>46</v>
      </c>
      <c r="L1189" s="2">
        <v>2</v>
      </c>
      <c r="M1189" s="2">
        <v>4</v>
      </c>
      <c r="N1189" t="s">
        <v>48</v>
      </c>
      <c r="O1189" s="2">
        <v>4735</v>
      </c>
      <c r="P1189" s="2">
        <v>9867</v>
      </c>
      <c r="Q1189" s="2">
        <v>7</v>
      </c>
      <c r="R1189" t="s">
        <v>43</v>
      </c>
      <c r="S1189" s="2">
        <v>3</v>
      </c>
      <c r="T1189" s="2">
        <v>4</v>
      </c>
      <c r="U1189">
        <v>80</v>
      </c>
      <c r="V1189" s="2">
        <v>19</v>
      </c>
      <c r="W1189">
        <v>4</v>
      </c>
      <c r="X1189">
        <v>4</v>
      </c>
      <c r="Y1189">
        <v>13</v>
      </c>
      <c r="Z1189">
        <v>11</v>
      </c>
      <c r="AA1189">
        <v>2</v>
      </c>
      <c r="AB1189">
        <v>9</v>
      </c>
    </row>
    <row r="1190" spans="1:28" x14ac:dyDescent="0.35">
      <c r="A1190" s="2">
        <v>29</v>
      </c>
      <c r="B1190" s="2" t="str" cm="1">
        <f t="array" ref="B1190">_xlfn.IFS(HR_table[[#This Row],[Age]]&lt;=20, "Under 20yrs",HR_table[[#This Row],[Age]]&lt;=30,"(21-30)yrs",HR_table[[#This Row],[Age]]&lt;=40,"(31-40)yrs",HR_table[[#This Row],[Age]]&lt;=50,"(41-50)yrs",HR_table[[#This Row],[Age]]&lt;=60,"(51-60)yrs")</f>
        <v>(21-30)yrs</v>
      </c>
      <c r="C1190" t="s">
        <v>43</v>
      </c>
      <c r="D1190" t="s">
        <v>36</v>
      </c>
      <c r="E1190" t="s">
        <v>37</v>
      </c>
      <c r="F1190" t="s">
        <v>51</v>
      </c>
      <c r="G1190" t="s">
        <v>40</v>
      </c>
      <c r="H1190">
        <v>1669</v>
      </c>
      <c r="I1190" s="2">
        <v>5</v>
      </c>
      <c r="J1190" s="2">
        <v>1</v>
      </c>
      <c r="K1190" t="s">
        <v>46</v>
      </c>
      <c r="L1190" s="2">
        <v>2</v>
      </c>
      <c r="M1190" s="2">
        <v>2</v>
      </c>
      <c r="N1190" t="s">
        <v>52</v>
      </c>
      <c r="O1190" s="2">
        <v>4187</v>
      </c>
      <c r="P1190" s="2">
        <v>3356</v>
      </c>
      <c r="Q1190" s="2">
        <v>1</v>
      </c>
      <c r="R1190" t="s">
        <v>35</v>
      </c>
      <c r="S1190" s="2">
        <v>3</v>
      </c>
      <c r="T1190" s="2">
        <v>2</v>
      </c>
      <c r="U1190">
        <v>80</v>
      </c>
      <c r="V1190" s="2">
        <v>10</v>
      </c>
      <c r="W1190">
        <v>3</v>
      </c>
      <c r="X1190">
        <v>2</v>
      </c>
      <c r="Y1190">
        <v>10</v>
      </c>
      <c r="Z1190">
        <v>0</v>
      </c>
      <c r="AA1190">
        <v>0</v>
      </c>
      <c r="AB1190">
        <v>9</v>
      </c>
    </row>
    <row r="1191" spans="1:28" x14ac:dyDescent="0.35">
      <c r="A1191" s="2">
        <v>33</v>
      </c>
      <c r="B1191" s="2" t="str" cm="1">
        <f t="array" ref="B1191">_xlfn.IFS(HR_table[[#This Row],[Age]]&lt;=20, "Under 20yrs",HR_table[[#This Row],[Age]]&lt;=30,"(21-30)yrs",HR_table[[#This Row],[Age]]&lt;=40,"(31-40)yrs",HR_table[[#This Row],[Age]]&lt;=50,"(41-50)yrs",HR_table[[#This Row],[Age]]&lt;=60,"(51-60)yrs")</f>
        <v>(31-40)yrs</v>
      </c>
      <c r="C1191" t="s">
        <v>43</v>
      </c>
      <c r="D1191" t="s">
        <v>36</v>
      </c>
      <c r="E1191" t="s">
        <v>37</v>
      </c>
      <c r="F1191" t="s">
        <v>51</v>
      </c>
      <c r="G1191" t="s">
        <v>40</v>
      </c>
      <c r="H1191">
        <v>1670</v>
      </c>
      <c r="I1191" s="2">
        <v>2</v>
      </c>
      <c r="J1191" s="2">
        <v>4</v>
      </c>
      <c r="K1191" t="s">
        <v>46</v>
      </c>
      <c r="L1191" s="2">
        <v>2</v>
      </c>
      <c r="M1191" s="2">
        <v>4</v>
      </c>
      <c r="N1191" t="s">
        <v>52</v>
      </c>
      <c r="O1191" s="2">
        <v>5505</v>
      </c>
      <c r="P1191" s="2">
        <v>3921</v>
      </c>
      <c r="Q1191" s="2">
        <v>1</v>
      </c>
      <c r="R1191" t="s">
        <v>43</v>
      </c>
      <c r="S1191" s="2">
        <v>3</v>
      </c>
      <c r="T1191" s="2">
        <v>3</v>
      </c>
      <c r="U1191">
        <v>80</v>
      </c>
      <c r="V1191" s="2">
        <v>6</v>
      </c>
      <c r="W1191">
        <v>5</v>
      </c>
      <c r="X1191">
        <v>3</v>
      </c>
      <c r="Y1191">
        <v>6</v>
      </c>
      <c r="Z1191">
        <v>2</v>
      </c>
      <c r="AA1191">
        <v>0</v>
      </c>
      <c r="AB1191">
        <v>4</v>
      </c>
    </row>
    <row r="1192" spans="1:28" x14ac:dyDescent="0.35">
      <c r="A1192" s="2">
        <v>32</v>
      </c>
      <c r="B1192" s="2" t="str" cm="1">
        <f t="array" ref="B1192">_xlfn.IFS(HR_table[[#This Row],[Age]]&lt;=20, "Under 20yrs",HR_table[[#This Row],[Age]]&lt;=30,"(21-30)yrs",HR_table[[#This Row],[Age]]&lt;=40,"(31-40)yrs",HR_table[[#This Row],[Age]]&lt;=50,"(41-50)yrs",HR_table[[#This Row],[Age]]&lt;=60,"(51-60)yrs")</f>
        <v>(31-40)yrs</v>
      </c>
      <c r="C1192" t="s">
        <v>43</v>
      </c>
      <c r="D1192" t="s">
        <v>36</v>
      </c>
      <c r="E1192" t="s">
        <v>45</v>
      </c>
      <c r="F1192" t="s">
        <v>51</v>
      </c>
      <c r="G1192" t="s">
        <v>47</v>
      </c>
      <c r="H1192">
        <v>1671</v>
      </c>
      <c r="I1192" s="2">
        <v>2</v>
      </c>
      <c r="J1192" s="2">
        <v>4</v>
      </c>
      <c r="K1192" t="s">
        <v>46</v>
      </c>
      <c r="L1192" s="2">
        <v>2</v>
      </c>
      <c r="M1192" s="2">
        <v>2</v>
      </c>
      <c r="N1192" t="s">
        <v>52</v>
      </c>
      <c r="O1192" s="2">
        <v>5470</v>
      </c>
      <c r="P1192" s="2">
        <v>25518</v>
      </c>
      <c r="Q1192" s="2">
        <v>0</v>
      </c>
      <c r="R1192" t="s">
        <v>43</v>
      </c>
      <c r="S1192" s="2">
        <v>3</v>
      </c>
      <c r="T1192" s="2">
        <v>3</v>
      </c>
      <c r="U1192">
        <v>80</v>
      </c>
      <c r="V1192" s="2">
        <v>10</v>
      </c>
      <c r="W1192">
        <v>4</v>
      </c>
      <c r="X1192">
        <v>2</v>
      </c>
      <c r="Y1192">
        <v>9</v>
      </c>
      <c r="Z1192">
        <v>5</v>
      </c>
      <c r="AA1192">
        <v>1</v>
      </c>
      <c r="AB1192">
        <v>6</v>
      </c>
    </row>
    <row r="1193" spans="1:28" x14ac:dyDescent="0.35">
      <c r="A1193" s="2">
        <v>31</v>
      </c>
      <c r="B1193" s="2" t="str" cm="1">
        <f t="array" ref="B1193">_xlfn.IFS(HR_table[[#This Row],[Age]]&lt;=20, "Under 20yrs",HR_table[[#This Row],[Age]]&lt;=30,"(21-30)yrs",HR_table[[#This Row],[Age]]&lt;=40,"(31-40)yrs",HR_table[[#This Row],[Age]]&lt;=50,"(41-50)yrs",HR_table[[#This Row],[Age]]&lt;=60,"(51-60)yrs")</f>
        <v>(31-40)yrs</v>
      </c>
      <c r="C1193" t="s">
        <v>43</v>
      </c>
      <c r="D1193" t="s">
        <v>36</v>
      </c>
      <c r="E1193" t="s">
        <v>37</v>
      </c>
      <c r="F1193" t="s">
        <v>38</v>
      </c>
      <c r="G1193" t="s">
        <v>40</v>
      </c>
      <c r="H1193">
        <v>1673</v>
      </c>
      <c r="I1193" s="2">
        <v>5</v>
      </c>
      <c r="J1193" s="2">
        <v>1</v>
      </c>
      <c r="K1193" t="s">
        <v>39</v>
      </c>
      <c r="L1193" s="2">
        <v>2</v>
      </c>
      <c r="M1193" s="2">
        <v>4</v>
      </c>
      <c r="N1193" t="s">
        <v>48</v>
      </c>
      <c r="O1193" s="2">
        <v>5476</v>
      </c>
      <c r="P1193" s="2">
        <v>22589</v>
      </c>
      <c r="Q1193" s="2">
        <v>1</v>
      </c>
      <c r="R1193" t="s">
        <v>43</v>
      </c>
      <c r="S1193" s="2">
        <v>3</v>
      </c>
      <c r="T1193" s="2">
        <v>1</v>
      </c>
      <c r="U1193">
        <v>80</v>
      </c>
      <c r="V1193" s="2">
        <v>10</v>
      </c>
      <c r="W1193">
        <v>2</v>
      </c>
      <c r="X1193">
        <v>3</v>
      </c>
      <c r="Y1193">
        <v>10</v>
      </c>
      <c r="Z1193">
        <v>0</v>
      </c>
      <c r="AA1193">
        <v>0</v>
      </c>
      <c r="AB1193">
        <v>2</v>
      </c>
    </row>
    <row r="1194" spans="1:28" x14ac:dyDescent="0.35">
      <c r="A1194" s="2">
        <v>49</v>
      </c>
      <c r="B1194" s="2" t="str" cm="1">
        <f t="array" ref="B1194">_xlfn.IFS(HR_table[[#This Row],[Age]]&lt;=20, "Under 20yrs",HR_table[[#This Row],[Age]]&lt;=30,"(21-30)yrs",HR_table[[#This Row],[Age]]&lt;=40,"(31-40)yrs",HR_table[[#This Row],[Age]]&lt;=50,"(41-50)yrs",HR_table[[#This Row],[Age]]&lt;=60,"(51-60)yrs")</f>
        <v>(41-50)yrs</v>
      </c>
      <c r="C1194" t="s">
        <v>43</v>
      </c>
      <c r="D1194" t="s">
        <v>36</v>
      </c>
      <c r="E1194" t="s">
        <v>45</v>
      </c>
      <c r="F1194" t="s">
        <v>51</v>
      </c>
      <c r="G1194" t="s">
        <v>50</v>
      </c>
      <c r="H1194">
        <v>1674</v>
      </c>
      <c r="I1194" s="2">
        <v>16</v>
      </c>
      <c r="J1194" s="2">
        <v>4</v>
      </c>
      <c r="K1194" t="s">
        <v>39</v>
      </c>
      <c r="L1194" s="2">
        <v>1</v>
      </c>
      <c r="M1194" s="2">
        <v>1</v>
      </c>
      <c r="N1194" t="s">
        <v>52</v>
      </c>
      <c r="O1194" s="2">
        <v>2587</v>
      </c>
      <c r="P1194" s="2">
        <v>24941</v>
      </c>
      <c r="Q1194" s="2">
        <v>4</v>
      </c>
      <c r="R1194" t="s">
        <v>35</v>
      </c>
      <c r="S1194" s="2">
        <v>3</v>
      </c>
      <c r="T1194" s="2">
        <v>2</v>
      </c>
      <c r="U1194">
        <v>80</v>
      </c>
      <c r="V1194" s="2">
        <v>17</v>
      </c>
      <c r="W1194">
        <v>2</v>
      </c>
      <c r="X1194">
        <v>2</v>
      </c>
      <c r="Y1194">
        <v>2</v>
      </c>
      <c r="Z1194">
        <v>2</v>
      </c>
      <c r="AA1194">
        <v>2</v>
      </c>
      <c r="AB1194">
        <v>2</v>
      </c>
    </row>
    <row r="1195" spans="1:28" x14ac:dyDescent="0.35">
      <c r="A1195" s="2">
        <v>38</v>
      </c>
      <c r="B1195" s="2" t="str" cm="1">
        <f t="array" ref="B1195">_xlfn.IFS(HR_table[[#This Row],[Age]]&lt;=20, "Under 20yrs",HR_table[[#This Row],[Age]]&lt;=30,"(21-30)yrs",HR_table[[#This Row],[Age]]&lt;=40,"(31-40)yrs",HR_table[[#This Row],[Age]]&lt;=50,"(41-50)yrs",HR_table[[#This Row],[Age]]&lt;=60,"(51-60)yrs")</f>
        <v>(31-40)yrs</v>
      </c>
      <c r="C1195" t="s">
        <v>43</v>
      </c>
      <c r="D1195" t="s">
        <v>44</v>
      </c>
      <c r="E1195" t="s">
        <v>45</v>
      </c>
      <c r="F1195" t="s">
        <v>51</v>
      </c>
      <c r="G1195" t="s">
        <v>50</v>
      </c>
      <c r="H1195">
        <v>1675</v>
      </c>
      <c r="I1195" s="2">
        <v>2</v>
      </c>
      <c r="J1195" s="2">
        <v>4</v>
      </c>
      <c r="K1195" t="s">
        <v>39</v>
      </c>
      <c r="L1195" s="2">
        <v>1</v>
      </c>
      <c r="M1195" s="2">
        <v>2</v>
      </c>
      <c r="N1195" t="s">
        <v>41</v>
      </c>
      <c r="O1195" s="2">
        <v>2440</v>
      </c>
      <c r="P1195" s="2">
        <v>23826</v>
      </c>
      <c r="Q1195" s="2">
        <v>1</v>
      </c>
      <c r="R1195" t="s">
        <v>43</v>
      </c>
      <c r="S1195" s="2">
        <v>4</v>
      </c>
      <c r="T1195" s="2">
        <v>2</v>
      </c>
      <c r="U1195">
        <v>80</v>
      </c>
      <c r="V1195" s="2">
        <v>4</v>
      </c>
      <c r="W1195">
        <v>3</v>
      </c>
      <c r="X1195">
        <v>3</v>
      </c>
      <c r="Y1195">
        <v>4</v>
      </c>
      <c r="Z1195">
        <v>3</v>
      </c>
      <c r="AA1195">
        <v>3</v>
      </c>
      <c r="AB1195">
        <v>3</v>
      </c>
    </row>
    <row r="1196" spans="1:28" x14ac:dyDescent="0.35">
      <c r="A1196" s="2">
        <v>47</v>
      </c>
      <c r="B1196" s="2" t="str" cm="1">
        <f t="array" ref="B1196">_xlfn.IFS(HR_table[[#This Row],[Age]]&lt;=20, "Under 20yrs",HR_table[[#This Row],[Age]]&lt;=30,"(21-30)yrs",HR_table[[#This Row],[Age]]&lt;=40,"(31-40)yrs",HR_table[[#This Row],[Age]]&lt;=50,"(41-50)yrs",HR_table[[#This Row],[Age]]&lt;=60,"(51-60)yrs")</f>
        <v>(41-50)yrs</v>
      </c>
      <c r="C1196" t="s">
        <v>43</v>
      </c>
      <c r="D1196" t="s">
        <v>36</v>
      </c>
      <c r="E1196" t="s">
        <v>37</v>
      </c>
      <c r="F1196" t="s">
        <v>38</v>
      </c>
      <c r="G1196" t="s">
        <v>56</v>
      </c>
      <c r="H1196">
        <v>1676</v>
      </c>
      <c r="I1196" s="2">
        <v>2</v>
      </c>
      <c r="J1196" s="2">
        <v>2</v>
      </c>
      <c r="K1196" t="s">
        <v>39</v>
      </c>
      <c r="L1196" s="2">
        <v>4</v>
      </c>
      <c r="M1196" s="2">
        <v>2</v>
      </c>
      <c r="N1196" t="s">
        <v>52</v>
      </c>
      <c r="O1196" s="2">
        <v>15972</v>
      </c>
      <c r="P1196" s="2">
        <v>21086</v>
      </c>
      <c r="Q1196" s="2">
        <v>6</v>
      </c>
      <c r="R1196" t="s">
        <v>43</v>
      </c>
      <c r="S1196" s="2">
        <v>3</v>
      </c>
      <c r="T1196" s="2">
        <v>3</v>
      </c>
      <c r="U1196">
        <v>80</v>
      </c>
      <c r="V1196" s="2">
        <v>29</v>
      </c>
      <c r="W1196">
        <v>2</v>
      </c>
      <c r="X1196">
        <v>3</v>
      </c>
      <c r="Y1196">
        <v>3</v>
      </c>
      <c r="Z1196">
        <v>2</v>
      </c>
      <c r="AA1196">
        <v>1</v>
      </c>
      <c r="AB1196">
        <v>2</v>
      </c>
    </row>
    <row r="1197" spans="1:28" x14ac:dyDescent="0.35">
      <c r="A1197" s="2">
        <v>49</v>
      </c>
      <c r="B1197" s="2" t="str" cm="1">
        <f t="array" ref="B1197">_xlfn.IFS(HR_table[[#This Row],[Age]]&lt;=20, "Under 20yrs",HR_table[[#This Row],[Age]]&lt;=30,"(21-30)yrs",HR_table[[#This Row],[Age]]&lt;=40,"(31-40)yrs",HR_table[[#This Row],[Age]]&lt;=50,"(41-50)yrs",HR_table[[#This Row],[Age]]&lt;=60,"(51-60)yrs")</f>
        <v>(41-50)yrs</v>
      </c>
      <c r="C1197" t="s">
        <v>43</v>
      </c>
      <c r="D1197" t="s">
        <v>36</v>
      </c>
      <c r="E1197" t="s">
        <v>45</v>
      </c>
      <c r="F1197" t="s">
        <v>38</v>
      </c>
      <c r="G1197" t="s">
        <v>56</v>
      </c>
      <c r="H1197">
        <v>1677</v>
      </c>
      <c r="I1197" s="2">
        <v>1</v>
      </c>
      <c r="J1197" s="2">
        <v>3</v>
      </c>
      <c r="K1197" t="s">
        <v>46</v>
      </c>
      <c r="L1197" s="2">
        <v>4</v>
      </c>
      <c r="M1197" s="2">
        <v>3</v>
      </c>
      <c r="N1197" t="s">
        <v>41</v>
      </c>
      <c r="O1197" s="2">
        <v>15379</v>
      </c>
      <c r="P1197" s="2">
        <v>22384</v>
      </c>
      <c r="Q1197" s="2">
        <v>4</v>
      </c>
      <c r="R1197" t="s">
        <v>43</v>
      </c>
      <c r="S1197" s="2">
        <v>3</v>
      </c>
      <c r="T1197" s="2">
        <v>1</v>
      </c>
      <c r="U1197">
        <v>80</v>
      </c>
      <c r="V1197" s="2">
        <v>23</v>
      </c>
      <c r="W1197">
        <v>2</v>
      </c>
      <c r="X1197">
        <v>3</v>
      </c>
      <c r="Y1197">
        <v>8</v>
      </c>
      <c r="Z1197">
        <v>7</v>
      </c>
      <c r="AA1197">
        <v>0</v>
      </c>
      <c r="AB1197">
        <v>0</v>
      </c>
    </row>
    <row r="1198" spans="1:28" x14ac:dyDescent="0.35">
      <c r="A1198" s="2">
        <v>41</v>
      </c>
      <c r="B1198" s="2" t="str" cm="1">
        <f t="array" ref="B1198">_xlfn.IFS(HR_table[[#This Row],[Age]]&lt;=20, "Under 20yrs",HR_table[[#This Row],[Age]]&lt;=30,"(21-30)yrs",HR_table[[#This Row],[Age]]&lt;=40,"(31-40)yrs",HR_table[[#This Row],[Age]]&lt;=50,"(41-50)yrs",HR_table[[#This Row],[Age]]&lt;=60,"(51-60)yrs")</f>
        <v>(41-50)yrs</v>
      </c>
      <c r="C1198" t="s">
        <v>43</v>
      </c>
      <c r="D1198" t="s">
        <v>36</v>
      </c>
      <c r="E1198" t="s">
        <v>37</v>
      </c>
      <c r="F1198" t="s">
        <v>38</v>
      </c>
      <c r="G1198" t="s">
        <v>40</v>
      </c>
      <c r="H1198">
        <v>1678</v>
      </c>
      <c r="I1198" s="2">
        <v>23</v>
      </c>
      <c r="J1198" s="2">
        <v>4</v>
      </c>
      <c r="K1198" t="s">
        <v>46</v>
      </c>
      <c r="L1198" s="2">
        <v>3</v>
      </c>
      <c r="M1198" s="2">
        <v>3</v>
      </c>
      <c r="N1198" t="s">
        <v>41</v>
      </c>
      <c r="O1198" s="2">
        <v>7082</v>
      </c>
      <c r="P1198" s="2">
        <v>11591</v>
      </c>
      <c r="Q1198" s="2">
        <v>3</v>
      </c>
      <c r="R1198" t="s">
        <v>35</v>
      </c>
      <c r="S1198" s="2">
        <v>3</v>
      </c>
      <c r="T1198" s="2">
        <v>4</v>
      </c>
      <c r="U1198">
        <v>80</v>
      </c>
      <c r="V1198" s="2">
        <v>21</v>
      </c>
      <c r="W1198">
        <v>2</v>
      </c>
      <c r="X1198">
        <v>3</v>
      </c>
      <c r="Y1198">
        <v>2</v>
      </c>
      <c r="Z1198">
        <v>0</v>
      </c>
      <c r="AA1198">
        <v>0</v>
      </c>
      <c r="AB1198">
        <v>2</v>
      </c>
    </row>
    <row r="1199" spans="1:28" x14ac:dyDescent="0.35">
      <c r="A1199" s="2">
        <v>20</v>
      </c>
      <c r="B1199" s="2" t="str" cm="1">
        <f t="array" ref="B1199">_xlfn.IFS(HR_table[[#This Row],[Age]]&lt;=20, "Under 20yrs",HR_table[[#This Row],[Age]]&lt;=30,"(21-30)yrs",HR_table[[#This Row],[Age]]&lt;=40,"(31-40)yrs",HR_table[[#This Row],[Age]]&lt;=50,"(41-50)yrs",HR_table[[#This Row],[Age]]&lt;=60,"(51-60)yrs")</f>
        <v>Under 20yrs</v>
      </c>
      <c r="C1199" t="s">
        <v>43</v>
      </c>
      <c r="D1199" t="s">
        <v>36</v>
      </c>
      <c r="E1199" t="s">
        <v>37</v>
      </c>
      <c r="F1199" t="s">
        <v>38</v>
      </c>
      <c r="G1199" t="s">
        <v>57</v>
      </c>
      <c r="H1199">
        <v>1680</v>
      </c>
      <c r="I1199" s="2">
        <v>9</v>
      </c>
      <c r="J1199" s="2">
        <v>4</v>
      </c>
      <c r="K1199" t="s">
        <v>46</v>
      </c>
      <c r="L1199" s="2">
        <v>1</v>
      </c>
      <c r="M1199" s="2">
        <v>1</v>
      </c>
      <c r="N1199" t="s">
        <v>41</v>
      </c>
      <c r="O1199" s="2">
        <v>2728</v>
      </c>
      <c r="P1199" s="2">
        <v>21082</v>
      </c>
      <c r="Q1199" s="2">
        <v>1</v>
      </c>
      <c r="R1199" t="s">
        <v>43</v>
      </c>
      <c r="S1199" s="2">
        <v>3</v>
      </c>
      <c r="T1199" s="2">
        <v>1</v>
      </c>
      <c r="U1199">
        <v>80</v>
      </c>
      <c r="V1199" s="2">
        <v>2</v>
      </c>
      <c r="W1199">
        <v>3</v>
      </c>
      <c r="X1199">
        <v>3</v>
      </c>
      <c r="Y1199">
        <v>2</v>
      </c>
      <c r="Z1199">
        <v>2</v>
      </c>
      <c r="AA1199">
        <v>0</v>
      </c>
      <c r="AB1199">
        <v>2</v>
      </c>
    </row>
    <row r="1200" spans="1:28" x14ac:dyDescent="0.35">
      <c r="A1200" s="2">
        <v>33</v>
      </c>
      <c r="B1200" s="2" t="str" cm="1">
        <f t="array" ref="B1200">_xlfn.IFS(HR_table[[#This Row],[Age]]&lt;=20, "Under 20yrs",HR_table[[#This Row],[Age]]&lt;=30,"(21-30)yrs",HR_table[[#This Row],[Age]]&lt;=40,"(31-40)yrs",HR_table[[#This Row],[Age]]&lt;=50,"(41-50)yrs",HR_table[[#This Row],[Age]]&lt;=60,"(51-60)yrs")</f>
        <v>(31-40)yrs</v>
      </c>
      <c r="C1200" t="s">
        <v>43</v>
      </c>
      <c r="D1200" t="s">
        <v>55</v>
      </c>
      <c r="E1200" t="s">
        <v>37</v>
      </c>
      <c r="F1200" t="s">
        <v>38</v>
      </c>
      <c r="G1200" t="s">
        <v>40</v>
      </c>
      <c r="H1200">
        <v>1681</v>
      </c>
      <c r="I1200" s="2">
        <v>16</v>
      </c>
      <c r="J1200" s="2">
        <v>3</v>
      </c>
      <c r="K1200" t="s">
        <v>39</v>
      </c>
      <c r="L1200" s="2">
        <v>2</v>
      </c>
      <c r="M1200" s="2">
        <v>4</v>
      </c>
      <c r="N1200" t="s">
        <v>52</v>
      </c>
      <c r="O1200" s="2">
        <v>5368</v>
      </c>
      <c r="P1200" s="2">
        <v>16130</v>
      </c>
      <c r="Q1200" s="2">
        <v>1</v>
      </c>
      <c r="R1200" t="s">
        <v>35</v>
      </c>
      <c r="S1200" s="2">
        <v>4</v>
      </c>
      <c r="T1200" s="2">
        <v>3</v>
      </c>
      <c r="U1200">
        <v>80</v>
      </c>
      <c r="V1200" s="2">
        <v>7</v>
      </c>
      <c r="W1200">
        <v>2</v>
      </c>
      <c r="X1200">
        <v>3</v>
      </c>
      <c r="Y1200">
        <v>6</v>
      </c>
      <c r="Z1200">
        <v>5</v>
      </c>
      <c r="AA1200">
        <v>1</v>
      </c>
      <c r="AB1200">
        <v>2</v>
      </c>
    </row>
    <row r="1201" spans="1:28" x14ac:dyDescent="0.35">
      <c r="A1201" s="2">
        <v>36</v>
      </c>
      <c r="B1201" s="2" t="str" cm="1">
        <f t="array" ref="B1201">_xlfn.IFS(HR_table[[#This Row],[Age]]&lt;=20, "Under 20yrs",HR_table[[#This Row],[Age]]&lt;=30,"(21-30)yrs",HR_table[[#This Row],[Age]]&lt;=40,"(31-40)yrs",HR_table[[#This Row],[Age]]&lt;=50,"(41-50)yrs",HR_table[[#This Row],[Age]]&lt;=60,"(51-60)yrs")</f>
        <v>(31-40)yrs</v>
      </c>
      <c r="C1201" t="s">
        <v>43</v>
      </c>
      <c r="D1201" t="s">
        <v>36</v>
      </c>
      <c r="E1201" t="s">
        <v>45</v>
      </c>
      <c r="F1201" t="s">
        <v>38</v>
      </c>
      <c r="G1201" t="s">
        <v>54</v>
      </c>
      <c r="H1201">
        <v>1682</v>
      </c>
      <c r="I1201" s="2">
        <v>26</v>
      </c>
      <c r="J1201" s="2">
        <v>1</v>
      </c>
      <c r="K1201" t="s">
        <v>46</v>
      </c>
      <c r="L1201" s="2">
        <v>2</v>
      </c>
      <c r="M1201" s="2">
        <v>3</v>
      </c>
      <c r="N1201" t="s">
        <v>48</v>
      </c>
      <c r="O1201" s="2">
        <v>5347</v>
      </c>
      <c r="P1201" s="2">
        <v>7419</v>
      </c>
      <c r="Q1201" s="2">
        <v>6</v>
      </c>
      <c r="R1201" t="s">
        <v>43</v>
      </c>
      <c r="S1201" s="2">
        <v>3</v>
      </c>
      <c r="T1201" s="2">
        <v>2</v>
      </c>
      <c r="U1201">
        <v>80</v>
      </c>
      <c r="V1201" s="2">
        <v>10</v>
      </c>
      <c r="W1201">
        <v>2</v>
      </c>
      <c r="X1201">
        <v>2</v>
      </c>
      <c r="Y1201">
        <v>3</v>
      </c>
      <c r="Z1201">
        <v>2</v>
      </c>
      <c r="AA1201">
        <v>0</v>
      </c>
      <c r="AB1201">
        <v>2</v>
      </c>
    </row>
    <row r="1202" spans="1:28" x14ac:dyDescent="0.35">
      <c r="A1202" s="2">
        <v>44</v>
      </c>
      <c r="B1202" s="2" t="str" cm="1">
        <f t="array" ref="B1202">_xlfn.IFS(HR_table[[#This Row],[Age]]&lt;=20, "Under 20yrs",HR_table[[#This Row],[Age]]&lt;=30,"(21-30)yrs",HR_table[[#This Row],[Age]]&lt;=40,"(31-40)yrs",HR_table[[#This Row],[Age]]&lt;=50,"(41-50)yrs",HR_table[[#This Row],[Age]]&lt;=60,"(51-60)yrs")</f>
        <v>(41-50)yrs</v>
      </c>
      <c r="C1202" t="s">
        <v>43</v>
      </c>
      <c r="D1202" t="s">
        <v>36</v>
      </c>
      <c r="E1202" t="s">
        <v>61</v>
      </c>
      <c r="F1202" t="s">
        <v>38</v>
      </c>
      <c r="G1202" t="s">
        <v>61</v>
      </c>
      <c r="H1202">
        <v>1683</v>
      </c>
      <c r="I1202" s="2">
        <v>1</v>
      </c>
      <c r="J1202" s="2">
        <v>3</v>
      </c>
      <c r="K1202" t="s">
        <v>39</v>
      </c>
      <c r="L1202" s="2">
        <v>1</v>
      </c>
      <c r="M1202" s="2">
        <v>4</v>
      </c>
      <c r="N1202" t="s">
        <v>52</v>
      </c>
      <c r="O1202" s="2">
        <v>3195</v>
      </c>
      <c r="P1202" s="2">
        <v>4167</v>
      </c>
      <c r="Q1202" s="2">
        <v>4</v>
      </c>
      <c r="R1202" t="s">
        <v>35</v>
      </c>
      <c r="S1202" s="2">
        <v>3</v>
      </c>
      <c r="T1202" s="2">
        <v>1</v>
      </c>
      <c r="U1202">
        <v>80</v>
      </c>
      <c r="V1202" s="2">
        <v>8</v>
      </c>
      <c r="W1202">
        <v>2</v>
      </c>
      <c r="X1202">
        <v>3</v>
      </c>
      <c r="Y1202">
        <v>2</v>
      </c>
      <c r="Z1202">
        <v>2</v>
      </c>
      <c r="AA1202">
        <v>2</v>
      </c>
      <c r="AB1202">
        <v>2</v>
      </c>
    </row>
    <row r="1203" spans="1:28" x14ac:dyDescent="0.35">
      <c r="A1203" s="2">
        <v>23</v>
      </c>
      <c r="B1203" s="2" t="str" cm="1">
        <f t="array" ref="B1203">_xlfn.IFS(HR_table[[#This Row],[Age]]&lt;=20, "Under 20yrs",HR_table[[#This Row],[Age]]&lt;=30,"(21-30)yrs",HR_table[[#This Row],[Age]]&lt;=40,"(31-40)yrs",HR_table[[#This Row],[Age]]&lt;=50,"(41-50)yrs",HR_table[[#This Row],[Age]]&lt;=60,"(51-60)yrs")</f>
        <v>(21-30)yrs</v>
      </c>
      <c r="C1203" t="s">
        <v>35</v>
      </c>
      <c r="D1203" t="s">
        <v>36</v>
      </c>
      <c r="E1203" t="s">
        <v>45</v>
      </c>
      <c r="F1203" t="s">
        <v>51</v>
      </c>
      <c r="G1203" t="s">
        <v>50</v>
      </c>
      <c r="H1203">
        <v>1684</v>
      </c>
      <c r="I1203" s="2">
        <v>8</v>
      </c>
      <c r="J1203" s="2">
        <v>4</v>
      </c>
      <c r="K1203" t="s">
        <v>46</v>
      </c>
      <c r="L1203" s="2">
        <v>1</v>
      </c>
      <c r="M1203" s="2">
        <v>3</v>
      </c>
      <c r="N1203" t="s">
        <v>41</v>
      </c>
      <c r="O1203" s="2">
        <v>3989</v>
      </c>
      <c r="P1203" s="2">
        <v>20586</v>
      </c>
      <c r="Q1203" s="2">
        <v>1</v>
      </c>
      <c r="R1203" t="s">
        <v>35</v>
      </c>
      <c r="S1203" s="2">
        <v>3</v>
      </c>
      <c r="T1203" s="2">
        <v>1</v>
      </c>
      <c r="U1203">
        <v>80</v>
      </c>
      <c r="V1203" s="2">
        <v>5</v>
      </c>
      <c r="W1203">
        <v>2</v>
      </c>
      <c r="X1203">
        <v>3</v>
      </c>
      <c r="Y1203">
        <v>5</v>
      </c>
      <c r="Z1203">
        <v>4</v>
      </c>
      <c r="AA1203">
        <v>1</v>
      </c>
      <c r="AB1203">
        <v>2</v>
      </c>
    </row>
    <row r="1204" spans="1:28" x14ac:dyDescent="0.35">
      <c r="A1204" s="2">
        <v>38</v>
      </c>
      <c r="B1204" s="2" t="str" cm="1">
        <f t="array" ref="B1204">_xlfn.IFS(HR_table[[#This Row],[Age]]&lt;=20, "Under 20yrs",HR_table[[#This Row],[Age]]&lt;=30,"(21-30)yrs",HR_table[[#This Row],[Age]]&lt;=40,"(31-40)yrs",HR_table[[#This Row],[Age]]&lt;=50,"(41-50)yrs",HR_table[[#This Row],[Age]]&lt;=60,"(51-60)yrs")</f>
        <v>(31-40)yrs</v>
      </c>
      <c r="C1204" t="s">
        <v>43</v>
      </c>
      <c r="D1204" t="s">
        <v>36</v>
      </c>
      <c r="E1204" t="s">
        <v>45</v>
      </c>
      <c r="F1204" t="s">
        <v>51</v>
      </c>
      <c r="G1204" t="s">
        <v>50</v>
      </c>
      <c r="H1204">
        <v>1687</v>
      </c>
      <c r="I1204" s="2">
        <v>4</v>
      </c>
      <c r="J1204" s="2">
        <v>4</v>
      </c>
      <c r="K1204" t="s">
        <v>39</v>
      </c>
      <c r="L1204" s="2">
        <v>1</v>
      </c>
      <c r="M1204" s="2">
        <v>3</v>
      </c>
      <c r="N1204" t="s">
        <v>48</v>
      </c>
      <c r="O1204" s="2">
        <v>3306</v>
      </c>
      <c r="P1204" s="2">
        <v>26176</v>
      </c>
      <c r="Q1204" s="2">
        <v>7</v>
      </c>
      <c r="R1204" t="s">
        <v>43</v>
      </c>
      <c r="S1204" s="2">
        <v>3</v>
      </c>
      <c r="T1204" s="2">
        <v>4</v>
      </c>
      <c r="U1204">
        <v>80</v>
      </c>
      <c r="V1204" s="2">
        <v>7</v>
      </c>
      <c r="W1204">
        <v>5</v>
      </c>
      <c r="X1204">
        <v>2</v>
      </c>
      <c r="Y1204">
        <v>0</v>
      </c>
      <c r="Z1204">
        <v>0</v>
      </c>
      <c r="AA1204">
        <v>0</v>
      </c>
      <c r="AB1204">
        <v>0</v>
      </c>
    </row>
    <row r="1205" spans="1:28" x14ac:dyDescent="0.35">
      <c r="A1205" s="2">
        <v>53</v>
      </c>
      <c r="B1205" s="2" t="str" cm="1">
        <f t="array" ref="B1205">_xlfn.IFS(HR_table[[#This Row],[Age]]&lt;=20, "Under 20yrs",HR_table[[#This Row],[Age]]&lt;=30,"(21-30)yrs",HR_table[[#This Row],[Age]]&lt;=40,"(31-40)yrs",HR_table[[#This Row],[Age]]&lt;=50,"(41-50)yrs",HR_table[[#This Row],[Age]]&lt;=60,"(51-60)yrs")</f>
        <v>(51-60)yrs</v>
      </c>
      <c r="C1205" t="s">
        <v>43</v>
      </c>
      <c r="D1205" t="s">
        <v>36</v>
      </c>
      <c r="E1205" t="s">
        <v>45</v>
      </c>
      <c r="F1205" t="s">
        <v>51</v>
      </c>
      <c r="G1205" t="s">
        <v>54</v>
      </c>
      <c r="H1205">
        <v>1689</v>
      </c>
      <c r="I1205" s="2">
        <v>24</v>
      </c>
      <c r="J1205" s="2">
        <v>2</v>
      </c>
      <c r="K1205" t="s">
        <v>46</v>
      </c>
      <c r="L1205" s="2">
        <v>3</v>
      </c>
      <c r="M1205" s="2">
        <v>4</v>
      </c>
      <c r="N1205" t="s">
        <v>48</v>
      </c>
      <c r="O1205" s="2">
        <v>7005</v>
      </c>
      <c r="P1205" s="2">
        <v>3458</v>
      </c>
      <c r="Q1205" s="2">
        <v>3</v>
      </c>
      <c r="R1205" t="s">
        <v>43</v>
      </c>
      <c r="S1205" s="2">
        <v>3</v>
      </c>
      <c r="T1205" s="2">
        <v>3</v>
      </c>
      <c r="U1205">
        <v>80</v>
      </c>
      <c r="V1205" s="2">
        <v>11</v>
      </c>
      <c r="W1205">
        <v>2</v>
      </c>
      <c r="X1205">
        <v>3</v>
      </c>
      <c r="Y1205">
        <v>4</v>
      </c>
      <c r="Z1205">
        <v>3</v>
      </c>
      <c r="AA1205">
        <v>1</v>
      </c>
      <c r="AB1205">
        <v>2</v>
      </c>
    </row>
    <row r="1206" spans="1:28" x14ac:dyDescent="0.35">
      <c r="A1206" s="2">
        <v>48</v>
      </c>
      <c r="B1206" s="2" t="str" cm="1">
        <f t="array" ref="B1206">_xlfn.IFS(HR_table[[#This Row],[Age]]&lt;=20, "Under 20yrs",HR_table[[#This Row],[Age]]&lt;=30,"(21-30)yrs",HR_table[[#This Row],[Age]]&lt;=40,"(31-40)yrs",HR_table[[#This Row],[Age]]&lt;=50,"(41-50)yrs",HR_table[[#This Row],[Age]]&lt;=60,"(51-60)yrs")</f>
        <v>(41-50)yrs</v>
      </c>
      <c r="C1206" t="s">
        <v>35</v>
      </c>
      <c r="D1206" t="s">
        <v>44</v>
      </c>
      <c r="E1206" t="s">
        <v>37</v>
      </c>
      <c r="F1206" t="s">
        <v>51</v>
      </c>
      <c r="G1206" t="s">
        <v>57</v>
      </c>
      <c r="H1206">
        <v>1691</v>
      </c>
      <c r="I1206" s="2">
        <v>7</v>
      </c>
      <c r="J1206" s="2">
        <v>4</v>
      </c>
      <c r="K1206" t="s">
        <v>39</v>
      </c>
      <c r="L1206" s="2">
        <v>1</v>
      </c>
      <c r="M1206" s="2">
        <v>3</v>
      </c>
      <c r="N1206" t="s">
        <v>48</v>
      </c>
      <c r="O1206" s="2">
        <v>2655</v>
      </c>
      <c r="P1206" s="2">
        <v>11740</v>
      </c>
      <c r="Q1206" s="2">
        <v>2</v>
      </c>
      <c r="R1206" t="s">
        <v>35</v>
      </c>
      <c r="S1206" s="2">
        <v>3</v>
      </c>
      <c r="T1206" s="2">
        <v>3</v>
      </c>
      <c r="U1206">
        <v>80</v>
      </c>
      <c r="V1206" s="2">
        <v>19</v>
      </c>
      <c r="W1206">
        <v>3</v>
      </c>
      <c r="X1206">
        <v>3</v>
      </c>
      <c r="Y1206">
        <v>9</v>
      </c>
      <c r="Z1206">
        <v>7</v>
      </c>
      <c r="AA1206">
        <v>7</v>
      </c>
      <c r="AB1206">
        <v>7</v>
      </c>
    </row>
    <row r="1207" spans="1:28" x14ac:dyDescent="0.35">
      <c r="A1207" s="2">
        <v>32</v>
      </c>
      <c r="B1207" s="2" t="str" cm="1">
        <f t="array" ref="B1207">_xlfn.IFS(HR_table[[#This Row],[Age]]&lt;=20, "Under 20yrs",HR_table[[#This Row],[Age]]&lt;=30,"(21-30)yrs",HR_table[[#This Row],[Age]]&lt;=40,"(31-40)yrs",HR_table[[#This Row],[Age]]&lt;=50,"(41-50)yrs",HR_table[[#This Row],[Age]]&lt;=60,"(51-60)yrs")</f>
        <v>(31-40)yrs</v>
      </c>
      <c r="C1207" t="s">
        <v>35</v>
      </c>
      <c r="D1207" t="s">
        <v>36</v>
      </c>
      <c r="E1207" t="s">
        <v>45</v>
      </c>
      <c r="F1207" t="s">
        <v>38</v>
      </c>
      <c r="G1207" t="s">
        <v>50</v>
      </c>
      <c r="H1207">
        <v>1692</v>
      </c>
      <c r="I1207" s="2">
        <v>2</v>
      </c>
      <c r="J1207" s="2">
        <v>4</v>
      </c>
      <c r="K1207" t="s">
        <v>46</v>
      </c>
      <c r="L1207" s="2">
        <v>1</v>
      </c>
      <c r="M1207" s="2">
        <v>2</v>
      </c>
      <c r="N1207" t="s">
        <v>41</v>
      </c>
      <c r="O1207" s="2">
        <v>1393</v>
      </c>
      <c r="P1207" s="2">
        <v>24852</v>
      </c>
      <c r="Q1207" s="2">
        <v>1</v>
      </c>
      <c r="R1207" t="s">
        <v>43</v>
      </c>
      <c r="S1207" s="2">
        <v>3</v>
      </c>
      <c r="T1207" s="2">
        <v>1</v>
      </c>
      <c r="U1207">
        <v>80</v>
      </c>
      <c r="V1207" s="2">
        <v>1</v>
      </c>
      <c r="W1207">
        <v>2</v>
      </c>
      <c r="X1207">
        <v>3</v>
      </c>
      <c r="Y1207">
        <v>1</v>
      </c>
      <c r="Z1207">
        <v>0</v>
      </c>
      <c r="AA1207">
        <v>0</v>
      </c>
      <c r="AB1207">
        <v>0</v>
      </c>
    </row>
    <row r="1208" spans="1:28" x14ac:dyDescent="0.35">
      <c r="A1208" s="2">
        <v>26</v>
      </c>
      <c r="B1208" s="2" t="str" cm="1">
        <f t="array" ref="B1208">_xlfn.IFS(HR_table[[#This Row],[Age]]&lt;=20, "Under 20yrs",HR_table[[#This Row],[Age]]&lt;=30,"(21-30)yrs",HR_table[[#This Row],[Age]]&lt;=40,"(31-40)yrs",HR_table[[#This Row],[Age]]&lt;=50,"(41-50)yrs",HR_table[[#This Row],[Age]]&lt;=60,"(51-60)yrs")</f>
        <v>(21-30)yrs</v>
      </c>
      <c r="C1208" t="s">
        <v>43</v>
      </c>
      <c r="D1208" t="s">
        <v>55</v>
      </c>
      <c r="E1208" t="s">
        <v>45</v>
      </c>
      <c r="F1208" t="s">
        <v>51</v>
      </c>
      <c r="G1208" t="s">
        <v>50</v>
      </c>
      <c r="H1208">
        <v>1693</v>
      </c>
      <c r="I1208" s="2">
        <v>7</v>
      </c>
      <c r="J1208" s="2">
        <v>4</v>
      </c>
      <c r="K1208" t="s">
        <v>46</v>
      </c>
      <c r="L1208" s="2">
        <v>1</v>
      </c>
      <c r="M1208" s="2">
        <v>4</v>
      </c>
      <c r="N1208" t="s">
        <v>41</v>
      </c>
      <c r="O1208" s="2">
        <v>2570</v>
      </c>
      <c r="P1208" s="2">
        <v>11925</v>
      </c>
      <c r="Q1208" s="2">
        <v>1</v>
      </c>
      <c r="R1208" t="s">
        <v>43</v>
      </c>
      <c r="S1208" s="2">
        <v>4</v>
      </c>
      <c r="T1208" s="2">
        <v>3</v>
      </c>
      <c r="U1208">
        <v>80</v>
      </c>
      <c r="V1208" s="2">
        <v>7</v>
      </c>
      <c r="W1208">
        <v>5</v>
      </c>
      <c r="X1208">
        <v>3</v>
      </c>
      <c r="Y1208">
        <v>7</v>
      </c>
      <c r="Z1208">
        <v>7</v>
      </c>
      <c r="AA1208">
        <v>5</v>
      </c>
      <c r="AB1208">
        <v>7</v>
      </c>
    </row>
    <row r="1209" spans="1:28" x14ac:dyDescent="0.35">
      <c r="A1209" s="2">
        <v>55</v>
      </c>
      <c r="B1209" s="2" t="str" cm="1">
        <f t="array" ref="B1209">_xlfn.IFS(HR_table[[#This Row],[Age]]&lt;=20, "Under 20yrs",HR_table[[#This Row],[Age]]&lt;=30,"(21-30)yrs",HR_table[[#This Row],[Age]]&lt;=40,"(31-40)yrs",HR_table[[#This Row],[Age]]&lt;=50,"(41-50)yrs",HR_table[[#This Row],[Age]]&lt;=60,"(51-60)yrs")</f>
        <v>(51-60)yrs</v>
      </c>
      <c r="C1209" t="s">
        <v>43</v>
      </c>
      <c r="D1209" t="s">
        <v>36</v>
      </c>
      <c r="E1209" t="s">
        <v>45</v>
      </c>
      <c r="F1209" t="s">
        <v>60</v>
      </c>
      <c r="G1209" t="s">
        <v>47</v>
      </c>
      <c r="H1209">
        <v>1694</v>
      </c>
      <c r="I1209" s="2">
        <v>22</v>
      </c>
      <c r="J1209" s="2">
        <v>1</v>
      </c>
      <c r="K1209" t="s">
        <v>46</v>
      </c>
      <c r="L1209" s="2">
        <v>1</v>
      </c>
      <c r="M1209" s="2">
        <v>2</v>
      </c>
      <c r="N1209" t="s">
        <v>52</v>
      </c>
      <c r="O1209" s="2">
        <v>3537</v>
      </c>
      <c r="P1209" s="2">
        <v>23737</v>
      </c>
      <c r="Q1209" s="2">
        <v>5</v>
      </c>
      <c r="R1209" t="s">
        <v>43</v>
      </c>
      <c r="S1209" s="2">
        <v>3</v>
      </c>
      <c r="T1209" s="2">
        <v>4</v>
      </c>
      <c r="U1209">
        <v>80</v>
      </c>
      <c r="V1209" s="2">
        <v>8</v>
      </c>
      <c r="W1209">
        <v>1</v>
      </c>
      <c r="X1209">
        <v>3</v>
      </c>
      <c r="Y1209">
        <v>4</v>
      </c>
      <c r="Z1209">
        <v>2</v>
      </c>
      <c r="AA1209">
        <v>1</v>
      </c>
      <c r="AB1209">
        <v>2</v>
      </c>
    </row>
    <row r="1210" spans="1:28" x14ac:dyDescent="0.35">
      <c r="A1210" s="2">
        <v>34</v>
      </c>
      <c r="B1210" s="2" t="str" cm="1">
        <f t="array" ref="B1210">_xlfn.IFS(HR_table[[#This Row],[Age]]&lt;=20, "Under 20yrs",HR_table[[#This Row],[Age]]&lt;=30,"(21-30)yrs",HR_table[[#This Row],[Age]]&lt;=40,"(31-40)yrs",HR_table[[#This Row],[Age]]&lt;=50,"(41-50)yrs",HR_table[[#This Row],[Age]]&lt;=60,"(51-60)yrs")</f>
        <v>(31-40)yrs</v>
      </c>
      <c r="C1210" t="s">
        <v>43</v>
      </c>
      <c r="D1210" t="s">
        <v>36</v>
      </c>
      <c r="E1210" t="s">
        <v>45</v>
      </c>
      <c r="F1210" t="s">
        <v>51</v>
      </c>
      <c r="G1210" t="s">
        <v>50</v>
      </c>
      <c r="H1210">
        <v>1696</v>
      </c>
      <c r="I1210" s="2">
        <v>5</v>
      </c>
      <c r="J1210" s="2">
        <v>2</v>
      </c>
      <c r="K1210" t="s">
        <v>46</v>
      </c>
      <c r="L1210" s="2">
        <v>2</v>
      </c>
      <c r="M1210" s="2">
        <v>4</v>
      </c>
      <c r="N1210" t="s">
        <v>48</v>
      </c>
      <c r="O1210" s="2">
        <v>3986</v>
      </c>
      <c r="P1210" s="2">
        <v>11912</v>
      </c>
      <c r="Q1210" s="2">
        <v>1</v>
      </c>
      <c r="R1210" t="s">
        <v>43</v>
      </c>
      <c r="S1210" s="2">
        <v>3</v>
      </c>
      <c r="T1210" s="2">
        <v>3</v>
      </c>
      <c r="U1210">
        <v>80</v>
      </c>
      <c r="V1210" s="2">
        <v>15</v>
      </c>
      <c r="W1210">
        <v>3</v>
      </c>
      <c r="X1210">
        <v>4</v>
      </c>
      <c r="Y1210">
        <v>15</v>
      </c>
      <c r="Z1210">
        <v>10</v>
      </c>
      <c r="AA1210">
        <v>4</v>
      </c>
      <c r="AB1210">
        <v>13</v>
      </c>
    </row>
    <row r="1211" spans="1:28" x14ac:dyDescent="0.35">
      <c r="A1211" s="2">
        <v>60</v>
      </c>
      <c r="B1211" s="2" t="str" cm="1">
        <f t="array" ref="B1211">_xlfn.IFS(HR_table[[#This Row],[Age]]&lt;=20, "Under 20yrs",HR_table[[#This Row],[Age]]&lt;=30,"(21-30)yrs",HR_table[[#This Row],[Age]]&lt;=40,"(31-40)yrs",HR_table[[#This Row],[Age]]&lt;=50,"(41-50)yrs",HR_table[[#This Row],[Age]]&lt;=60,"(51-60)yrs")</f>
        <v>(51-60)yrs</v>
      </c>
      <c r="C1211" t="s">
        <v>43</v>
      </c>
      <c r="D1211" t="s">
        <v>36</v>
      </c>
      <c r="E1211" t="s">
        <v>45</v>
      </c>
      <c r="F1211" t="s">
        <v>51</v>
      </c>
      <c r="G1211" t="s">
        <v>54</v>
      </c>
      <c r="H1211">
        <v>1697</v>
      </c>
      <c r="I1211" s="2">
        <v>1</v>
      </c>
      <c r="J1211" s="2">
        <v>3</v>
      </c>
      <c r="K1211" t="s">
        <v>46</v>
      </c>
      <c r="L1211" s="2">
        <v>3</v>
      </c>
      <c r="M1211" s="2">
        <v>4</v>
      </c>
      <c r="N1211" t="s">
        <v>52</v>
      </c>
      <c r="O1211" s="2">
        <v>10883</v>
      </c>
      <c r="P1211" s="2">
        <v>20467</v>
      </c>
      <c r="Q1211" s="2">
        <v>3</v>
      </c>
      <c r="R1211" t="s">
        <v>43</v>
      </c>
      <c r="S1211" s="2">
        <v>4</v>
      </c>
      <c r="T1211" s="2">
        <v>3</v>
      </c>
      <c r="U1211">
        <v>80</v>
      </c>
      <c r="V1211" s="2">
        <v>19</v>
      </c>
      <c r="W1211">
        <v>2</v>
      </c>
      <c r="X1211">
        <v>4</v>
      </c>
      <c r="Y1211">
        <v>1</v>
      </c>
      <c r="Z1211">
        <v>0</v>
      </c>
      <c r="AA1211">
        <v>0</v>
      </c>
      <c r="AB1211">
        <v>0</v>
      </c>
    </row>
    <row r="1212" spans="1:28" x14ac:dyDescent="0.35">
      <c r="A1212" s="2">
        <v>33</v>
      </c>
      <c r="B1212" s="2" t="str" cm="1">
        <f t="array" ref="B1212">_xlfn.IFS(HR_table[[#This Row],[Age]]&lt;=20, "Under 20yrs",HR_table[[#This Row],[Age]]&lt;=30,"(21-30)yrs",HR_table[[#This Row],[Age]]&lt;=40,"(31-40)yrs",HR_table[[#This Row],[Age]]&lt;=50,"(41-50)yrs",HR_table[[#This Row],[Age]]&lt;=60,"(51-60)yrs")</f>
        <v>(31-40)yrs</v>
      </c>
      <c r="C1212" t="s">
        <v>43</v>
      </c>
      <c r="D1212" t="s">
        <v>36</v>
      </c>
      <c r="E1212" t="s">
        <v>45</v>
      </c>
      <c r="F1212" t="s">
        <v>51</v>
      </c>
      <c r="G1212" t="s">
        <v>50</v>
      </c>
      <c r="H1212">
        <v>1698</v>
      </c>
      <c r="I1212" s="2">
        <v>21</v>
      </c>
      <c r="J1212" s="2">
        <v>2</v>
      </c>
      <c r="K1212" t="s">
        <v>46</v>
      </c>
      <c r="L1212" s="2">
        <v>1</v>
      </c>
      <c r="M1212" s="2">
        <v>2</v>
      </c>
      <c r="N1212" t="s">
        <v>48</v>
      </c>
      <c r="O1212" s="2">
        <v>2028</v>
      </c>
      <c r="P1212" s="2">
        <v>13637</v>
      </c>
      <c r="Q1212" s="2">
        <v>1</v>
      </c>
      <c r="R1212" t="s">
        <v>43</v>
      </c>
      <c r="S1212" s="2">
        <v>3</v>
      </c>
      <c r="T1212" s="2">
        <v>4</v>
      </c>
      <c r="U1212">
        <v>80</v>
      </c>
      <c r="V1212" s="2">
        <v>14</v>
      </c>
      <c r="W1212">
        <v>6</v>
      </c>
      <c r="X1212">
        <v>3</v>
      </c>
      <c r="Y1212">
        <v>14</v>
      </c>
      <c r="Z1212">
        <v>11</v>
      </c>
      <c r="AA1212">
        <v>2</v>
      </c>
      <c r="AB1212">
        <v>13</v>
      </c>
    </row>
    <row r="1213" spans="1:28" x14ac:dyDescent="0.35">
      <c r="A1213" s="2">
        <v>37</v>
      </c>
      <c r="B1213" s="2" t="str" cm="1">
        <f t="array" ref="B1213">_xlfn.IFS(HR_table[[#This Row],[Age]]&lt;=20, "Under 20yrs",HR_table[[#This Row],[Age]]&lt;=30,"(21-30)yrs",HR_table[[#This Row],[Age]]&lt;=40,"(31-40)yrs",HR_table[[#This Row],[Age]]&lt;=50,"(41-50)yrs",HR_table[[#This Row],[Age]]&lt;=60,"(51-60)yrs")</f>
        <v>(31-40)yrs</v>
      </c>
      <c r="C1213" t="s">
        <v>43</v>
      </c>
      <c r="D1213" t="s">
        <v>44</v>
      </c>
      <c r="E1213" t="s">
        <v>37</v>
      </c>
      <c r="F1213" t="s">
        <v>51</v>
      </c>
      <c r="G1213" t="s">
        <v>40</v>
      </c>
      <c r="H1213">
        <v>1700</v>
      </c>
      <c r="I1213" s="2">
        <v>1</v>
      </c>
      <c r="J1213" s="2">
        <v>3</v>
      </c>
      <c r="K1213" t="s">
        <v>46</v>
      </c>
      <c r="L1213" s="2">
        <v>2</v>
      </c>
      <c r="M1213" s="2">
        <v>4</v>
      </c>
      <c r="N1213" t="s">
        <v>52</v>
      </c>
      <c r="O1213" s="2">
        <v>9525</v>
      </c>
      <c r="P1213" s="2">
        <v>7677</v>
      </c>
      <c r="Q1213" s="2">
        <v>1</v>
      </c>
      <c r="R1213" t="s">
        <v>43</v>
      </c>
      <c r="S1213" s="2">
        <v>3</v>
      </c>
      <c r="T1213" s="2">
        <v>3</v>
      </c>
      <c r="U1213">
        <v>80</v>
      </c>
      <c r="V1213" s="2">
        <v>6</v>
      </c>
      <c r="W1213">
        <v>2</v>
      </c>
      <c r="X1213">
        <v>2</v>
      </c>
      <c r="Y1213">
        <v>6</v>
      </c>
      <c r="Z1213">
        <v>3</v>
      </c>
      <c r="AA1213">
        <v>1</v>
      </c>
      <c r="AB1213">
        <v>3</v>
      </c>
    </row>
    <row r="1214" spans="1:28" x14ac:dyDescent="0.35">
      <c r="A1214" s="2">
        <v>34</v>
      </c>
      <c r="B1214" s="2" t="str" cm="1">
        <f t="array" ref="B1214">_xlfn.IFS(HR_table[[#This Row],[Age]]&lt;=20, "Under 20yrs",HR_table[[#This Row],[Age]]&lt;=30,"(21-30)yrs",HR_table[[#This Row],[Age]]&lt;=40,"(31-40)yrs",HR_table[[#This Row],[Age]]&lt;=50,"(41-50)yrs",HR_table[[#This Row],[Age]]&lt;=60,"(51-60)yrs")</f>
        <v>(31-40)yrs</v>
      </c>
      <c r="C1214" t="s">
        <v>43</v>
      </c>
      <c r="D1214" t="s">
        <v>36</v>
      </c>
      <c r="E1214" t="s">
        <v>45</v>
      </c>
      <c r="F1214" t="s">
        <v>38</v>
      </c>
      <c r="G1214" t="s">
        <v>47</v>
      </c>
      <c r="H1214">
        <v>1701</v>
      </c>
      <c r="I1214" s="2">
        <v>19</v>
      </c>
      <c r="J1214" s="2">
        <v>2</v>
      </c>
      <c r="K1214" t="s">
        <v>39</v>
      </c>
      <c r="L1214" s="2">
        <v>1</v>
      </c>
      <c r="M1214" s="2">
        <v>4</v>
      </c>
      <c r="N1214" t="s">
        <v>48</v>
      </c>
      <c r="O1214" s="2">
        <v>2929</v>
      </c>
      <c r="P1214" s="2">
        <v>20338</v>
      </c>
      <c r="Q1214" s="2">
        <v>1</v>
      </c>
      <c r="R1214" t="s">
        <v>43</v>
      </c>
      <c r="S1214" s="2">
        <v>3</v>
      </c>
      <c r="T1214" s="2">
        <v>2</v>
      </c>
      <c r="U1214">
        <v>80</v>
      </c>
      <c r="V1214" s="2">
        <v>10</v>
      </c>
      <c r="W1214">
        <v>3</v>
      </c>
      <c r="X1214">
        <v>3</v>
      </c>
      <c r="Y1214">
        <v>10</v>
      </c>
      <c r="Z1214">
        <v>9</v>
      </c>
      <c r="AA1214">
        <v>8</v>
      </c>
      <c r="AB1214">
        <v>7</v>
      </c>
    </row>
    <row r="1215" spans="1:28" x14ac:dyDescent="0.35">
      <c r="A1215" s="2">
        <v>23</v>
      </c>
      <c r="B1215" s="2" t="str" cm="1">
        <f t="array" ref="B1215">_xlfn.IFS(HR_table[[#This Row],[Age]]&lt;=20, "Under 20yrs",HR_table[[#This Row],[Age]]&lt;=30,"(21-30)yrs",HR_table[[#This Row],[Age]]&lt;=40,"(31-40)yrs",HR_table[[#This Row],[Age]]&lt;=50,"(41-50)yrs",HR_table[[#This Row],[Age]]&lt;=60,"(51-60)yrs")</f>
        <v>(21-30)yrs</v>
      </c>
      <c r="C1215" t="s">
        <v>35</v>
      </c>
      <c r="D1215" t="s">
        <v>36</v>
      </c>
      <c r="E1215" t="s">
        <v>37</v>
      </c>
      <c r="F1215" t="s">
        <v>38</v>
      </c>
      <c r="G1215" t="s">
        <v>57</v>
      </c>
      <c r="H1215">
        <v>1702</v>
      </c>
      <c r="I1215" s="2">
        <v>7</v>
      </c>
      <c r="J1215" s="2">
        <v>3</v>
      </c>
      <c r="K1215" t="s">
        <v>46</v>
      </c>
      <c r="L1215" s="2">
        <v>1</v>
      </c>
      <c r="M1215" s="2">
        <v>4</v>
      </c>
      <c r="N1215" t="s">
        <v>52</v>
      </c>
      <c r="O1215" s="2">
        <v>2275</v>
      </c>
      <c r="P1215" s="2">
        <v>25103</v>
      </c>
      <c r="Q1215" s="2">
        <v>1</v>
      </c>
      <c r="R1215" t="s">
        <v>35</v>
      </c>
      <c r="S1215" s="2">
        <v>4</v>
      </c>
      <c r="T1215" s="2">
        <v>2</v>
      </c>
      <c r="U1215">
        <v>80</v>
      </c>
      <c r="V1215" s="2">
        <v>3</v>
      </c>
      <c r="W1215">
        <v>2</v>
      </c>
      <c r="X1215">
        <v>3</v>
      </c>
      <c r="Y1215">
        <v>3</v>
      </c>
      <c r="Z1215">
        <v>2</v>
      </c>
      <c r="AA1215">
        <v>0</v>
      </c>
      <c r="AB1215">
        <v>2</v>
      </c>
    </row>
    <row r="1216" spans="1:28" x14ac:dyDescent="0.35">
      <c r="A1216" s="2">
        <v>44</v>
      </c>
      <c r="B1216" s="2" t="str" cm="1">
        <f t="array" ref="B1216">_xlfn.IFS(HR_table[[#This Row],[Age]]&lt;=20, "Under 20yrs",HR_table[[#This Row],[Age]]&lt;=30,"(21-30)yrs",HR_table[[#This Row],[Age]]&lt;=40,"(31-40)yrs",HR_table[[#This Row],[Age]]&lt;=50,"(41-50)yrs",HR_table[[#This Row],[Age]]&lt;=60,"(51-60)yrs")</f>
        <v>(41-50)yrs</v>
      </c>
      <c r="C1216" t="s">
        <v>43</v>
      </c>
      <c r="D1216" t="s">
        <v>36</v>
      </c>
      <c r="E1216" t="s">
        <v>45</v>
      </c>
      <c r="F1216" t="s">
        <v>38</v>
      </c>
      <c r="G1216" t="s">
        <v>54</v>
      </c>
      <c r="H1216">
        <v>1703</v>
      </c>
      <c r="I1216" s="2">
        <v>2</v>
      </c>
      <c r="J1216" s="2">
        <v>3</v>
      </c>
      <c r="K1216" t="s">
        <v>39</v>
      </c>
      <c r="L1216" s="2">
        <v>3</v>
      </c>
      <c r="M1216" s="2">
        <v>4</v>
      </c>
      <c r="N1216" t="s">
        <v>48</v>
      </c>
      <c r="O1216" s="2">
        <v>7879</v>
      </c>
      <c r="P1216" s="2">
        <v>14810</v>
      </c>
      <c r="Q1216" s="2">
        <v>1</v>
      </c>
      <c r="R1216" t="s">
        <v>35</v>
      </c>
      <c r="S1216" s="2">
        <v>3</v>
      </c>
      <c r="T1216" s="2">
        <v>2</v>
      </c>
      <c r="U1216">
        <v>80</v>
      </c>
      <c r="V1216" s="2">
        <v>9</v>
      </c>
      <c r="W1216">
        <v>2</v>
      </c>
      <c r="X1216">
        <v>3</v>
      </c>
      <c r="Y1216">
        <v>8</v>
      </c>
      <c r="Z1216">
        <v>7</v>
      </c>
      <c r="AA1216">
        <v>6</v>
      </c>
      <c r="AB1216">
        <v>7</v>
      </c>
    </row>
    <row r="1217" spans="1:28" x14ac:dyDescent="0.35">
      <c r="A1217" s="2">
        <v>35</v>
      </c>
      <c r="B1217" s="2" t="str" cm="1">
        <f t="array" ref="B1217">_xlfn.IFS(HR_table[[#This Row],[Age]]&lt;=20, "Under 20yrs",HR_table[[#This Row],[Age]]&lt;=30,"(21-30)yrs",HR_table[[#This Row],[Age]]&lt;=40,"(31-40)yrs",HR_table[[#This Row],[Age]]&lt;=50,"(41-50)yrs",HR_table[[#This Row],[Age]]&lt;=60,"(51-60)yrs")</f>
        <v>(31-40)yrs</v>
      </c>
      <c r="C1217" t="s">
        <v>43</v>
      </c>
      <c r="D1217" t="s">
        <v>44</v>
      </c>
      <c r="E1217" t="s">
        <v>45</v>
      </c>
      <c r="F1217" t="s">
        <v>51</v>
      </c>
      <c r="G1217" t="s">
        <v>47</v>
      </c>
      <c r="H1217">
        <v>1704</v>
      </c>
      <c r="I1217" s="2">
        <v>2</v>
      </c>
      <c r="J1217" s="2">
        <v>1</v>
      </c>
      <c r="K1217" t="s">
        <v>46</v>
      </c>
      <c r="L1217" s="2">
        <v>1</v>
      </c>
      <c r="M1217" s="2">
        <v>4</v>
      </c>
      <c r="N1217" t="s">
        <v>41</v>
      </c>
      <c r="O1217" s="2">
        <v>4930</v>
      </c>
      <c r="P1217" s="2">
        <v>13970</v>
      </c>
      <c r="Q1217" s="2">
        <v>0</v>
      </c>
      <c r="R1217" t="s">
        <v>35</v>
      </c>
      <c r="S1217" s="2">
        <v>3</v>
      </c>
      <c r="T1217" s="2">
        <v>3</v>
      </c>
      <c r="U1217">
        <v>80</v>
      </c>
      <c r="V1217" s="2">
        <v>6</v>
      </c>
      <c r="W1217">
        <v>2</v>
      </c>
      <c r="X1217">
        <v>4</v>
      </c>
      <c r="Y1217">
        <v>5</v>
      </c>
      <c r="Z1217">
        <v>4</v>
      </c>
      <c r="AA1217">
        <v>1</v>
      </c>
      <c r="AB1217">
        <v>4</v>
      </c>
    </row>
    <row r="1218" spans="1:28" x14ac:dyDescent="0.35">
      <c r="A1218" s="2">
        <v>43</v>
      </c>
      <c r="B1218" s="2" t="str" cm="1">
        <f t="array" ref="B1218">_xlfn.IFS(HR_table[[#This Row],[Age]]&lt;=20, "Under 20yrs",HR_table[[#This Row],[Age]]&lt;=30,"(21-30)yrs",HR_table[[#This Row],[Age]]&lt;=40,"(31-40)yrs",HR_table[[#This Row],[Age]]&lt;=50,"(41-50)yrs",HR_table[[#This Row],[Age]]&lt;=60,"(51-60)yrs")</f>
        <v>(41-50)yrs</v>
      </c>
      <c r="C1218" t="s">
        <v>43</v>
      </c>
      <c r="D1218" t="s">
        <v>36</v>
      </c>
      <c r="E1218" t="s">
        <v>37</v>
      </c>
      <c r="F1218" t="s">
        <v>51</v>
      </c>
      <c r="G1218" t="s">
        <v>40</v>
      </c>
      <c r="H1218">
        <v>1706</v>
      </c>
      <c r="I1218" s="2">
        <v>2</v>
      </c>
      <c r="J1218" s="2">
        <v>4</v>
      </c>
      <c r="K1218" t="s">
        <v>46</v>
      </c>
      <c r="L1218" s="2">
        <v>2</v>
      </c>
      <c r="M1218" s="2">
        <v>4</v>
      </c>
      <c r="N1218" t="s">
        <v>48</v>
      </c>
      <c r="O1218" s="2">
        <v>7847</v>
      </c>
      <c r="P1218" s="2">
        <v>6069</v>
      </c>
      <c r="Q1218" s="2">
        <v>1</v>
      </c>
      <c r="R1218" t="s">
        <v>35</v>
      </c>
      <c r="S1218" s="2">
        <v>3</v>
      </c>
      <c r="T1218" s="2">
        <v>1</v>
      </c>
      <c r="U1218">
        <v>80</v>
      </c>
      <c r="V1218" s="2">
        <v>10</v>
      </c>
      <c r="W1218">
        <v>3</v>
      </c>
      <c r="X1218">
        <v>3</v>
      </c>
      <c r="Y1218">
        <v>10</v>
      </c>
      <c r="Z1218">
        <v>9</v>
      </c>
      <c r="AA1218">
        <v>8</v>
      </c>
      <c r="AB1218">
        <v>8</v>
      </c>
    </row>
    <row r="1219" spans="1:28" x14ac:dyDescent="0.35">
      <c r="A1219" s="2">
        <v>24</v>
      </c>
      <c r="B1219" s="2" t="str" cm="1">
        <f t="array" ref="B1219">_xlfn.IFS(HR_table[[#This Row],[Age]]&lt;=20, "Under 20yrs",HR_table[[#This Row],[Age]]&lt;=30,"(21-30)yrs",HR_table[[#This Row],[Age]]&lt;=40,"(31-40)yrs",HR_table[[#This Row],[Age]]&lt;=50,"(41-50)yrs",HR_table[[#This Row],[Age]]&lt;=60,"(51-60)yrs")</f>
        <v>(21-30)yrs</v>
      </c>
      <c r="C1219" t="s">
        <v>43</v>
      </c>
      <c r="D1219" t="s">
        <v>36</v>
      </c>
      <c r="E1219" t="s">
        <v>45</v>
      </c>
      <c r="F1219" t="s">
        <v>51</v>
      </c>
      <c r="G1219" t="s">
        <v>47</v>
      </c>
      <c r="H1219">
        <v>1707</v>
      </c>
      <c r="I1219" s="2">
        <v>9</v>
      </c>
      <c r="J1219" s="2">
        <v>3</v>
      </c>
      <c r="K1219" t="s">
        <v>46</v>
      </c>
      <c r="L1219" s="2">
        <v>1</v>
      </c>
      <c r="M1219" s="2">
        <v>3</v>
      </c>
      <c r="N1219" t="s">
        <v>48</v>
      </c>
      <c r="O1219" s="2">
        <v>4401</v>
      </c>
      <c r="P1219" s="2">
        <v>17616</v>
      </c>
      <c r="Q1219" s="2">
        <v>1</v>
      </c>
      <c r="R1219" t="s">
        <v>43</v>
      </c>
      <c r="S1219" s="2">
        <v>3</v>
      </c>
      <c r="T1219" s="2">
        <v>4</v>
      </c>
      <c r="U1219">
        <v>80</v>
      </c>
      <c r="V1219" s="2">
        <v>5</v>
      </c>
      <c r="W1219">
        <v>1</v>
      </c>
      <c r="X1219">
        <v>3</v>
      </c>
      <c r="Y1219">
        <v>5</v>
      </c>
      <c r="Z1219">
        <v>3</v>
      </c>
      <c r="AA1219">
        <v>0</v>
      </c>
      <c r="AB1219">
        <v>4</v>
      </c>
    </row>
    <row r="1220" spans="1:28" x14ac:dyDescent="0.35">
      <c r="A1220" s="2">
        <v>41</v>
      </c>
      <c r="B1220" s="2" t="str" cm="1">
        <f t="array" ref="B1220">_xlfn.IFS(HR_table[[#This Row],[Age]]&lt;=20, "Under 20yrs",HR_table[[#This Row],[Age]]&lt;=30,"(21-30)yrs",HR_table[[#This Row],[Age]]&lt;=40,"(31-40)yrs",HR_table[[#This Row],[Age]]&lt;=50,"(41-50)yrs",HR_table[[#This Row],[Age]]&lt;=60,"(51-60)yrs")</f>
        <v>(41-50)yrs</v>
      </c>
      <c r="C1220" t="s">
        <v>43</v>
      </c>
      <c r="D1220" t="s">
        <v>36</v>
      </c>
      <c r="E1220" t="s">
        <v>37</v>
      </c>
      <c r="F1220" t="s">
        <v>59</v>
      </c>
      <c r="G1220" t="s">
        <v>40</v>
      </c>
      <c r="H1220">
        <v>1708</v>
      </c>
      <c r="I1220" s="2">
        <v>6</v>
      </c>
      <c r="J1220" s="2">
        <v>4</v>
      </c>
      <c r="K1220" t="s">
        <v>46</v>
      </c>
      <c r="L1220" s="2">
        <v>3</v>
      </c>
      <c r="M1220" s="2">
        <v>3</v>
      </c>
      <c r="N1220" t="s">
        <v>41</v>
      </c>
      <c r="O1220" s="2">
        <v>9241</v>
      </c>
      <c r="P1220" s="2">
        <v>15869</v>
      </c>
      <c r="Q1220" s="2">
        <v>1</v>
      </c>
      <c r="R1220" t="s">
        <v>43</v>
      </c>
      <c r="S1220" s="2">
        <v>3</v>
      </c>
      <c r="T1220" s="2">
        <v>2</v>
      </c>
      <c r="U1220">
        <v>80</v>
      </c>
      <c r="V1220" s="2">
        <v>10</v>
      </c>
      <c r="W1220">
        <v>3</v>
      </c>
      <c r="X1220">
        <v>3</v>
      </c>
      <c r="Y1220">
        <v>10</v>
      </c>
      <c r="Z1220">
        <v>8</v>
      </c>
      <c r="AA1220">
        <v>8</v>
      </c>
      <c r="AB1220">
        <v>7</v>
      </c>
    </row>
    <row r="1221" spans="1:28" x14ac:dyDescent="0.35">
      <c r="A1221" s="2">
        <v>29</v>
      </c>
      <c r="B1221" s="2" t="str" cm="1">
        <f t="array" ref="B1221">_xlfn.IFS(HR_table[[#This Row],[Age]]&lt;=20, "Under 20yrs",HR_table[[#This Row],[Age]]&lt;=30,"(21-30)yrs",HR_table[[#This Row],[Age]]&lt;=40,"(31-40)yrs",HR_table[[#This Row],[Age]]&lt;=50,"(41-50)yrs",HR_table[[#This Row],[Age]]&lt;=60,"(51-60)yrs")</f>
        <v>(21-30)yrs</v>
      </c>
      <c r="C1221" t="s">
        <v>43</v>
      </c>
      <c r="D1221" t="s">
        <v>36</v>
      </c>
      <c r="E1221" t="s">
        <v>45</v>
      </c>
      <c r="F1221" t="s">
        <v>51</v>
      </c>
      <c r="G1221" t="s">
        <v>50</v>
      </c>
      <c r="H1221">
        <v>1709</v>
      </c>
      <c r="I1221" s="2">
        <v>9</v>
      </c>
      <c r="J1221" s="2">
        <v>4</v>
      </c>
      <c r="K1221" t="s">
        <v>39</v>
      </c>
      <c r="L1221" s="2">
        <v>1</v>
      </c>
      <c r="M1221" s="2">
        <v>3</v>
      </c>
      <c r="N1221" t="s">
        <v>48</v>
      </c>
      <c r="O1221" s="2">
        <v>2974</v>
      </c>
      <c r="P1221" s="2">
        <v>25412</v>
      </c>
      <c r="Q1221" s="2">
        <v>9</v>
      </c>
      <c r="R1221" t="s">
        <v>43</v>
      </c>
      <c r="S1221" s="2">
        <v>3</v>
      </c>
      <c r="T1221" s="2">
        <v>3</v>
      </c>
      <c r="U1221">
        <v>80</v>
      </c>
      <c r="V1221" s="2">
        <v>9</v>
      </c>
      <c r="W1221">
        <v>2</v>
      </c>
      <c r="X1221">
        <v>3</v>
      </c>
      <c r="Y1221">
        <v>5</v>
      </c>
      <c r="Z1221">
        <v>3</v>
      </c>
      <c r="AA1221">
        <v>1</v>
      </c>
      <c r="AB1221">
        <v>2</v>
      </c>
    </row>
    <row r="1222" spans="1:28" x14ac:dyDescent="0.35">
      <c r="A1222" s="2">
        <v>36</v>
      </c>
      <c r="B1222" s="2" t="str" cm="1">
        <f t="array" ref="B1222">_xlfn.IFS(HR_table[[#This Row],[Age]]&lt;=20, "Under 20yrs",HR_table[[#This Row],[Age]]&lt;=30,"(21-30)yrs",HR_table[[#This Row],[Age]]&lt;=40,"(31-40)yrs",HR_table[[#This Row],[Age]]&lt;=50,"(41-50)yrs",HR_table[[#This Row],[Age]]&lt;=60,"(51-60)yrs")</f>
        <v>(31-40)yrs</v>
      </c>
      <c r="C1222" t="s">
        <v>43</v>
      </c>
      <c r="D1222" t="s">
        <v>36</v>
      </c>
      <c r="E1222" t="s">
        <v>37</v>
      </c>
      <c r="F1222" t="s">
        <v>38</v>
      </c>
      <c r="G1222" t="s">
        <v>57</v>
      </c>
      <c r="H1222">
        <v>1710</v>
      </c>
      <c r="I1222" s="2">
        <v>2</v>
      </c>
      <c r="J1222" s="2">
        <v>3</v>
      </c>
      <c r="K1222" t="s">
        <v>39</v>
      </c>
      <c r="L1222" s="2">
        <v>2</v>
      </c>
      <c r="M1222" s="2">
        <v>4</v>
      </c>
      <c r="N1222" t="s">
        <v>41</v>
      </c>
      <c r="O1222" s="2">
        <v>4502</v>
      </c>
      <c r="P1222" s="2">
        <v>7439</v>
      </c>
      <c r="Q1222" s="2">
        <v>3</v>
      </c>
      <c r="R1222" t="s">
        <v>43</v>
      </c>
      <c r="S1222" s="2">
        <v>3</v>
      </c>
      <c r="T1222" s="2">
        <v>3</v>
      </c>
      <c r="U1222">
        <v>80</v>
      </c>
      <c r="V1222" s="2">
        <v>17</v>
      </c>
      <c r="W1222">
        <v>2</v>
      </c>
      <c r="X1222">
        <v>2</v>
      </c>
      <c r="Y1222">
        <v>13</v>
      </c>
      <c r="Z1222">
        <v>7</v>
      </c>
      <c r="AA1222">
        <v>6</v>
      </c>
      <c r="AB1222">
        <v>7</v>
      </c>
    </row>
    <row r="1223" spans="1:28" x14ac:dyDescent="0.35">
      <c r="A1223" s="2">
        <v>45</v>
      </c>
      <c r="B1223" s="2" t="str" cm="1">
        <f t="array" ref="B1223">_xlfn.IFS(HR_table[[#This Row],[Age]]&lt;=20, "Under 20yrs",HR_table[[#This Row],[Age]]&lt;=30,"(21-30)yrs",HR_table[[#This Row],[Age]]&lt;=40,"(31-40)yrs",HR_table[[#This Row],[Age]]&lt;=50,"(41-50)yrs",HR_table[[#This Row],[Age]]&lt;=60,"(51-60)yrs")</f>
        <v>(41-50)yrs</v>
      </c>
      <c r="C1223" t="s">
        <v>43</v>
      </c>
      <c r="D1223" t="s">
        <v>55</v>
      </c>
      <c r="E1223" t="s">
        <v>45</v>
      </c>
      <c r="F1223" t="s">
        <v>38</v>
      </c>
      <c r="G1223" t="s">
        <v>54</v>
      </c>
      <c r="H1223">
        <v>1712</v>
      </c>
      <c r="I1223" s="2">
        <v>1</v>
      </c>
      <c r="J1223" s="2">
        <v>3</v>
      </c>
      <c r="K1223" t="s">
        <v>46</v>
      </c>
      <c r="L1223" s="2">
        <v>3</v>
      </c>
      <c r="M1223" s="2">
        <v>3</v>
      </c>
      <c r="N1223" t="s">
        <v>48</v>
      </c>
      <c r="O1223" s="2">
        <v>10748</v>
      </c>
      <c r="P1223" s="2">
        <v>3395</v>
      </c>
      <c r="Q1223" s="2">
        <v>3</v>
      </c>
      <c r="R1223" t="s">
        <v>43</v>
      </c>
      <c r="S1223" s="2">
        <v>4</v>
      </c>
      <c r="T1223" s="2">
        <v>4</v>
      </c>
      <c r="U1223">
        <v>80</v>
      </c>
      <c r="V1223" s="2">
        <v>25</v>
      </c>
      <c r="W1223">
        <v>3</v>
      </c>
      <c r="X1223">
        <v>2</v>
      </c>
      <c r="Y1223">
        <v>23</v>
      </c>
      <c r="Z1223">
        <v>15</v>
      </c>
      <c r="AA1223">
        <v>14</v>
      </c>
      <c r="AB1223">
        <v>4</v>
      </c>
    </row>
    <row r="1224" spans="1:28" x14ac:dyDescent="0.35">
      <c r="A1224" s="2">
        <v>24</v>
      </c>
      <c r="B1224" s="2" t="str" cm="1">
        <f t="array" ref="B1224">_xlfn.IFS(HR_table[[#This Row],[Age]]&lt;=20, "Under 20yrs",HR_table[[#This Row],[Age]]&lt;=30,"(21-30)yrs",HR_table[[#This Row],[Age]]&lt;=40,"(31-40)yrs",HR_table[[#This Row],[Age]]&lt;=50,"(41-50)yrs",HR_table[[#This Row],[Age]]&lt;=60,"(51-60)yrs")</f>
        <v>(21-30)yrs</v>
      </c>
      <c r="C1224" t="s">
        <v>35</v>
      </c>
      <c r="D1224" t="s">
        <v>36</v>
      </c>
      <c r="E1224" t="s">
        <v>61</v>
      </c>
      <c r="F1224" t="s">
        <v>61</v>
      </c>
      <c r="G1224" t="s">
        <v>61</v>
      </c>
      <c r="H1224">
        <v>1714</v>
      </c>
      <c r="I1224" s="2">
        <v>22</v>
      </c>
      <c r="J1224" s="2">
        <v>4</v>
      </c>
      <c r="K1224" t="s">
        <v>46</v>
      </c>
      <c r="L1224" s="2">
        <v>1</v>
      </c>
      <c r="M1224" s="2">
        <v>3</v>
      </c>
      <c r="N1224" t="s">
        <v>48</v>
      </c>
      <c r="O1224" s="2">
        <v>1555</v>
      </c>
      <c r="P1224" s="2">
        <v>11585</v>
      </c>
      <c r="Q1224" s="2">
        <v>1</v>
      </c>
      <c r="R1224" t="s">
        <v>43</v>
      </c>
      <c r="S1224" s="2">
        <v>3</v>
      </c>
      <c r="T1224" s="2">
        <v>3</v>
      </c>
      <c r="U1224">
        <v>80</v>
      </c>
      <c r="V1224" s="2">
        <v>1</v>
      </c>
      <c r="W1224">
        <v>2</v>
      </c>
      <c r="X1224">
        <v>3</v>
      </c>
      <c r="Y1224">
        <v>1</v>
      </c>
      <c r="Z1224">
        <v>0</v>
      </c>
      <c r="AA1224">
        <v>0</v>
      </c>
      <c r="AB1224">
        <v>0</v>
      </c>
    </row>
    <row r="1225" spans="1:28" x14ac:dyDescent="0.35">
      <c r="A1225" s="2">
        <v>47</v>
      </c>
      <c r="B1225" s="2" t="str" cm="1">
        <f t="array" ref="B1225">_xlfn.IFS(HR_table[[#This Row],[Age]]&lt;=20, "Under 20yrs",HR_table[[#This Row],[Age]]&lt;=30,"(21-30)yrs",HR_table[[#This Row],[Age]]&lt;=40,"(31-40)yrs",HR_table[[#This Row],[Age]]&lt;=50,"(41-50)yrs",HR_table[[#This Row],[Age]]&lt;=60,"(51-60)yrs")</f>
        <v>(41-50)yrs</v>
      </c>
      <c r="C1225" t="s">
        <v>35</v>
      </c>
      <c r="D1225" t="s">
        <v>44</v>
      </c>
      <c r="E1225" t="s">
        <v>37</v>
      </c>
      <c r="F1225" t="s">
        <v>38</v>
      </c>
      <c r="G1225" t="s">
        <v>40</v>
      </c>
      <c r="H1225">
        <v>1716</v>
      </c>
      <c r="I1225" s="2">
        <v>9</v>
      </c>
      <c r="J1225" s="2">
        <v>3</v>
      </c>
      <c r="K1225" t="s">
        <v>46</v>
      </c>
      <c r="L1225" s="2">
        <v>4</v>
      </c>
      <c r="M1225" s="2">
        <v>3</v>
      </c>
      <c r="N1225" t="s">
        <v>48</v>
      </c>
      <c r="O1225" s="2">
        <v>12936</v>
      </c>
      <c r="P1225" s="2">
        <v>24164</v>
      </c>
      <c r="Q1225" s="2">
        <v>7</v>
      </c>
      <c r="R1225" t="s">
        <v>43</v>
      </c>
      <c r="S1225" s="2">
        <v>3</v>
      </c>
      <c r="T1225" s="2">
        <v>3</v>
      </c>
      <c r="U1225">
        <v>80</v>
      </c>
      <c r="V1225" s="2">
        <v>25</v>
      </c>
      <c r="W1225">
        <v>3</v>
      </c>
      <c r="X1225">
        <v>1</v>
      </c>
      <c r="Y1225">
        <v>23</v>
      </c>
      <c r="Z1225">
        <v>5</v>
      </c>
      <c r="AA1225">
        <v>14</v>
      </c>
      <c r="AB1225">
        <v>10</v>
      </c>
    </row>
    <row r="1226" spans="1:28" x14ac:dyDescent="0.35">
      <c r="A1226" s="2">
        <v>26</v>
      </c>
      <c r="B1226" s="2" t="str" cm="1">
        <f t="array" ref="B1226">_xlfn.IFS(HR_table[[#This Row],[Age]]&lt;=20, "Under 20yrs",HR_table[[#This Row],[Age]]&lt;=30,"(21-30)yrs",HR_table[[#This Row],[Age]]&lt;=40,"(31-40)yrs",HR_table[[#This Row],[Age]]&lt;=50,"(41-50)yrs",HR_table[[#This Row],[Age]]&lt;=60,"(51-60)yrs")</f>
        <v>(21-30)yrs</v>
      </c>
      <c r="C1226" t="s">
        <v>43</v>
      </c>
      <c r="D1226" t="s">
        <v>36</v>
      </c>
      <c r="E1226" t="s">
        <v>45</v>
      </c>
      <c r="F1226" t="s">
        <v>51</v>
      </c>
      <c r="G1226" t="s">
        <v>50</v>
      </c>
      <c r="H1226">
        <v>1718</v>
      </c>
      <c r="I1226" s="2">
        <v>17</v>
      </c>
      <c r="J1226" s="2">
        <v>4</v>
      </c>
      <c r="K1226" t="s">
        <v>46</v>
      </c>
      <c r="L1226" s="2">
        <v>1</v>
      </c>
      <c r="M1226" s="2">
        <v>3</v>
      </c>
      <c r="N1226" t="s">
        <v>48</v>
      </c>
      <c r="O1226" s="2">
        <v>2305</v>
      </c>
      <c r="P1226" s="2">
        <v>6217</v>
      </c>
      <c r="Q1226" s="2">
        <v>1</v>
      </c>
      <c r="R1226" t="s">
        <v>43</v>
      </c>
      <c r="S1226" s="2">
        <v>3</v>
      </c>
      <c r="T1226" s="2">
        <v>3</v>
      </c>
      <c r="U1226">
        <v>80</v>
      </c>
      <c r="V1226" s="2">
        <v>3</v>
      </c>
      <c r="W1226">
        <v>3</v>
      </c>
      <c r="X1226">
        <v>4</v>
      </c>
      <c r="Y1226">
        <v>3</v>
      </c>
      <c r="Z1226">
        <v>2</v>
      </c>
      <c r="AA1226">
        <v>0</v>
      </c>
      <c r="AB1226">
        <v>2</v>
      </c>
    </row>
    <row r="1227" spans="1:28" x14ac:dyDescent="0.35">
      <c r="A1227" s="2">
        <v>45</v>
      </c>
      <c r="B1227" s="2" t="str" cm="1">
        <f t="array" ref="B1227">_xlfn.IFS(HR_table[[#This Row],[Age]]&lt;=20, "Under 20yrs",HR_table[[#This Row],[Age]]&lt;=30,"(21-30)yrs",HR_table[[#This Row],[Age]]&lt;=40,"(31-40)yrs",HR_table[[#This Row],[Age]]&lt;=50,"(41-50)yrs",HR_table[[#This Row],[Age]]&lt;=60,"(51-60)yrs")</f>
        <v>(41-50)yrs</v>
      </c>
      <c r="C1227" t="s">
        <v>43</v>
      </c>
      <c r="D1227" t="s">
        <v>36</v>
      </c>
      <c r="E1227" t="s">
        <v>45</v>
      </c>
      <c r="F1227" t="s">
        <v>60</v>
      </c>
      <c r="G1227" t="s">
        <v>58</v>
      </c>
      <c r="H1227">
        <v>1719</v>
      </c>
      <c r="I1227" s="2">
        <v>28</v>
      </c>
      <c r="J1227" s="2">
        <v>4</v>
      </c>
      <c r="K1227" t="s">
        <v>39</v>
      </c>
      <c r="L1227" s="2">
        <v>4</v>
      </c>
      <c r="M1227" s="2">
        <v>2</v>
      </c>
      <c r="N1227" t="s">
        <v>41</v>
      </c>
      <c r="O1227" s="2">
        <v>16704</v>
      </c>
      <c r="P1227" s="2">
        <v>17119</v>
      </c>
      <c r="Q1227" s="2">
        <v>1</v>
      </c>
      <c r="R1227" t="s">
        <v>43</v>
      </c>
      <c r="S1227" s="2">
        <v>3</v>
      </c>
      <c r="T1227" s="2">
        <v>3</v>
      </c>
      <c r="U1227">
        <v>80</v>
      </c>
      <c r="V1227" s="2">
        <v>21</v>
      </c>
      <c r="W1227">
        <v>2</v>
      </c>
      <c r="X1227">
        <v>3</v>
      </c>
      <c r="Y1227">
        <v>21</v>
      </c>
      <c r="Z1227">
        <v>6</v>
      </c>
      <c r="AA1227">
        <v>8</v>
      </c>
      <c r="AB1227">
        <v>6</v>
      </c>
    </row>
    <row r="1228" spans="1:28" x14ac:dyDescent="0.35">
      <c r="A1228" s="2">
        <v>32</v>
      </c>
      <c r="B1228" s="2" t="str" cm="1">
        <f t="array" ref="B1228">_xlfn.IFS(HR_table[[#This Row],[Age]]&lt;=20, "Under 20yrs",HR_table[[#This Row],[Age]]&lt;=30,"(21-30)yrs",HR_table[[#This Row],[Age]]&lt;=40,"(31-40)yrs",HR_table[[#This Row],[Age]]&lt;=50,"(41-50)yrs",HR_table[[#This Row],[Age]]&lt;=60,"(51-60)yrs")</f>
        <v>(31-40)yrs</v>
      </c>
      <c r="C1228" t="s">
        <v>43</v>
      </c>
      <c r="D1228" t="s">
        <v>44</v>
      </c>
      <c r="E1228" t="s">
        <v>45</v>
      </c>
      <c r="F1228" t="s">
        <v>38</v>
      </c>
      <c r="G1228" t="s">
        <v>47</v>
      </c>
      <c r="H1228">
        <v>1720</v>
      </c>
      <c r="I1228" s="2">
        <v>10</v>
      </c>
      <c r="J1228" s="2">
        <v>1</v>
      </c>
      <c r="K1228" t="s">
        <v>46</v>
      </c>
      <c r="L1228" s="2">
        <v>1</v>
      </c>
      <c r="M1228" s="2">
        <v>3</v>
      </c>
      <c r="N1228" t="s">
        <v>48</v>
      </c>
      <c r="O1228" s="2">
        <v>3433</v>
      </c>
      <c r="P1228" s="2">
        <v>17360</v>
      </c>
      <c r="Q1228" s="2">
        <v>6</v>
      </c>
      <c r="R1228" t="s">
        <v>43</v>
      </c>
      <c r="S1228" s="2">
        <v>3</v>
      </c>
      <c r="T1228" s="2">
        <v>1</v>
      </c>
      <c r="U1228">
        <v>80</v>
      </c>
      <c r="V1228" s="2">
        <v>10</v>
      </c>
      <c r="W1228">
        <v>3</v>
      </c>
      <c r="X1228">
        <v>2</v>
      </c>
      <c r="Y1228">
        <v>5</v>
      </c>
      <c r="Z1228">
        <v>2</v>
      </c>
      <c r="AA1228">
        <v>1</v>
      </c>
      <c r="AB1228">
        <v>3</v>
      </c>
    </row>
    <row r="1229" spans="1:28" x14ac:dyDescent="0.35">
      <c r="A1229" s="2">
        <v>31</v>
      </c>
      <c r="B1229" s="2" t="str" cm="1">
        <f t="array" ref="B1229">_xlfn.IFS(HR_table[[#This Row],[Age]]&lt;=20, "Under 20yrs",HR_table[[#This Row],[Age]]&lt;=30,"(21-30)yrs",HR_table[[#This Row],[Age]]&lt;=40,"(31-40)yrs",HR_table[[#This Row],[Age]]&lt;=50,"(41-50)yrs",HR_table[[#This Row],[Age]]&lt;=60,"(51-60)yrs")</f>
        <v>(31-40)yrs</v>
      </c>
      <c r="C1229" t="s">
        <v>43</v>
      </c>
      <c r="D1229" t="s">
        <v>36</v>
      </c>
      <c r="E1229" t="s">
        <v>45</v>
      </c>
      <c r="F1229" t="s">
        <v>38</v>
      </c>
      <c r="G1229" t="s">
        <v>50</v>
      </c>
      <c r="H1229">
        <v>1721</v>
      </c>
      <c r="I1229" s="2">
        <v>2</v>
      </c>
      <c r="J1229" s="2">
        <v>2</v>
      </c>
      <c r="K1229" t="s">
        <v>46</v>
      </c>
      <c r="L1229" s="2">
        <v>1</v>
      </c>
      <c r="M1229" s="2">
        <v>3</v>
      </c>
      <c r="N1229" t="s">
        <v>48</v>
      </c>
      <c r="O1229" s="2">
        <v>3477</v>
      </c>
      <c r="P1229" s="2">
        <v>18103</v>
      </c>
      <c r="Q1229" s="2">
        <v>1</v>
      </c>
      <c r="R1229" t="s">
        <v>43</v>
      </c>
      <c r="S1229" s="2">
        <v>3</v>
      </c>
      <c r="T1229" s="2">
        <v>4</v>
      </c>
      <c r="U1229">
        <v>80</v>
      </c>
      <c r="V1229" s="2">
        <v>6</v>
      </c>
      <c r="W1229">
        <v>2</v>
      </c>
      <c r="X1229">
        <v>4</v>
      </c>
      <c r="Y1229">
        <v>5</v>
      </c>
      <c r="Z1229">
        <v>2</v>
      </c>
      <c r="AA1229">
        <v>0</v>
      </c>
      <c r="AB1229">
        <v>3</v>
      </c>
    </row>
    <row r="1230" spans="1:28" x14ac:dyDescent="0.35">
      <c r="A1230" s="2">
        <v>41</v>
      </c>
      <c r="B1230" s="2" t="str" cm="1">
        <f t="array" ref="B1230">_xlfn.IFS(HR_table[[#This Row],[Age]]&lt;=20, "Under 20yrs",HR_table[[#This Row],[Age]]&lt;=30,"(21-30)yrs",HR_table[[#This Row],[Age]]&lt;=40,"(31-40)yrs",HR_table[[#This Row],[Age]]&lt;=50,"(41-50)yrs",HR_table[[#This Row],[Age]]&lt;=60,"(51-60)yrs")</f>
        <v>(41-50)yrs</v>
      </c>
      <c r="C1230" t="s">
        <v>43</v>
      </c>
      <c r="D1230" t="s">
        <v>55</v>
      </c>
      <c r="E1230" t="s">
        <v>61</v>
      </c>
      <c r="F1230" t="s">
        <v>61</v>
      </c>
      <c r="G1230" t="s">
        <v>61</v>
      </c>
      <c r="H1230">
        <v>1722</v>
      </c>
      <c r="I1230" s="2">
        <v>4</v>
      </c>
      <c r="J1230" s="2">
        <v>3</v>
      </c>
      <c r="K1230" t="s">
        <v>46</v>
      </c>
      <c r="L1230" s="2">
        <v>2</v>
      </c>
      <c r="M1230" s="2">
        <v>2</v>
      </c>
      <c r="N1230" t="s">
        <v>48</v>
      </c>
      <c r="O1230" s="2">
        <v>6430</v>
      </c>
      <c r="P1230" s="2">
        <v>20794</v>
      </c>
      <c r="Q1230" s="2">
        <v>6</v>
      </c>
      <c r="R1230" t="s">
        <v>43</v>
      </c>
      <c r="S1230" s="2">
        <v>3</v>
      </c>
      <c r="T1230" s="2">
        <v>2</v>
      </c>
      <c r="U1230">
        <v>80</v>
      </c>
      <c r="V1230" s="2">
        <v>10</v>
      </c>
      <c r="W1230">
        <v>4</v>
      </c>
      <c r="X1230">
        <v>3</v>
      </c>
      <c r="Y1230">
        <v>3</v>
      </c>
      <c r="Z1230">
        <v>2</v>
      </c>
      <c r="AA1230">
        <v>1</v>
      </c>
      <c r="AB1230">
        <v>2</v>
      </c>
    </row>
    <row r="1231" spans="1:28" x14ac:dyDescent="0.35">
      <c r="A1231" s="2">
        <v>40</v>
      </c>
      <c r="B1231" s="2" t="str" cm="1">
        <f t="array" ref="B1231">_xlfn.IFS(HR_table[[#This Row],[Age]]&lt;=20, "Under 20yrs",HR_table[[#This Row],[Age]]&lt;=30,"(21-30)yrs",HR_table[[#This Row],[Age]]&lt;=40,"(31-40)yrs",HR_table[[#This Row],[Age]]&lt;=50,"(41-50)yrs",HR_table[[#This Row],[Age]]&lt;=60,"(51-60)yrs")</f>
        <v>(31-40)yrs</v>
      </c>
      <c r="C1231" t="s">
        <v>43</v>
      </c>
      <c r="D1231" t="s">
        <v>36</v>
      </c>
      <c r="E1231" t="s">
        <v>45</v>
      </c>
      <c r="F1231" t="s">
        <v>38</v>
      </c>
      <c r="G1231" t="s">
        <v>53</v>
      </c>
      <c r="H1231">
        <v>1724</v>
      </c>
      <c r="I1231" s="2">
        <v>8</v>
      </c>
      <c r="J1231" s="2">
        <v>2</v>
      </c>
      <c r="K1231" t="s">
        <v>39</v>
      </c>
      <c r="L1231" s="2">
        <v>2</v>
      </c>
      <c r="M1231" s="2">
        <v>1</v>
      </c>
      <c r="N1231" t="s">
        <v>48</v>
      </c>
      <c r="O1231" s="2">
        <v>6516</v>
      </c>
      <c r="P1231" s="2">
        <v>5041</v>
      </c>
      <c r="Q1231" s="2">
        <v>2</v>
      </c>
      <c r="R1231" t="s">
        <v>35</v>
      </c>
      <c r="S1231" s="2">
        <v>3</v>
      </c>
      <c r="T1231" s="2">
        <v>2</v>
      </c>
      <c r="U1231">
        <v>80</v>
      </c>
      <c r="V1231" s="2">
        <v>18</v>
      </c>
      <c r="W1231">
        <v>3</v>
      </c>
      <c r="X1231">
        <v>3</v>
      </c>
      <c r="Y1231">
        <v>1</v>
      </c>
      <c r="Z1231">
        <v>0</v>
      </c>
      <c r="AA1231">
        <v>0</v>
      </c>
      <c r="AB1231">
        <v>0</v>
      </c>
    </row>
    <row r="1232" spans="1:28" x14ac:dyDescent="0.35">
      <c r="A1232" s="2">
        <v>24</v>
      </c>
      <c r="B1232" s="2" t="str" cm="1">
        <f t="array" ref="B1232">_xlfn.IFS(HR_table[[#This Row],[Age]]&lt;=20, "Under 20yrs",HR_table[[#This Row],[Age]]&lt;=30,"(21-30)yrs",HR_table[[#This Row],[Age]]&lt;=40,"(31-40)yrs",HR_table[[#This Row],[Age]]&lt;=50,"(41-50)yrs",HR_table[[#This Row],[Age]]&lt;=60,"(51-60)yrs")</f>
        <v>(21-30)yrs</v>
      </c>
      <c r="C1232" t="s">
        <v>43</v>
      </c>
      <c r="D1232" t="s">
        <v>36</v>
      </c>
      <c r="E1232" t="s">
        <v>45</v>
      </c>
      <c r="F1232" t="s">
        <v>51</v>
      </c>
      <c r="G1232" t="s">
        <v>50</v>
      </c>
      <c r="H1232">
        <v>1725</v>
      </c>
      <c r="I1232" s="2">
        <v>29</v>
      </c>
      <c r="J1232" s="2">
        <v>2</v>
      </c>
      <c r="K1232" t="s">
        <v>46</v>
      </c>
      <c r="L1232" s="2">
        <v>1</v>
      </c>
      <c r="M1232" s="2">
        <v>1</v>
      </c>
      <c r="N1232" t="s">
        <v>52</v>
      </c>
      <c r="O1232" s="2">
        <v>3907</v>
      </c>
      <c r="P1232" s="2">
        <v>3622</v>
      </c>
      <c r="Q1232" s="2">
        <v>1</v>
      </c>
      <c r="R1232" t="s">
        <v>43</v>
      </c>
      <c r="S1232" s="2">
        <v>3</v>
      </c>
      <c r="T1232" s="2">
        <v>2</v>
      </c>
      <c r="U1232">
        <v>80</v>
      </c>
      <c r="V1232" s="2">
        <v>6</v>
      </c>
      <c r="W1232">
        <v>2</v>
      </c>
      <c r="X1232">
        <v>4</v>
      </c>
      <c r="Y1232">
        <v>6</v>
      </c>
      <c r="Z1232">
        <v>2</v>
      </c>
      <c r="AA1232">
        <v>1</v>
      </c>
      <c r="AB1232">
        <v>2</v>
      </c>
    </row>
    <row r="1233" spans="1:28" x14ac:dyDescent="0.35">
      <c r="A1233" s="2">
        <v>46</v>
      </c>
      <c r="B1233" s="2" t="str" cm="1">
        <f t="array" ref="B1233">_xlfn.IFS(HR_table[[#This Row],[Age]]&lt;=20, "Under 20yrs",HR_table[[#This Row],[Age]]&lt;=30,"(21-30)yrs",HR_table[[#This Row],[Age]]&lt;=40,"(31-40)yrs",HR_table[[#This Row],[Age]]&lt;=50,"(41-50)yrs",HR_table[[#This Row],[Age]]&lt;=60,"(51-60)yrs")</f>
        <v>(41-50)yrs</v>
      </c>
      <c r="C1233" t="s">
        <v>43</v>
      </c>
      <c r="D1233" t="s">
        <v>36</v>
      </c>
      <c r="E1233" t="s">
        <v>45</v>
      </c>
      <c r="F1233" t="s">
        <v>38</v>
      </c>
      <c r="G1233" t="s">
        <v>54</v>
      </c>
      <c r="H1233">
        <v>1727</v>
      </c>
      <c r="I1233" s="2">
        <v>13</v>
      </c>
      <c r="J1233" s="2">
        <v>3</v>
      </c>
      <c r="K1233" t="s">
        <v>46</v>
      </c>
      <c r="L1233" s="2">
        <v>2</v>
      </c>
      <c r="M1233" s="2">
        <v>2</v>
      </c>
      <c r="N1233" t="s">
        <v>41</v>
      </c>
      <c r="O1233" s="2">
        <v>5562</v>
      </c>
      <c r="P1233" s="2">
        <v>9697</v>
      </c>
      <c r="Q1233" s="2">
        <v>6</v>
      </c>
      <c r="R1233" t="s">
        <v>43</v>
      </c>
      <c r="S1233" s="2">
        <v>3</v>
      </c>
      <c r="T1233" s="2">
        <v>4</v>
      </c>
      <c r="U1233">
        <v>80</v>
      </c>
      <c r="V1233" s="2">
        <v>19</v>
      </c>
      <c r="W1233">
        <v>3</v>
      </c>
      <c r="X1233">
        <v>3</v>
      </c>
      <c r="Y1233">
        <v>10</v>
      </c>
      <c r="Z1233">
        <v>7</v>
      </c>
      <c r="AA1233">
        <v>0</v>
      </c>
      <c r="AB1233">
        <v>9</v>
      </c>
    </row>
    <row r="1234" spans="1:28" x14ac:dyDescent="0.35">
      <c r="A1234" s="2">
        <v>35</v>
      </c>
      <c r="B1234" s="2" t="str" cm="1">
        <f t="array" ref="B1234">_xlfn.IFS(HR_table[[#This Row],[Age]]&lt;=20, "Under 20yrs",HR_table[[#This Row],[Age]]&lt;=30,"(21-30)yrs",HR_table[[#This Row],[Age]]&lt;=40,"(31-40)yrs",HR_table[[#This Row],[Age]]&lt;=50,"(41-50)yrs",HR_table[[#This Row],[Age]]&lt;=60,"(51-60)yrs")</f>
        <v>(31-40)yrs</v>
      </c>
      <c r="C1234" t="s">
        <v>43</v>
      </c>
      <c r="D1234" t="s">
        <v>36</v>
      </c>
      <c r="E1234" t="s">
        <v>45</v>
      </c>
      <c r="F1234" t="s">
        <v>38</v>
      </c>
      <c r="G1234" t="s">
        <v>53</v>
      </c>
      <c r="H1234">
        <v>1728</v>
      </c>
      <c r="I1234" s="2">
        <v>27</v>
      </c>
      <c r="J1234" s="2">
        <v>4</v>
      </c>
      <c r="K1234" t="s">
        <v>46</v>
      </c>
      <c r="L1234" s="2">
        <v>2</v>
      </c>
      <c r="M1234" s="2">
        <v>3</v>
      </c>
      <c r="N1234" t="s">
        <v>48</v>
      </c>
      <c r="O1234" s="2">
        <v>6883</v>
      </c>
      <c r="P1234" s="2">
        <v>5151</v>
      </c>
      <c r="Q1234" s="2">
        <v>2</v>
      </c>
      <c r="R1234" t="s">
        <v>43</v>
      </c>
      <c r="S1234" s="2">
        <v>3</v>
      </c>
      <c r="T1234" s="2">
        <v>2</v>
      </c>
      <c r="U1234">
        <v>80</v>
      </c>
      <c r="V1234" s="2">
        <v>17</v>
      </c>
      <c r="W1234">
        <v>3</v>
      </c>
      <c r="X1234">
        <v>3</v>
      </c>
      <c r="Y1234">
        <v>7</v>
      </c>
      <c r="Z1234">
        <v>7</v>
      </c>
      <c r="AA1234">
        <v>0</v>
      </c>
      <c r="AB1234">
        <v>7</v>
      </c>
    </row>
    <row r="1235" spans="1:28" x14ac:dyDescent="0.35">
      <c r="A1235" s="2">
        <v>30</v>
      </c>
      <c r="B1235" s="2" t="str" cm="1">
        <f t="array" ref="B1235">_xlfn.IFS(HR_table[[#This Row],[Age]]&lt;=20, "Under 20yrs",HR_table[[#This Row],[Age]]&lt;=30,"(21-30)yrs",HR_table[[#This Row],[Age]]&lt;=40,"(31-40)yrs",HR_table[[#This Row],[Age]]&lt;=50,"(41-50)yrs",HR_table[[#This Row],[Age]]&lt;=60,"(51-60)yrs")</f>
        <v>(21-30)yrs</v>
      </c>
      <c r="C1235" t="s">
        <v>43</v>
      </c>
      <c r="D1235" t="s">
        <v>36</v>
      </c>
      <c r="E1235" t="s">
        <v>45</v>
      </c>
      <c r="F1235" t="s">
        <v>38</v>
      </c>
      <c r="G1235" t="s">
        <v>47</v>
      </c>
      <c r="H1235">
        <v>1729</v>
      </c>
      <c r="I1235" s="2">
        <v>16</v>
      </c>
      <c r="J1235" s="2">
        <v>2</v>
      </c>
      <c r="K1235" t="s">
        <v>46</v>
      </c>
      <c r="L1235" s="2">
        <v>1</v>
      </c>
      <c r="M1235" s="2">
        <v>4</v>
      </c>
      <c r="N1235" t="s">
        <v>48</v>
      </c>
      <c r="O1235" s="2">
        <v>2862</v>
      </c>
      <c r="P1235" s="2">
        <v>3811</v>
      </c>
      <c r="Q1235" s="2">
        <v>1</v>
      </c>
      <c r="R1235" t="s">
        <v>43</v>
      </c>
      <c r="S1235" s="2">
        <v>3</v>
      </c>
      <c r="T1235" s="2">
        <v>2</v>
      </c>
      <c r="U1235">
        <v>80</v>
      </c>
      <c r="V1235" s="2">
        <v>10</v>
      </c>
      <c r="W1235">
        <v>2</v>
      </c>
      <c r="X1235">
        <v>2</v>
      </c>
      <c r="Y1235">
        <v>10</v>
      </c>
      <c r="Z1235">
        <v>0</v>
      </c>
      <c r="AA1235">
        <v>0</v>
      </c>
      <c r="AB1235">
        <v>8</v>
      </c>
    </row>
    <row r="1236" spans="1:28" x14ac:dyDescent="0.35">
      <c r="A1236" s="2">
        <v>47</v>
      </c>
      <c r="B1236" s="2" t="str" cm="1">
        <f t="array" ref="B1236">_xlfn.IFS(HR_table[[#This Row],[Age]]&lt;=20, "Under 20yrs",HR_table[[#This Row],[Age]]&lt;=30,"(21-30)yrs",HR_table[[#This Row],[Age]]&lt;=40,"(31-40)yrs",HR_table[[#This Row],[Age]]&lt;=50,"(41-50)yrs",HR_table[[#This Row],[Age]]&lt;=60,"(51-60)yrs")</f>
        <v>(41-50)yrs</v>
      </c>
      <c r="C1236" t="s">
        <v>43</v>
      </c>
      <c r="D1236" t="s">
        <v>55</v>
      </c>
      <c r="E1236" t="s">
        <v>37</v>
      </c>
      <c r="F1236" t="s">
        <v>59</v>
      </c>
      <c r="G1236" t="s">
        <v>40</v>
      </c>
      <c r="H1236">
        <v>1731</v>
      </c>
      <c r="I1236" s="2">
        <v>2</v>
      </c>
      <c r="J1236" s="2">
        <v>3</v>
      </c>
      <c r="K1236" t="s">
        <v>46</v>
      </c>
      <c r="L1236" s="2">
        <v>2</v>
      </c>
      <c r="M1236" s="2">
        <v>2</v>
      </c>
      <c r="N1236" t="s">
        <v>48</v>
      </c>
      <c r="O1236" s="2">
        <v>4978</v>
      </c>
      <c r="P1236" s="2">
        <v>3536</v>
      </c>
      <c r="Q1236" s="2">
        <v>7</v>
      </c>
      <c r="R1236" t="s">
        <v>43</v>
      </c>
      <c r="S1236" s="2">
        <v>3</v>
      </c>
      <c r="T1236" s="2">
        <v>4</v>
      </c>
      <c r="U1236">
        <v>80</v>
      </c>
      <c r="V1236" s="2">
        <v>4</v>
      </c>
      <c r="W1236">
        <v>3</v>
      </c>
      <c r="X1236">
        <v>1</v>
      </c>
      <c r="Y1236">
        <v>1</v>
      </c>
      <c r="Z1236">
        <v>0</v>
      </c>
      <c r="AA1236">
        <v>0</v>
      </c>
      <c r="AB1236">
        <v>0</v>
      </c>
    </row>
    <row r="1237" spans="1:28" x14ac:dyDescent="0.35">
      <c r="A1237" s="2">
        <v>46</v>
      </c>
      <c r="B1237" s="2" t="str" cm="1">
        <f t="array" ref="B1237">_xlfn.IFS(HR_table[[#This Row],[Age]]&lt;=20, "Under 20yrs",HR_table[[#This Row],[Age]]&lt;=30,"(21-30)yrs",HR_table[[#This Row],[Age]]&lt;=40,"(31-40)yrs",HR_table[[#This Row],[Age]]&lt;=50,"(41-50)yrs",HR_table[[#This Row],[Age]]&lt;=60,"(51-60)yrs")</f>
        <v>(41-50)yrs</v>
      </c>
      <c r="C1237" t="s">
        <v>43</v>
      </c>
      <c r="D1237" t="s">
        <v>36</v>
      </c>
      <c r="E1237" t="s">
        <v>37</v>
      </c>
      <c r="F1237" t="s">
        <v>38</v>
      </c>
      <c r="G1237" t="s">
        <v>40</v>
      </c>
      <c r="H1237">
        <v>1732</v>
      </c>
      <c r="I1237" s="2">
        <v>2</v>
      </c>
      <c r="J1237" s="2">
        <v>3</v>
      </c>
      <c r="K1237" t="s">
        <v>46</v>
      </c>
      <c r="L1237" s="2">
        <v>3</v>
      </c>
      <c r="M1237" s="2">
        <v>4</v>
      </c>
      <c r="N1237" t="s">
        <v>52</v>
      </c>
      <c r="O1237" s="2">
        <v>10368</v>
      </c>
      <c r="P1237" s="2">
        <v>5596</v>
      </c>
      <c r="Q1237" s="2">
        <v>4</v>
      </c>
      <c r="R1237" t="s">
        <v>35</v>
      </c>
      <c r="S1237" s="2">
        <v>3</v>
      </c>
      <c r="T1237" s="2">
        <v>2</v>
      </c>
      <c r="U1237">
        <v>80</v>
      </c>
      <c r="V1237" s="2">
        <v>13</v>
      </c>
      <c r="W1237">
        <v>5</v>
      </c>
      <c r="X1237">
        <v>2</v>
      </c>
      <c r="Y1237">
        <v>10</v>
      </c>
      <c r="Z1237">
        <v>6</v>
      </c>
      <c r="AA1237">
        <v>0</v>
      </c>
      <c r="AB1237">
        <v>3</v>
      </c>
    </row>
    <row r="1238" spans="1:28" x14ac:dyDescent="0.35">
      <c r="A1238" s="2">
        <v>36</v>
      </c>
      <c r="B1238" s="2" t="str" cm="1">
        <f t="array" ref="B1238">_xlfn.IFS(HR_table[[#This Row],[Age]]&lt;=20, "Under 20yrs",HR_table[[#This Row],[Age]]&lt;=30,"(21-30)yrs",HR_table[[#This Row],[Age]]&lt;=40,"(31-40)yrs",HR_table[[#This Row],[Age]]&lt;=50,"(41-50)yrs",HR_table[[#This Row],[Age]]&lt;=60,"(51-60)yrs")</f>
        <v>(31-40)yrs</v>
      </c>
      <c r="C1238" t="s">
        <v>35</v>
      </c>
      <c r="D1238" t="s">
        <v>36</v>
      </c>
      <c r="E1238" t="s">
        <v>37</v>
      </c>
      <c r="F1238" t="s">
        <v>59</v>
      </c>
      <c r="G1238" t="s">
        <v>40</v>
      </c>
      <c r="H1238">
        <v>1733</v>
      </c>
      <c r="I1238" s="2">
        <v>13</v>
      </c>
      <c r="J1238" s="2">
        <v>2</v>
      </c>
      <c r="K1238" t="s">
        <v>46</v>
      </c>
      <c r="L1238" s="2">
        <v>2</v>
      </c>
      <c r="M1238" s="2">
        <v>1</v>
      </c>
      <c r="N1238" t="s">
        <v>52</v>
      </c>
      <c r="O1238" s="2">
        <v>6134</v>
      </c>
      <c r="P1238" s="2">
        <v>8658</v>
      </c>
      <c r="Q1238" s="2">
        <v>5</v>
      </c>
      <c r="R1238" t="s">
        <v>35</v>
      </c>
      <c r="S1238" s="2">
        <v>3</v>
      </c>
      <c r="T1238" s="2">
        <v>2</v>
      </c>
      <c r="U1238">
        <v>80</v>
      </c>
      <c r="V1238" s="2">
        <v>16</v>
      </c>
      <c r="W1238">
        <v>3</v>
      </c>
      <c r="X1238">
        <v>3</v>
      </c>
      <c r="Y1238">
        <v>2</v>
      </c>
      <c r="Z1238">
        <v>2</v>
      </c>
      <c r="AA1238">
        <v>2</v>
      </c>
      <c r="AB1238">
        <v>2</v>
      </c>
    </row>
    <row r="1239" spans="1:28" x14ac:dyDescent="0.35">
      <c r="A1239" s="2">
        <v>32</v>
      </c>
      <c r="B1239" s="2" t="str" cm="1">
        <f t="array" ref="B1239">_xlfn.IFS(HR_table[[#This Row],[Age]]&lt;=20, "Under 20yrs",HR_table[[#This Row],[Age]]&lt;=30,"(21-30)yrs",HR_table[[#This Row],[Age]]&lt;=40,"(31-40)yrs",HR_table[[#This Row],[Age]]&lt;=50,"(41-50)yrs",HR_table[[#This Row],[Age]]&lt;=60,"(51-60)yrs")</f>
        <v>(31-40)yrs</v>
      </c>
      <c r="C1239" t="s">
        <v>35</v>
      </c>
      <c r="D1239" t="s">
        <v>36</v>
      </c>
      <c r="E1239" t="s">
        <v>37</v>
      </c>
      <c r="F1239" t="s">
        <v>38</v>
      </c>
      <c r="G1239" t="s">
        <v>40</v>
      </c>
      <c r="H1239">
        <v>1734</v>
      </c>
      <c r="I1239" s="2">
        <v>1</v>
      </c>
      <c r="J1239" s="2">
        <v>1</v>
      </c>
      <c r="K1239" t="s">
        <v>46</v>
      </c>
      <c r="L1239" s="2">
        <v>2</v>
      </c>
      <c r="M1239" s="2">
        <v>2</v>
      </c>
      <c r="N1239" t="s">
        <v>41</v>
      </c>
      <c r="O1239" s="2">
        <v>6735</v>
      </c>
      <c r="P1239" s="2">
        <v>12147</v>
      </c>
      <c r="Q1239" s="2">
        <v>6</v>
      </c>
      <c r="R1239" t="s">
        <v>43</v>
      </c>
      <c r="S1239" s="2">
        <v>3</v>
      </c>
      <c r="T1239" s="2">
        <v>2</v>
      </c>
      <c r="U1239">
        <v>80</v>
      </c>
      <c r="V1239" s="2">
        <v>10</v>
      </c>
      <c r="W1239">
        <v>2</v>
      </c>
      <c r="X1239">
        <v>3</v>
      </c>
      <c r="Y1239">
        <v>0</v>
      </c>
      <c r="Z1239">
        <v>0</v>
      </c>
      <c r="AA1239">
        <v>0</v>
      </c>
      <c r="AB1239">
        <v>0</v>
      </c>
    </row>
    <row r="1240" spans="1:28" x14ac:dyDescent="0.35">
      <c r="A1240" s="2">
        <v>23</v>
      </c>
      <c r="B1240" s="2" t="str" cm="1">
        <f t="array" ref="B1240">_xlfn.IFS(HR_table[[#This Row],[Age]]&lt;=20, "Under 20yrs",HR_table[[#This Row],[Age]]&lt;=30,"(21-30)yrs",HR_table[[#This Row],[Age]]&lt;=40,"(31-40)yrs",HR_table[[#This Row],[Age]]&lt;=50,"(41-50)yrs",HR_table[[#This Row],[Age]]&lt;=60,"(51-60)yrs")</f>
        <v>(21-30)yrs</v>
      </c>
      <c r="C1240" t="s">
        <v>43</v>
      </c>
      <c r="D1240" t="s">
        <v>36</v>
      </c>
      <c r="E1240" t="s">
        <v>45</v>
      </c>
      <c r="F1240" t="s">
        <v>51</v>
      </c>
      <c r="G1240" t="s">
        <v>50</v>
      </c>
      <c r="H1240">
        <v>1735</v>
      </c>
      <c r="I1240" s="2">
        <v>4</v>
      </c>
      <c r="J1240" s="2">
        <v>3</v>
      </c>
      <c r="K1240" t="s">
        <v>39</v>
      </c>
      <c r="L1240" s="2">
        <v>1</v>
      </c>
      <c r="M1240" s="2">
        <v>2</v>
      </c>
      <c r="N1240" t="s">
        <v>41</v>
      </c>
      <c r="O1240" s="2">
        <v>3295</v>
      </c>
      <c r="P1240" s="2">
        <v>12862</v>
      </c>
      <c r="Q1240" s="2">
        <v>1</v>
      </c>
      <c r="R1240" t="s">
        <v>43</v>
      </c>
      <c r="S1240" s="2">
        <v>3</v>
      </c>
      <c r="T1240" s="2">
        <v>3</v>
      </c>
      <c r="U1240">
        <v>80</v>
      </c>
      <c r="V1240" s="2">
        <v>3</v>
      </c>
      <c r="W1240">
        <v>3</v>
      </c>
      <c r="X1240">
        <v>1</v>
      </c>
      <c r="Y1240">
        <v>3</v>
      </c>
      <c r="Z1240">
        <v>2</v>
      </c>
      <c r="AA1240">
        <v>1</v>
      </c>
      <c r="AB1240">
        <v>2</v>
      </c>
    </row>
    <row r="1241" spans="1:28" x14ac:dyDescent="0.35">
      <c r="A1241" s="2">
        <v>31</v>
      </c>
      <c r="B1241" s="2" t="str" cm="1">
        <f t="array" ref="B1241">_xlfn.IFS(HR_table[[#This Row],[Age]]&lt;=20, "Under 20yrs",HR_table[[#This Row],[Age]]&lt;=30,"(21-30)yrs",HR_table[[#This Row],[Age]]&lt;=40,"(31-40)yrs",HR_table[[#This Row],[Age]]&lt;=50,"(41-50)yrs",HR_table[[#This Row],[Age]]&lt;=60,"(51-60)yrs")</f>
        <v>(31-40)yrs</v>
      </c>
      <c r="C1241" t="s">
        <v>43</v>
      </c>
      <c r="D1241" t="s">
        <v>44</v>
      </c>
      <c r="E1241" t="s">
        <v>45</v>
      </c>
      <c r="F1241" t="s">
        <v>60</v>
      </c>
      <c r="G1241" t="s">
        <v>53</v>
      </c>
      <c r="H1241">
        <v>1736</v>
      </c>
      <c r="I1241" s="2">
        <v>24</v>
      </c>
      <c r="J1241" s="2">
        <v>4</v>
      </c>
      <c r="K1241" t="s">
        <v>39</v>
      </c>
      <c r="L1241" s="2">
        <v>2</v>
      </c>
      <c r="M1241" s="2">
        <v>4</v>
      </c>
      <c r="N1241" t="s">
        <v>41</v>
      </c>
      <c r="O1241" s="2">
        <v>5238</v>
      </c>
      <c r="P1241" s="2">
        <v>6670</v>
      </c>
      <c r="Q1241" s="2">
        <v>2</v>
      </c>
      <c r="R1241" t="s">
        <v>43</v>
      </c>
      <c r="S1241" s="2">
        <v>4</v>
      </c>
      <c r="T1241" s="2">
        <v>4</v>
      </c>
      <c r="U1241">
        <v>80</v>
      </c>
      <c r="V1241" s="2">
        <v>9</v>
      </c>
      <c r="W1241">
        <v>3</v>
      </c>
      <c r="X1241">
        <v>2</v>
      </c>
      <c r="Y1241">
        <v>5</v>
      </c>
      <c r="Z1241">
        <v>4</v>
      </c>
      <c r="AA1241">
        <v>1</v>
      </c>
      <c r="AB1241">
        <v>4</v>
      </c>
    </row>
    <row r="1242" spans="1:28" x14ac:dyDescent="0.35">
      <c r="A1242" s="2">
        <v>39</v>
      </c>
      <c r="B1242" s="2" t="str" cm="1">
        <f t="array" ref="B1242">_xlfn.IFS(HR_table[[#This Row],[Age]]&lt;=20, "Under 20yrs",HR_table[[#This Row],[Age]]&lt;=30,"(21-30)yrs",HR_table[[#This Row],[Age]]&lt;=40,"(31-40)yrs",HR_table[[#This Row],[Age]]&lt;=50,"(41-50)yrs",HR_table[[#This Row],[Age]]&lt;=60,"(51-60)yrs")</f>
        <v>(31-40)yrs</v>
      </c>
      <c r="C1242" t="s">
        <v>43</v>
      </c>
      <c r="D1242" t="s">
        <v>55</v>
      </c>
      <c r="E1242" t="s">
        <v>45</v>
      </c>
      <c r="F1242" t="s">
        <v>38</v>
      </c>
      <c r="G1242" t="s">
        <v>50</v>
      </c>
      <c r="H1242">
        <v>1737</v>
      </c>
      <c r="I1242" s="2">
        <v>1</v>
      </c>
      <c r="J1242" s="2">
        <v>4</v>
      </c>
      <c r="K1242" t="s">
        <v>46</v>
      </c>
      <c r="L1242" s="2">
        <v>2</v>
      </c>
      <c r="M1242" s="2">
        <v>4</v>
      </c>
      <c r="N1242" t="s">
        <v>48</v>
      </c>
      <c r="O1242" s="2">
        <v>6472</v>
      </c>
      <c r="P1242" s="2">
        <v>8989</v>
      </c>
      <c r="Q1242" s="2">
        <v>1</v>
      </c>
      <c r="R1242" t="s">
        <v>35</v>
      </c>
      <c r="S1242" s="2">
        <v>3</v>
      </c>
      <c r="T1242" s="2">
        <v>4</v>
      </c>
      <c r="U1242">
        <v>80</v>
      </c>
      <c r="V1242" s="2">
        <v>9</v>
      </c>
      <c r="W1242">
        <v>2</v>
      </c>
      <c r="X1242">
        <v>3</v>
      </c>
      <c r="Y1242">
        <v>9</v>
      </c>
      <c r="Z1242">
        <v>8</v>
      </c>
      <c r="AA1242">
        <v>5</v>
      </c>
      <c r="AB1242">
        <v>8</v>
      </c>
    </row>
    <row r="1243" spans="1:28" x14ac:dyDescent="0.35">
      <c r="A1243" s="2">
        <v>32</v>
      </c>
      <c r="B1243" s="2" t="str" cm="1">
        <f t="array" ref="B1243">_xlfn.IFS(HR_table[[#This Row],[Age]]&lt;=20, "Under 20yrs",HR_table[[#This Row],[Age]]&lt;=30,"(21-30)yrs",HR_table[[#This Row],[Age]]&lt;=40,"(31-40)yrs",HR_table[[#This Row],[Age]]&lt;=50,"(41-50)yrs",HR_table[[#This Row],[Age]]&lt;=60,"(51-60)yrs")</f>
        <v>(31-40)yrs</v>
      </c>
      <c r="C1243" t="s">
        <v>43</v>
      </c>
      <c r="D1243" t="s">
        <v>36</v>
      </c>
      <c r="E1243" t="s">
        <v>37</v>
      </c>
      <c r="F1243" t="s">
        <v>38</v>
      </c>
      <c r="G1243" t="s">
        <v>40</v>
      </c>
      <c r="H1243">
        <v>1739</v>
      </c>
      <c r="I1243" s="2">
        <v>19</v>
      </c>
      <c r="J1243" s="2">
        <v>4</v>
      </c>
      <c r="K1243" t="s">
        <v>46</v>
      </c>
      <c r="L1243" s="2">
        <v>3</v>
      </c>
      <c r="M1243" s="2">
        <v>3</v>
      </c>
      <c r="N1243" t="s">
        <v>48</v>
      </c>
      <c r="O1243" s="2">
        <v>9610</v>
      </c>
      <c r="P1243" s="2">
        <v>3840</v>
      </c>
      <c r="Q1243" s="2">
        <v>3</v>
      </c>
      <c r="R1243" t="s">
        <v>43</v>
      </c>
      <c r="S1243" s="2">
        <v>3</v>
      </c>
      <c r="T1243" s="2">
        <v>3</v>
      </c>
      <c r="U1243">
        <v>80</v>
      </c>
      <c r="V1243" s="2">
        <v>10</v>
      </c>
      <c r="W1243">
        <v>2</v>
      </c>
      <c r="X1243">
        <v>1</v>
      </c>
      <c r="Y1243">
        <v>4</v>
      </c>
      <c r="Z1243">
        <v>3</v>
      </c>
      <c r="AA1243">
        <v>0</v>
      </c>
      <c r="AB1243">
        <v>2</v>
      </c>
    </row>
    <row r="1244" spans="1:28" x14ac:dyDescent="0.35">
      <c r="A1244" s="2">
        <v>40</v>
      </c>
      <c r="B1244" s="2" t="str" cm="1">
        <f t="array" ref="B1244">_xlfn.IFS(HR_table[[#This Row],[Age]]&lt;=20, "Under 20yrs",HR_table[[#This Row],[Age]]&lt;=30,"(21-30)yrs",HR_table[[#This Row],[Age]]&lt;=40,"(31-40)yrs",HR_table[[#This Row],[Age]]&lt;=50,"(41-50)yrs",HR_table[[#This Row],[Age]]&lt;=60,"(51-60)yrs")</f>
        <v>(31-40)yrs</v>
      </c>
      <c r="C1244" t="s">
        <v>43</v>
      </c>
      <c r="D1244" t="s">
        <v>36</v>
      </c>
      <c r="E1244" t="s">
        <v>37</v>
      </c>
      <c r="F1244" t="s">
        <v>51</v>
      </c>
      <c r="G1244" t="s">
        <v>56</v>
      </c>
      <c r="H1244">
        <v>1740</v>
      </c>
      <c r="I1244" s="2">
        <v>7</v>
      </c>
      <c r="J1244" s="2">
        <v>2</v>
      </c>
      <c r="K1244" t="s">
        <v>46</v>
      </c>
      <c r="L1244" s="2">
        <v>5</v>
      </c>
      <c r="M1244" s="2">
        <v>2</v>
      </c>
      <c r="N1244" t="s">
        <v>41</v>
      </c>
      <c r="O1244" s="2">
        <v>19833</v>
      </c>
      <c r="P1244" s="2">
        <v>4349</v>
      </c>
      <c r="Q1244" s="2">
        <v>1</v>
      </c>
      <c r="R1244" t="s">
        <v>43</v>
      </c>
      <c r="S1244" s="2">
        <v>3</v>
      </c>
      <c r="T1244" s="2">
        <v>2</v>
      </c>
      <c r="U1244">
        <v>80</v>
      </c>
      <c r="V1244" s="2">
        <v>21</v>
      </c>
      <c r="W1244">
        <v>3</v>
      </c>
      <c r="X1244">
        <v>2</v>
      </c>
      <c r="Y1244">
        <v>21</v>
      </c>
      <c r="Z1244">
        <v>8</v>
      </c>
      <c r="AA1244">
        <v>12</v>
      </c>
      <c r="AB1244">
        <v>8</v>
      </c>
    </row>
    <row r="1245" spans="1:28" x14ac:dyDescent="0.35">
      <c r="A1245" s="2">
        <v>45</v>
      </c>
      <c r="B1245" s="2" t="str" cm="1">
        <f t="array" ref="B1245">_xlfn.IFS(HR_table[[#This Row],[Age]]&lt;=20, "Under 20yrs",HR_table[[#This Row],[Age]]&lt;=30,"(21-30)yrs",HR_table[[#This Row],[Age]]&lt;=40,"(31-40)yrs",HR_table[[#This Row],[Age]]&lt;=50,"(41-50)yrs",HR_table[[#This Row],[Age]]&lt;=60,"(51-60)yrs")</f>
        <v>(41-50)yrs</v>
      </c>
      <c r="C1245" t="s">
        <v>43</v>
      </c>
      <c r="D1245" t="s">
        <v>36</v>
      </c>
      <c r="E1245" t="s">
        <v>61</v>
      </c>
      <c r="F1245" t="s">
        <v>38</v>
      </c>
      <c r="G1245" t="s">
        <v>61</v>
      </c>
      <c r="H1245">
        <v>1744</v>
      </c>
      <c r="I1245" s="2">
        <v>4</v>
      </c>
      <c r="J1245" s="2">
        <v>3</v>
      </c>
      <c r="K1245" t="s">
        <v>39</v>
      </c>
      <c r="L1245" s="2">
        <v>3</v>
      </c>
      <c r="M1245" s="2">
        <v>3</v>
      </c>
      <c r="N1245" t="s">
        <v>48</v>
      </c>
      <c r="O1245" s="2">
        <v>9756</v>
      </c>
      <c r="P1245" s="2">
        <v>6595</v>
      </c>
      <c r="Q1245" s="2">
        <v>4</v>
      </c>
      <c r="R1245" t="s">
        <v>43</v>
      </c>
      <c r="S1245" s="2">
        <v>4</v>
      </c>
      <c r="T1245" s="2">
        <v>3</v>
      </c>
      <c r="U1245">
        <v>80</v>
      </c>
      <c r="V1245" s="2">
        <v>9</v>
      </c>
      <c r="W1245">
        <v>2</v>
      </c>
      <c r="X1245">
        <v>4</v>
      </c>
      <c r="Y1245">
        <v>5</v>
      </c>
      <c r="Z1245">
        <v>0</v>
      </c>
      <c r="AA1245">
        <v>0</v>
      </c>
      <c r="AB1245">
        <v>3</v>
      </c>
    </row>
    <row r="1246" spans="1:28" x14ac:dyDescent="0.35">
      <c r="A1246" s="2">
        <v>30</v>
      </c>
      <c r="B1246" s="2" t="str" cm="1">
        <f t="array" ref="B1246">_xlfn.IFS(HR_table[[#This Row],[Age]]&lt;=20, "Under 20yrs",HR_table[[#This Row],[Age]]&lt;=30,"(21-30)yrs",HR_table[[#This Row],[Age]]&lt;=40,"(31-40)yrs",HR_table[[#This Row],[Age]]&lt;=50,"(41-50)yrs",HR_table[[#This Row],[Age]]&lt;=60,"(51-60)yrs")</f>
        <v>(21-30)yrs</v>
      </c>
      <c r="C1246" t="s">
        <v>43</v>
      </c>
      <c r="D1246" t="s">
        <v>44</v>
      </c>
      <c r="E1246" t="s">
        <v>45</v>
      </c>
      <c r="F1246" t="s">
        <v>60</v>
      </c>
      <c r="G1246" t="s">
        <v>47</v>
      </c>
      <c r="H1246">
        <v>1745</v>
      </c>
      <c r="I1246" s="2">
        <v>2</v>
      </c>
      <c r="J1246" s="2">
        <v>4</v>
      </c>
      <c r="K1246" t="s">
        <v>39</v>
      </c>
      <c r="L1246" s="2">
        <v>1</v>
      </c>
      <c r="M1246" s="2">
        <v>1</v>
      </c>
      <c r="N1246" t="s">
        <v>41</v>
      </c>
      <c r="O1246" s="2">
        <v>4968</v>
      </c>
      <c r="P1246" s="2">
        <v>26427</v>
      </c>
      <c r="Q1246" s="2">
        <v>0</v>
      </c>
      <c r="R1246" t="s">
        <v>43</v>
      </c>
      <c r="S1246" s="2">
        <v>3</v>
      </c>
      <c r="T1246" s="2">
        <v>4</v>
      </c>
      <c r="U1246">
        <v>80</v>
      </c>
      <c r="V1246" s="2">
        <v>10</v>
      </c>
      <c r="W1246">
        <v>2</v>
      </c>
      <c r="X1246">
        <v>3</v>
      </c>
      <c r="Y1246">
        <v>9</v>
      </c>
      <c r="Z1246">
        <v>7</v>
      </c>
      <c r="AA1246">
        <v>0</v>
      </c>
      <c r="AB1246">
        <v>7</v>
      </c>
    </row>
    <row r="1247" spans="1:28" x14ac:dyDescent="0.35">
      <c r="A1247" s="2">
        <v>24</v>
      </c>
      <c r="B1247" s="2" t="str" cm="1">
        <f t="array" ref="B1247">_xlfn.IFS(HR_table[[#This Row],[Age]]&lt;=20, "Under 20yrs",HR_table[[#This Row],[Age]]&lt;=30,"(21-30)yrs",HR_table[[#This Row],[Age]]&lt;=40,"(31-40)yrs",HR_table[[#This Row],[Age]]&lt;=50,"(41-50)yrs",HR_table[[#This Row],[Age]]&lt;=60,"(51-60)yrs")</f>
        <v>(21-30)yrs</v>
      </c>
      <c r="C1247" t="s">
        <v>43</v>
      </c>
      <c r="D1247" t="s">
        <v>44</v>
      </c>
      <c r="E1247" t="s">
        <v>61</v>
      </c>
      <c r="F1247" t="s">
        <v>51</v>
      </c>
      <c r="G1247" t="s">
        <v>61</v>
      </c>
      <c r="H1247">
        <v>1746</v>
      </c>
      <c r="I1247" s="2">
        <v>10</v>
      </c>
      <c r="J1247" s="2">
        <v>1</v>
      </c>
      <c r="K1247" t="s">
        <v>46</v>
      </c>
      <c r="L1247" s="2">
        <v>1</v>
      </c>
      <c r="M1247" s="2">
        <v>4</v>
      </c>
      <c r="N1247" t="s">
        <v>48</v>
      </c>
      <c r="O1247" s="2">
        <v>2145</v>
      </c>
      <c r="P1247" s="2">
        <v>2097</v>
      </c>
      <c r="Q1247" s="2">
        <v>0</v>
      </c>
      <c r="R1247" t="s">
        <v>43</v>
      </c>
      <c r="S1247" s="2">
        <v>3</v>
      </c>
      <c r="T1247" s="2">
        <v>4</v>
      </c>
      <c r="U1247">
        <v>80</v>
      </c>
      <c r="V1247" s="2">
        <v>3</v>
      </c>
      <c r="W1247">
        <v>2</v>
      </c>
      <c r="X1247">
        <v>3</v>
      </c>
      <c r="Y1247">
        <v>2</v>
      </c>
      <c r="Z1247">
        <v>2</v>
      </c>
      <c r="AA1247">
        <v>2</v>
      </c>
      <c r="AB1247">
        <v>1</v>
      </c>
    </row>
    <row r="1248" spans="1:28" x14ac:dyDescent="0.35">
      <c r="A1248" s="2">
        <v>30</v>
      </c>
      <c r="B1248" s="2" t="str" cm="1">
        <f t="array" ref="B1248">_xlfn.IFS(HR_table[[#This Row],[Age]]&lt;=20, "Under 20yrs",HR_table[[#This Row],[Age]]&lt;=30,"(21-30)yrs",HR_table[[#This Row],[Age]]&lt;=40,"(31-40)yrs",HR_table[[#This Row],[Age]]&lt;=50,"(41-50)yrs",HR_table[[#This Row],[Age]]&lt;=60,"(51-60)yrs")</f>
        <v>(21-30)yrs</v>
      </c>
      <c r="C1248" t="s">
        <v>35</v>
      </c>
      <c r="D1248" t="s">
        <v>44</v>
      </c>
      <c r="E1248" t="s">
        <v>61</v>
      </c>
      <c r="F1248" t="s">
        <v>61</v>
      </c>
      <c r="G1248" t="s">
        <v>61</v>
      </c>
      <c r="H1248">
        <v>1747</v>
      </c>
      <c r="I1248" s="2">
        <v>8</v>
      </c>
      <c r="J1248" s="2">
        <v>3</v>
      </c>
      <c r="K1248" t="s">
        <v>39</v>
      </c>
      <c r="L1248" s="2">
        <v>1</v>
      </c>
      <c r="M1248" s="2">
        <v>4</v>
      </c>
      <c r="N1248" t="s">
        <v>52</v>
      </c>
      <c r="O1248" s="2">
        <v>2180</v>
      </c>
      <c r="P1248" s="2">
        <v>9732</v>
      </c>
      <c r="Q1248" s="2">
        <v>6</v>
      </c>
      <c r="R1248" t="s">
        <v>43</v>
      </c>
      <c r="S1248" s="2">
        <v>3</v>
      </c>
      <c r="T1248" s="2">
        <v>3</v>
      </c>
      <c r="U1248">
        <v>80</v>
      </c>
      <c r="V1248" s="2">
        <v>6</v>
      </c>
      <c r="W1248">
        <v>0</v>
      </c>
      <c r="X1248">
        <v>2</v>
      </c>
      <c r="Y1248">
        <v>4</v>
      </c>
      <c r="Z1248">
        <v>2</v>
      </c>
      <c r="AA1248">
        <v>1</v>
      </c>
      <c r="AB1248">
        <v>2</v>
      </c>
    </row>
    <row r="1249" spans="1:28" x14ac:dyDescent="0.35">
      <c r="A1249" s="2">
        <v>31</v>
      </c>
      <c r="B1249" s="2" t="str" cm="1">
        <f t="array" ref="B1249">_xlfn.IFS(HR_table[[#This Row],[Age]]&lt;=20, "Under 20yrs",HR_table[[#This Row],[Age]]&lt;=30,"(21-30)yrs",HR_table[[#This Row],[Age]]&lt;=40,"(31-40)yrs",HR_table[[#This Row],[Age]]&lt;=50,"(41-50)yrs",HR_table[[#This Row],[Age]]&lt;=60,"(51-60)yrs")</f>
        <v>(31-40)yrs</v>
      </c>
      <c r="C1249" t="s">
        <v>43</v>
      </c>
      <c r="D1249" t="s">
        <v>36</v>
      </c>
      <c r="E1249" t="s">
        <v>37</v>
      </c>
      <c r="F1249" t="s">
        <v>60</v>
      </c>
      <c r="G1249" t="s">
        <v>40</v>
      </c>
      <c r="H1249">
        <v>1749</v>
      </c>
      <c r="I1249" s="2">
        <v>5</v>
      </c>
      <c r="J1249" s="2">
        <v>1</v>
      </c>
      <c r="K1249" t="s">
        <v>46</v>
      </c>
      <c r="L1249" s="2">
        <v>2</v>
      </c>
      <c r="M1249" s="2">
        <v>3</v>
      </c>
      <c r="N1249" t="s">
        <v>48</v>
      </c>
      <c r="O1249" s="2">
        <v>8346</v>
      </c>
      <c r="P1249" s="2">
        <v>20943</v>
      </c>
      <c r="Q1249" s="2">
        <v>1</v>
      </c>
      <c r="R1249" t="s">
        <v>43</v>
      </c>
      <c r="S1249" s="2">
        <v>3</v>
      </c>
      <c r="T1249" s="2">
        <v>3</v>
      </c>
      <c r="U1249">
        <v>80</v>
      </c>
      <c r="V1249" s="2">
        <v>6</v>
      </c>
      <c r="W1249">
        <v>3</v>
      </c>
      <c r="X1249">
        <v>3</v>
      </c>
      <c r="Y1249">
        <v>5</v>
      </c>
      <c r="Z1249">
        <v>2</v>
      </c>
      <c r="AA1249">
        <v>0</v>
      </c>
      <c r="AB1249">
        <v>2</v>
      </c>
    </row>
    <row r="1250" spans="1:28" x14ac:dyDescent="0.35">
      <c r="A1250" s="2">
        <v>27</v>
      </c>
      <c r="B1250" s="2" t="str" cm="1">
        <f t="array" ref="B1250">_xlfn.IFS(HR_table[[#This Row],[Age]]&lt;=20, "Under 20yrs",HR_table[[#This Row],[Age]]&lt;=30,"(21-30)yrs",HR_table[[#This Row],[Age]]&lt;=40,"(31-40)yrs",HR_table[[#This Row],[Age]]&lt;=50,"(41-50)yrs",HR_table[[#This Row],[Age]]&lt;=60,"(51-60)yrs")</f>
        <v>(21-30)yrs</v>
      </c>
      <c r="C1250" t="s">
        <v>43</v>
      </c>
      <c r="D1250" t="s">
        <v>36</v>
      </c>
      <c r="E1250" t="s">
        <v>45</v>
      </c>
      <c r="F1250" t="s">
        <v>51</v>
      </c>
      <c r="G1250" t="s">
        <v>47</v>
      </c>
      <c r="H1250">
        <v>1751</v>
      </c>
      <c r="I1250" s="2">
        <v>8</v>
      </c>
      <c r="J1250" s="2">
        <v>3</v>
      </c>
      <c r="K1250" t="s">
        <v>39</v>
      </c>
      <c r="L1250" s="2">
        <v>1</v>
      </c>
      <c r="M1250" s="2">
        <v>4</v>
      </c>
      <c r="N1250" t="s">
        <v>41</v>
      </c>
      <c r="O1250" s="2">
        <v>3445</v>
      </c>
      <c r="P1250" s="2">
        <v>6152</v>
      </c>
      <c r="Q1250" s="2">
        <v>1</v>
      </c>
      <c r="R1250" t="s">
        <v>43</v>
      </c>
      <c r="S1250" s="2">
        <v>3</v>
      </c>
      <c r="T1250" s="2">
        <v>3</v>
      </c>
      <c r="U1250">
        <v>80</v>
      </c>
      <c r="V1250" s="2">
        <v>6</v>
      </c>
      <c r="W1250">
        <v>5</v>
      </c>
      <c r="X1250">
        <v>2</v>
      </c>
      <c r="Y1250">
        <v>6</v>
      </c>
      <c r="Z1250">
        <v>2</v>
      </c>
      <c r="AA1250">
        <v>1</v>
      </c>
      <c r="AB1250">
        <v>4</v>
      </c>
    </row>
    <row r="1251" spans="1:28" x14ac:dyDescent="0.35">
      <c r="A1251" s="2">
        <v>29</v>
      </c>
      <c r="B1251" s="2" t="str" cm="1">
        <f t="array" ref="B1251">_xlfn.IFS(HR_table[[#This Row],[Age]]&lt;=20, "Under 20yrs",HR_table[[#This Row],[Age]]&lt;=30,"(21-30)yrs",HR_table[[#This Row],[Age]]&lt;=40,"(31-40)yrs",HR_table[[#This Row],[Age]]&lt;=50,"(41-50)yrs",HR_table[[#This Row],[Age]]&lt;=60,"(51-60)yrs")</f>
        <v>(21-30)yrs</v>
      </c>
      <c r="C1251" t="s">
        <v>35</v>
      </c>
      <c r="D1251" t="s">
        <v>36</v>
      </c>
      <c r="E1251" t="s">
        <v>37</v>
      </c>
      <c r="F1251" t="s">
        <v>59</v>
      </c>
      <c r="G1251" t="s">
        <v>57</v>
      </c>
      <c r="H1251">
        <v>1752</v>
      </c>
      <c r="I1251" s="2">
        <v>9</v>
      </c>
      <c r="J1251" s="2">
        <v>2</v>
      </c>
      <c r="K1251" t="s">
        <v>39</v>
      </c>
      <c r="L1251" s="2">
        <v>1</v>
      </c>
      <c r="M1251" s="2">
        <v>2</v>
      </c>
      <c r="N1251" t="s">
        <v>41</v>
      </c>
      <c r="O1251" s="2">
        <v>2760</v>
      </c>
      <c r="P1251" s="2">
        <v>14630</v>
      </c>
      <c r="Q1251" s="2">
        <v>1</v>
      </c>
      <c r="R1251" t="s">
        <v>43</v>
      </c>
      <c r="S1251" s="2">
        <v>3</v>
      </c>
      <c r="T1251" s="2">
        <v>3</v>
      </c>
      <c r="U1251">
        <v>80</v>
      </c>
      <c r="V1251" s="2">
        <v>2</v>
      </c>
      <c r="W1251">
        <v>3</v>
      </c>
      <c r="X1251">
        <v>3</v>
      </c>
      <c r="Y1251">
        <v>2</v>
      </c>
      <c r="Z1251">
        <v>2</v>
      </c>
      <c r="AA1251">
        <v>2</v>
      </c>
      <c r="AB1251">
        <v>2</v>
      </c>
    </row>
    <row r="1252" spans="1:28" x14ac:dyDescent="0.35">
      <c r="A1252" s="2">
        <v>29</v>
      </c>
      <c r="B1252" s="2" t="str" cm="1">
        <f t="array" ref="B1252">_xlfn.IFS(HR_table[[#This Row],[Age]]&lt;=20, "Under 20yrs",HR_table[[#This Row],[Age]]&lt;=30,"(21-30)yrs",HR_table[[#This Row],[Age]]&lt;=40,"(31-40)yrs",HR_table[[#This Row],[Age]]&lt;=50,"(41-50)yrs",HR_table[[#This Row],[Age]]&lt;=60,"(51-60)yrs")</f>
        <v>(21-30)yrs</v>
      </c>
      <c r="C1252" t="s">
        <v>43</v>
      </c>
      <c r="D1252" t="s">
        <v>44</v>
      </c>
      <c r="E1252" t="s">
        <v>45</v>
      </c>
      <c r="F1252" t="s">
        <v>38</v>
      </c>
      <c r="G1252" t="s">
        <v>54</v>
      </c>
      <c r="H1252">
        <v>1753</v>
      </c>
      <c r="I1252" s="2">
        <v>1</v>
      </c>
      <c r="J1252" s="2">
        <v>4</v>
      </c>
      <c r="K1252" t="s">
        <v>46</v>
      </c>
      <c r="L1252" s="2">
        <v>2</v>
      </c>
      <c r="M1252" s="2">
        <v>3</v>
      </c>
      <c r="N1252" t="s">
        <v>41</v>
      </c>
      <c r="O1252" s="2">
        <v>6294</v>
      </c>
      <c r="P1252" s="2">
        <v>23060</v>
      </c>
      <c r="Q1252" s="2">
        <v>8</v>
      </c>
      <c r="R1252" t="s">
        <v>35</v>
      </c>
      <c r="S1252" s="2">
        <v>3</v>
      </c>
      <c r="T1252" s="2">
        <v>4</v>
      </c>
      <c r="U1252">
        <v>80</v>
      </c>
      <c r="V1252" s="2">
        <v>10</v>
      </c>
      <c r="W1252">
        <v>5</v>
      </c>
      <c r="X1252">
        <v>4</v>
      </c>
      <c r="Y1252">
        <v>3</v>
      </c>
      <c r="Z1252">
        <v>2</v>
      </c>
      <c r="AA1252">
        <v>0</v>
      </c>
      <c r="AB1252">
        <v>2</v>
      </c>
    </row>
    <row r="1253" spans="1:28" x14ac:dyDescent="0.35">
      <c r="A1253" s="2">
        <v>30</v>
      </c>
      <c r="B1253" s="2" t="str" cm="1">
        <f t="array" ref="B1253">_xlfn.IFS(HR_table[[#This Row],[Age]]&lt;=20, "Under 20yrs",HR_table[[#This Row],[Age]]&lt;=30,"(21-30)yrs",HR_table[[#This Row],[Age]]&lt;=40,"(31-40)yrs",HR_table[[#This Row],[Age]]&lt;=50,"(41-50)yrs",HR_table[[#This Row],[Age]]&lt;=60,"(51-60)yrs")</f>
        <v>(21-30)yrs</v>
      </c>
      <c r="C1253" t="s">
        <v>43</v>
      </c>
      <c r="D1253" t="s">
        <v>36</v>
      </c>
      <c r="E1253" t="s">
        <v>37</v>
      </c>
      <c r="F1253" t="s">
        <v>59</v>
      </c>
      <c r="G1253" t="s">
        <v>40</v>
      </c>
      <c r="H1253">
        <v>1754</v>
      </c>
      <c r="I1253" s="2">
        <v>15</v>
      </c>
      <c r="J1253" s="2">
        <v>3</v>
      </c>
      <c r="K1253" t="s">
        <v>46</v>
      </c>
      <c r="L1253" s="2">
        <v>3</v>
      </c>
      <c r="M1253" s="2">
        <v>1</v>
      </c>
      <c r="N1253" t="s">
        <v>52</v>
      </c>
      <c r="O1253" s="2">
        <v>7140</v>
      </c>
      <c r="P1253" s="2">
        <v>3088</v>
      </c>
      <c r="Q1253" s="2">
        <v>2</v>
      </c>
      <c r="R1253" t="s">
        <v>43</v>
      </c>
      <c r="S1253" s="2">
        <v>3</v>
      </c>
      <c r="T1253" s="2">
        <v>1</v>
      </c>
      <c r="U1253">
        <v>80</v>
      </c>
      <c r="V1253" s="2">
        <v>12</v>
      </c>
      <c r="W1253">
        <v>2</v>
      </c>
      <c r="X1253">
        <v>3</v>
      </c>
      <c r="Y1253">
        <v>7</v>
      </c>
      <c r="Z1253">
        <v>7</v>
      </c>
      <c r="AA1253">
        <v>1</v>
      </c>
      <c r="AB1253">
        <v>7</v>
      </c>
    </row>
    <row r="1254" spans="1:28" x14ac:dyDescent="0.35">
      <c r="A1254" s="2">
        <v>34</v>
      </c>
      <c r="B1254" s="2" t="str" cm="1">
        <f t="array" ref="B1254">_xlfn.IFS(HR_table[[#This Row],[Age]]&lt;=20, "Under 20yrs",HR_table[[#This Row],[Age]]&lt;=30,"(21-30)yrs",HR_table[[#This Row],[Age]]&lt;=40,"(31-40)yrs",HR_table[[#This Row],[Age]]&lt;=50,"(41-50)yrs",HR_table[[#This Row],[Age]]&lt;=60,"(51-60)yrs")</f>
        <v>(31-40)yrs</v>
      </c>
      <c r="C1254" t="s">
        <v>43</v>
      </c>
      <c r="D1254" t="s">
        <v>36</v>
      </c>
      <c r="E1254" t="s">
        <v>45</v>
      </c>
      <c r="F1254" t="s">
        <v>51</v>
      </c>
      <c r="G1254" t="s">
        <v>47</v>
      </c>
      <c r="H1254">
        <v>1755</v>
      </c>
      <c r="I1254" s="2">
        <v>2</v>
      </c>
      <c r="J1254" s="2">
        <v>4</v>
      </c>
      <c r="K1254" t="s">
        <v>46</v>
      </c>
      <c r="L1254" s="2">
        <v>1</v>
      </c>
      <c r="M1254" s="2">
        <v>4</v>
      </c>
      <c r="N1254" t="s">
        <v>48</v>
      </c>
      <c r="O1254" s="2">
        <v>2932</v>
      </c>
      <c r="P1254" s="2">
        <v>5586</v>
      </c>
      <c r="Q1254" s="2">
        <v>0</v>
      </c>
      <c r="R1254" t="s">
        <v>35</v>
      </c>
      <c r="S1254" s="2">
        <v>3</v>
      </c>
      <c r="T1254" s="2">
        <v>1</v>
      </c>
      <c r="U1254">
        <v>80</v>
      </c>
      <c r="V1254" s="2">
        <v>6</v>
      </c>
      <c r="W1254">
        <v>3</v>
      </c>
      <c r="X1254">
        <v>3</v>
      </c>
      <c r="Y1254">
        <v>5</v>
      </c>
      <c r="Z1254">
        <v>0</v>
      </c>
      <c r="AA1254">
        <v>1</v>
      </c>
      <c r="AB1254">
        <v>2</v>
      </c>
    </row>
    <row r="1255" spans="1:28" x14ac:dyDescent="0.35">
      <c r="A1255" s="2">
        <v>33</v>
      </c>
      <c r="B1255" s="2" t="str" cm="1">
        <f t="array" ref="B1255">_xlfn.IFS(HR_table[[#This Row],[Age]]&lt;=20, "Under 20yrs",HR_table[[#This Row],[Age]]&lt;=30,"(21-30)yrs",HR_table[[#This Row],[Age]]&lt;=40,"(31-40)yrs",HR_table[[#This Row],[Age]]&lt;=50,"(41-50)yrs",HR_table[[#This Row],[Age]]&lt;=60,"(51-60)yrs")</f>
        <v>(31-40)yrs</v>
      </c>
      <c r="C1255" t="s">
        <v>43</v>
      </c>
      <c r="D1255" t="s">
        <v>55</v>
      </c>
      <c r="E1255" t="s">
        <v>37</v>
      </c>
      <c r="F1255" t="s">
        <v>59</v>
      </c>
      <c r="G1255" t="s">
        <v>40</v>
      </c>
      <c r="H1255">
        <v>1756</v>
      </c>
      <c r="I1255" s="2">
        <v>2</v>
      </c>
      <c r="J1255" s="2">
        <v>4</v>
      </c>
      <c r="K1255" t="s">
        <v>39</v>
      </c>
      <c r="L1255" s="2">
        <v>2</v>
      </c>
      <c r="M1255" s="2">
        <v>2</v>
      </c>
      <c r="N1255" t="s">
        <v>41</v>
      </c>
      <c r="O1255" s="2">
        <v>5147</v>
      </c>
      <c r="P1255" s="2">
        <v>10697</v>
      </c>
      <c r="Q1255" s="2">
        <v>8</v>
      </c>
      <c r="R1255" t="s">
        <v>43</v>
      </c>
      <c r="S1255" s="2">
        <v>3</v>
      </c>
      <c r="T1255" s="2">
        <v>4</v>
      </c>
      <c r="U1255">
        <v>80</v>
      </c>
      <c r="V1255" s="2">
        <v>13</v>
      </c>
      <c r="W1255">
        <v>2</v>
      </c>
      <c r="X1255">
        <v>2</v>
      </c>
      <c r="Y1255">
        <v>11</v>
      </c>
      <c r="Z1255">
        <v>7</v>
      </c>
      <c r="AA1255">
        <v>1</v>
      </c>
      <c r="AB1255">
        <v>7</v>
      </c>
    </row>
    <row r="1256" spans="1:28" x14ac:dyDescent="0.35">
      <c r="A1256" s="2">
        <v>49</v>
      </c>
      <c r="B1256" s="2" t="str" cm="1">
        <f t="array" ref="B1256">_xlfn.IFS(HR_table[[#This Row],[Age]]&lt;=20, "Under 20yrs",HR_table[[#This Row],[Age]]&lt;=30,"(21-30)yrs",HR_table[[#This Row],[Age]]&lt;=40,"(31-40)yrs",HR_table[[#This Row],[Age]]&lt;=50,"(41-50)yrs",HR_table[[#This Row],[Age]]&lt;=60,"(51-60)yrs")</f>
        <v>(41-50)yrs</v>
      </c>
      <c r="C1256" t="s">
        <v>43</v>
      </c>
      <c r="D1256" t="s">
        <v>36</v>
      </c>
      <c r="E1256" t="s">
        <v>37</v>
      </c>
      <c r="F1256" t="s">
        <v>59</v>
      </c>
      <c r="G1256" t="s">
        <v>40</v>
      </c>
      <c r="H1256">
        <v>1757</v>
      </c>
      <c r="I1256" s="2">
        <v>11</v>
      </c>
      <c r="J1256" s="2">
        <v>4</v>
      </c>
      <c r="K1256" t="s">
        <v>39</v>
      </c>
      <c r="L1256" s="2">
        <v>2</v>
      </c>
      <c r="M1256" s="2">
        <v>4</v>
      </c>
      <c r="N1256" t="s">
        <v>41</v>
      </c>
      <c r="O1256" s="2">
        <v>4507</v>
      </c>
      <c r="P1256" s="2">
        <v>8191</v>
      </c>
      <c r="Q1256" s="2">
        <v>3</v>
      </c>
      <c r="R1256" t="s">
        <v>43</v>
      </c>
      <c r="S1256" s="2">
        <v>3</v>
      </c>
      <c r="T1256" s="2">
        <v>3</v>
      </c>
      <c r="U1256">
        <v>80</v>
      </c>
      <c r="V1256" s="2">
        <v>8</v>
      </c>
      <c r="W1256">
        <v>1</v>
      </c>
      <c r="X1256">
        <v>4</v>
      </c>
      <c r="Y1256">
        <v>5</v>
      </c>
      <c r="Z1256">
        <v>1</v>
      </c>
      <c r="AA1256">
        <v>0</v>
      </c>
      <c r="AB1256">
        <v>4</v>
      </c>
    </row>
    <row r="1257" spans="1:28" x14ac:dyDescent="0.35">
      <c r="A1257" s="2">
        <v>33</v>
      </c>
      <c r="B1257" s="2" t="str" cm="1">
        <f t="array" ref="B1257">_xlfn.IFS(HR_table[[#This Row],[Age]]&lt;=20, "Under 20yrs",HR_table[[#This Row],[Age]]&lt;=30,"(21-30)yrs",HR_table[[#This Row],[Age]]&lt;=40,"(31-40)yrs",HR_table[[#This Row],[Age]]&lt;=50,"(41-50)yrs",HR_table[[#This Row],[Age]]&lt;=60,"(51-60)yrs")</f>
        <v>(31-40)yrs</v>
      </c>
      <c r="C1257" t="s">
        <v>35</v>
      </c>
      <c r="D1257" t="s">
        <v>36</v>
      </c>
      <c r="E1257" t="s">
        <v>37</v>
      </c>
      <c r="F1257" t="s">
        <v>38</v>
      </c>
      <c r="G1257" t="s">
        <v>40</v>
      </c>
      <c r="H1257">
        <v>1758</v>
      </c>
      <c r="I1257" s="2">
        <v>16</v>
      </c>
      <c r="J1257" s="2">
        <v>1</v>
      </c>
      <c r="K1257" t="s">
        <v>39</v>
      </c>
      <c r="L1257" s="2">
        <v>3</v>
      </c>
      <c r="M1257" s="2">
        <v>1</v>
      </c>
      <c r="N1257" t="s">
        <v>41</v>
      </c>
      <c r="O1257" s="2">
        <v>8564</v>
      </c>
      <c r="P1257" s="2">
        <v>10092</v>
      </c>
      <c r="Q1257" s="2">
        <v>2</v>
      </c>
      <c r="R1257" t="s">
        <v>35</v>
      </c>
      <c r="S1257" s="2">
        <v>4</v>
      </c>
      <c r="T1257" s="2">
        <v>3</v>
      </c>
      <c r="U1257">
        <v>80</v>
      </c>
      <c r="V1257" s="2">
        <v>11</v>
      </c>
      <c r="W1257">
        <v>2</v>
      </c>
      <c r="X1257">
        <v>2</v>
      </c>
      <c r="Y1257">
        <v>0</v>
      </c>
      <c r="Z1257">
        <v>0</v>
      </c>
      <c r="AA1257">
        <v>0</v>
      </c>
      <c r="AB1257">
        <v>0</v>
      </c>
    </row>
    <row r="1258" spans="1:28" x14ac:dyDescent="0.35">
      <c r="A1258" s="2">
        <v>38</v>
      </c>
      <c r="B1258" s="2" t="str" cm="1">
        <f t="array" ref="B1258">_xlfn.IFS(HR_table[[#This Row],[Age]]&lt;=20, "Under 20yrs",HR_table[[#This Row],[Age]]&lt;=30,"(21-30)yrs",HR_table[[#This Row],[Age]]&lt;=40,"(31-40)yrs",HR_table[[#This Row],[Age]]&lt;=50,"(41-50)yrs",HR_table[[#This Row],[Age]]&lt;=60,"(51-60)yrs")</f>
        <v>(31-40)yrs</v>
      </c>
      <c r="C1258" t="s">
        <v>43</v>
      </c>
      <c r="D1258" t="s">
        <v>44</v>
      </c>
      <c r="E1258" t="s">
        <v>45</v>
      </c>
      <c r="F1258" t="s">
        <v>51</v>
      </c>
      <c r="G1258" t="s">
        <v>50</v>
      </c>
      <c r="H1258">
        <v>1760</v>
      </c>
      <c r="I1258" s="2">
        <v>2</v>
      </c>
      <c r="J1258" s="2">
        <v>3</v>
      </c>
      <c r="K1258" t="s">
        <v>39</v>
      </c>
      <c r="L1258" s="2">
        <v>1</v>
      </c>
      <c r="M1258" s="2">
        <v>2</v>
      </c>
      <c r="N1258" t="s">
        <v>48</v>
      </c>
      <c r="O1258" s="2">
        <v>2468</v>
      </c>
      <c r="P1258" s="2">
        <v>15963</v>
      </c>
      <c r="Q1258" s="2">
        <v>4</v>
      </c>
      <c r="R1258" t="s">
        <v>43</v>
      </c>
      <c r="S1258" s="2">
        <v>3</v>
      </c>
      <c r="T1258" s="2">
        <v>2</v>
      </c>
      <c r="U1258">
        <v>80</v>
      </c>
      <c r="V1258" s="2">
        <v>9</v>
      </c>
      <c r="W1258">
        <v>4</v>
      </c>
      <c r="X1258">
        <v>2</v>
      </c>
      <c r="Y1258">
        <v>6</v>
      </c>
      <c r="Z1258">
        <v>1</v>
      </c>
      <c r="AA1258">
        <v>0</v>
      </c>
      <c r="AB1258">
        <v>5</v>
      </c>
    </row>
    <row r="1259" spans="1:28" x14ac:dyDescent="0.35">
      <c r="A1259" s="2">
        <v>31</v>
      </c>
      <c r="B1259" s="2" t="str" cm="1">
        <f t="array" ref="B1259">_xlfn.IFS(HR_table[[#This Row],[Age]]&lt;=20, "Under 20yrs",HR_table[[#This Row],[Age]]&lt;=30,"(21-30)yrs",HR_table[[#This Row],[Age]]&lt;=40,"(31-40)yrs",HR_table[[#This Row],[Age]]&lt;=50,"(41-50)yrs",HR_table[[#This Row],[Age]]&lt;=60,"(51-60)yrs")</f>
        <v>(31-40)yrs</v>
      </c>
      <c r="C1259" t="s">
        <v>35</v>
      </c>
      <c r="D1259" t="s">
        <v>36</v>
      </c>
      <c r="E1259" t="s">
        <v>37</v>
      </c>
      <c r="F1259" t="s">
        <v>59</v>
      </c>
      <c r="G1259" t="s">
        <v>40</v>
      </c>
      <c r="H1259">
        <v>1761</v>
      </c>
      <c r="I1259" s="2">
        <v>16</v>
      </c>
      <c r="J1259" s="2">
        <v>1</v>
      </c>
      <c r="K1259" t="s">
        <v>46</v>
      </c>
      <c r="L1259" s="2">
        <v>3</v>
      </c>
      <c r="M1259" s="2">
        <v>3</v>
      </c>
      <c r="N1259" t="s">
        <v>48</v>
      </c>
      <c r="O1259" s="2">
        <v>8161</v>
      </c>
      <c r="P1259" s="2">
        <v>19002</v>
      </c>
      <c r="Q1259" s="2">
        <v>2</v>
      </c>
      <c r="R1259" t="s">
        <v>43</v>
      </c>
      <c r="S1259" s="2">
        <v>3</v>
      </c>
      <c r="T1259" s="2">
        <v>1</v>
      </c>
      <c r="U1259">
        <v>80</v>
      </c>
      <c r="V1259" s="2">
        <v>10</v>
      </c>
      <c r="W1259">
        <v>2</v>
      </c>
      <c r="X1259">
        <v>3</v>
      </c>
      <c r="Y1259">
        <v>1</v>
      </c>
      <c r="Z1259">
        <v>0</v>
      </c>
      <c r="AA1259">
        <v>0</v>
      </c>
      <c r="AB1259">
        <v>0</v>
      </c>
    </row>
    <row r="1260" spans="1:28" x14ac:dyDescent="0.35">
      <c r="A1260" s="2">
        <v>29</v>
      </c>
      <c r="B1260" s="2" t="str" cm="1">
        <f t="array" ref="B1260">_xlfn.IFS(HR_table[[#This Row],[Age]]&lt;=20, "Under 20yrs",HR_table[[#This Row],[Age]]&lt;=30,"(21-30)yrs",HR_table[[#This Row],[Age]]&lt;=40,"(31-40)yrs",HR_table[[#This Row],[Age]]&lt;=50,"(41-50)yrs",HR_table[[#This Row],[Age]]&lt;=60,"(51-60)yrs")</f>
        <v>(21-30)yrs</v>
      </c>
      <c r="C1260" t="s">
        <v>43</v>
      </c>
      <c r="D1260" t="s">
        <v>36</v>
      </c>
      <c r="E1260" t="s">
        <v>45</v>
      </c>
      <c r="F1260" t="s">
        <v>60</v>
      </c>
      <c r="G1260" t="s">
        <v>47</v>
      </c>
      <c r="H1260">
        <v>1762</v>
      </c>
      <c r="I1260" s="2">
        <v>4</v>
      </c>
      <c r="J1260" s="2">
        <v>4</v>
      </c>
      <c r="K1260" t="s">
        <v>39</v>
      </c>
      <c r="L1260" s="2">
        <v>1</v>
      </c>
      <c r="M1260" s="2">
        <v>1</v>
      </c>
      <c r="N1260" t="s">
        <v>52</v>
      </c>
      <c r="O1260" s="2">
        <v>2109</v>
      </c>
      <c r="P1260" s="2">
        <v>10007</v>
      </c>
      <c r="Q1260" s="2">
        <v>1</v>
      </c>
      <c r="R1260" t="s">
        <v>43</v>
      </c>
      <c r="S1260" s="2">
        <v>3</v>
      </c>
      <c r="T1260" s="2">
        <v>3</v>
      </c>
      <c r="U1260">
        <v>80</v>
      </c>
      <c r="V1260" s="2">
        <v>1</v>
      </c>
      <c r="W1260">
        <v>2</v>
      </c>
      <c r="X1260">
        <v>3</v>
      </c>
      <c r="Y1260">
        <v>1</v>
      </c>
      <c r="Z1260">
        <v>0</v>
      </c>
      <c r="AA1260">
        <v>0</v>
      </c>
      <c r="AB1260">
        <v>0</v>
      </c>
    </row>
    <row r="1261" spans="1:28" x14ac:dyDescent="0.35">
      <c r="A1261" s="2">
        <v>30</v>
      </c>
      <c r="B1261" s="2" t="str" cm="1">
        <f t="array" ref="B1261">_xlfn.IFS(HR_table[[#This Row],[Age]]&lt;=20, "Under 20yrs",HR_table[[#This Row],[Age]]&lt;=30,"(21-30)yrs",HR_table[[#This Row],[Age]]&lt;=40,"(31-40)yrs",HR_table[[#This Row],[Age]]&lt;=50,"(41-50)yrs",HR_table[[#This Row],[Age]]&lt;=60,"(51-60)yrs")</f>
        <v>(21-30)yrs</v>
      </c>
      <c r="C1261" t="s">
        <v>43</v>
      </c>
      <c r="D1261" t="s">
        <v>36</v>
      </c>
      <c r="E1261" t="s">
        <v>45</v>
      </c>
      <c r="F1261" t="s">
        <v>38</v>
      </c>
      <c r="G1261" t="s">
        <v>54</v>
      </c>
      <c r="H1261">
        <v>1763</v>
      </c>
      <c r="I1261" s="2">
        <v>16</v>
      </c>
      <c r="J1261" s="2">
        <v>3</v>
      </c>
      <c r="K1261" t="s">
        <v>46</v>
      </c>
      <c r="L1261" s="2">
        <v>2</v>
      </c>
      <c r="M1261" s="2">
        <v>3</v>
      </c>
      <c r="N1261" t="s">
        <v>48</v>
      </c>
      <c r="O1261" s="2">
        <v>5294</v>
      </c>
      <c r="P1261" s="2">
        <v>9128</v>
      </c>
      <c r="Q1261" s="2">
        <v>3</v>
      </c>
      <c r="R1261" t="s">
        <v>43</v>
      </c>
      <c r="S1261" s="2">
        <v>3</v>
      </c>
      <c r="T1261" s="2">
        <v>3</v>
      </c>
      <c r="U1261">
        <v>80</v>
      </c>
      <c r="V1261" s="2">
        <v>10</v>
      </c>
      <c r="W1261">
        <v>3</v>
      </c>
      <c r="X1261">
        <v>3</v>
      </c>
      <c r="Y1261">
        <v>7</v>
      </c>
      <c r="Z1261">
        <v>0</v>
      </c>
      <c r="AA1261">
        <v>1</v>
      </c>
      <c r="AB1261">
        <v>7</v>
      </c>
    </row>
    <row r="1262" spans="1:28" x14ac:dyDescent="0.35">
      <c r="A1262" s="2">
        <v>32</v>
      </c>
      <c r="B1262" s="2" t="str" cm="1">
        <f t="array" ref="B1262">_xlfn.IFS(HR_table[[#This Row],[Age]]&lt;=20, "Under 20yrs",HR_table[[#This Row],[Age]]&lt;=30,"(21-30)yrs",HR_table[[#This Row],[Age]]&lt;=40,"(31-40)yrs",HR_table[[#This Row],[Age]]&lt;=50,"(41-50)yrs",HR_table[[#This Row],[Age]]&lt;=60,"(51-60)yrs")</f>
        <v>(31-40)yrs</v>
      </c>
      <c r="C1262" t="s">
        <v>43</v>
      </c>
      <c r="D1262" t="s">
        <v>55</v>
      </c>
      <c r="E1262" t="s">
        <v>45</v>
      </c>
      <c r="F1262" t="s">
        <v>60</v>
      </c>
      <c r="G1262" t="s">
        <v>47</v>
      </c>
      <c r="H1262">
        <v>1764</v>
      </c>
      <c r="I1262" s="2">
        <v>5</v>
      </c>
      <c r="J1262" s="2">
        <v>2</v>
      </c>
      <c r="K1262" t="s">
        <v>46</v>
      </c>
      <c r="L1262" s="2">
        <v>1</v>
      </c>
      <c r="M1262" s="2">
        <v>2</v>
      </c>
      <c r="N1262" t="s">
        <v>41</v>
      </c>
      <c r="O1262" s="2">
        <v>2718</v>
      </c>
      <c r="P1262" s="2">
        <v>17674</v>
      </c>
      <c r="Q1262" s="2">
        <v>2</v>
      </c>
      <c r="R1262" t="s">
        <v>43</v>
      </c>
      <c r="S1262" s="2">
        <v>3</v>
      </c>
      <c r="T1262" s="2">
        <v>2</v>
      </c>
      <c r="U1262">
        <v>80</v>
      </c>
      <c r="V1262" s="2">
        <v>12</v>
      </c>
      <c r="W1262">
        <v>3</v>
      </c>
      <c r="X1262">
        <v>3</v>
      </c>
      <c r="Y1262">
        <v>7</v>
      </c>
      <c r="Z1262">
        <v>7</v>
      </c>
      <c r="AA1262">
        <v>0</v>
      </c>
      <c r="AB1262">
        <v>7</v>
      </c>
    </row>
    <row r="1263" spans="1:28" x14ac:dyDescent="0.35">
      <c r="A1263" s="2">
        <v>38</v>
      </c>
      <c r="B1263" s="2" t="str" cm="1">
        <f t="array" ref="B1263">_xlfn.IFS(HR_table[[#This Row],[Age]]&lt;=20, "Under 20yrs",HR_table[[#This Row],[Age]]&lt;=30,"(21-30)yrs",HR_table[[#This Row],[Age]]&lt;=40,"(31-40)yrs",HR_table[[#This Row],[Age]]&lt;=50,"(41-50)yrs",HR_table[[#This Row],[Age]]&lt;=60,"(51-60)yrs")</f>
        <v>(31-40)yrs</v>
      </c>
      <c r="C1263" t="s">
        <v>43</v>
      </c>
      <c r="D1263" t="s">
        <v>36</v>
      </c>
      <c r="E1263" t="s">
        <v>45</v>
      </c>
      <c r="F1263" t="s">
        <v>51</v>
      </c>
      <c r="G1263" t="s">
        <v>54</v>
      </c>
      <c r="H1263">
        <v>1766</v>
      </c>
      <c r="I1263" s="2">
        <v>18</v>
      </c>
      <c r="J1263" s="2">
        <v>2</v>
      </c>
      <c r="K1263" t="s">
        <v>46</v>
      </c>
      <c r="L1263" s="2">
        <v>2</v>
      </c>
      <c r="M1263" s="2">
        <v>4</v>
      </c>
      <c r="N1263" t="s">
        <v>48</v>
      </c>
      <c r="O1263" s="2">
        <v>5811</v>
      </c>
      <c r="P1263" s="2">
        <v>24539</v>
      </c>
      <c r="Q1263" s="2">
        <v>3</v>
      </c>
      <c r="R1263" t="s">
        <v>35</v>
      </c>
      <c r="S1263" s="2">
        <v>3</v>
      </c>
      <c r="T1263" s="2">
        <v>3</v>
      </c>
      <c r="U1263">
        <v>80</v>
      </c>
      <c r="V1263" s="2">
        <v>15</v>
      </c>
      <c r="W1263">
        <v>2</v>
      </c>
      <c r="X1263">
        <v>3</v>
      </c>
      <c r="Y1263">
        <v>1</v>
      </c>
      <c r="Z1263">
        <v>0</v>
      </c>
      <c r="AA1263">
        <v>1</v>
      </c>
      <c r="AB1263">
        <v>0</v>
      </c>
    </row>
    <row r="1264" spans="1:28" x14ac:dyDescent="0.35">
      <c r="A1264" s="2">
        <v>43</v>
      </c>
      <c r="B1264" s="2" t="str" cm="1">
        <f t="array" ref="B1264">_xlfn.IFS(HR_table[[#This Row],[Age]]&lt;=20, "Under 20yrs",HR_table[[#This Row],[Age]]&lt;=30,"(21-30)yrs",HR_table[[#This Row],[Age]]&lt;=40,"(31-40)yrs",HR_table[[#This Row],[Age]]&lt;=50,"(41-50)yrs",HR_table[[#This Row],[Age]]&lt;=60,"(51-60)yrs")</f>
        <v>(41-50)yrs</v>
      </c>
      <c r="C1264" t="s">
        <v>35</v>
      </c>
      <c r="D1264" t="s">
        <v>44</v>
      </c>
      <c r="E1264" t="s">
        <v>45</v>
      </c>
      <c r="F1264" t="s">
        <v>60</v>
      </c>
      <c r="G1264" t="s">
        <v>47</v>
      </c>
      <c r="H1264">
        <v>1767</v>
      </c>
      <c r="I1264" s="2">
        <v>17</v>
      </c>
      <c r="J1264" s="2">
        <v>3</v>
      </c>
      <c r="K1264" t="s">
        <v>46</v>
      </c>
      <c r="L1264" s="2">
        <v>1</v>
      </c>
      <c r="M1264" s="2">
        <v>3</v>
      </c>
      <c r="N1264" t="s">
        <v>48</v>
      </c>
      <c r="O1264" s="2">
        <v>2437</v>
      </c>
      <c r="P1264" s="2">
        <v>15587</v>
      </c>
      <c r="Q1264" s="2">
        <v>9</v>
      </c>
      <c r="R1264" t="s">
        <v>35</v>
      </c>
      <c r="S1264" s="2">
        <v>3</v>
      </c>
      <c r="T1264" s="2">
        <v>4</v>
      </c>
      <c r="U1264">
        <v>80</v>
      </c>
      <c r="V1264" s="2">
        <v>6</v>
      </c>
      <c r="W1264">
        <v>4</v>
      </c>
      <c r="X1264">
        <v>3</v>
      </c>
      <c r="Y1264">
        <v>1</v>
      </c>
      <c r="Z1264">
        <v>0</v>
      </c>
      <c r="AA1264">
        <v>0</v>
      </c>
      <c r="AB1264">
        <v>0</v>
      </c>
    </row>
    <row r="1265" spans="1:28" x14ac:dyDescent="0.35">
      <c r="A1265" s="2">
        <v>42</v>
      </c>
      <c r="B1265" s="2" t="str" cm="1">
        <f t="array" ref="B1265">_xlfn.IFS(HR_table[[#This Row],[Age]]&lt;=20, "Under 20yrs",HR_table[[#This Row],[Age]]&lt;=30,"(21-30)yrs",HR_table[[#This Row],[Age]]&lt;=40,"(31-40)yrs",HR_table[[#This Row],[Age]]&lt;=50,"(41-50)yrs",HR_table[[#This Row],[Age]]&lt;=60,"(51-60)yrs")</f>
        <v>(41-50)yrs</v>
      </c>
      <c r="C1265" t="s">
        <v>43</v>
      </c>
      <c r="D1265" t="s">
        <v>36</v>
      </c>
      <c r="E1265" t="s">
        <v>45</v>
      </c>
      <c r="F1265" t="s">
        <v>51</v>
      </c>
      <c r="G1265" t="s">
        <v>50</v>
      </c>
      <c r="H1265">
        <v>1768</v>
      </c>
      <c r="I1265" s="2">
        <v>12</v>
      </c>
      <c r="J1265" s="2">
        <v>2</v>
      </c>
      <c r="K1265" t="s">
        <v>46</v>
      </c>
      <c r="L1265" s="2">
        <v>1</v>
      </c>
      <c r="M1265" s="2">
        <v>2</v>
      </c>
      <c r="N1265" t="s">
        <v>52</v>
      </c>
      <c r="O1265" s="2">
        <v>2766</v>
      </c>
      <c r="P1265" s="2">
        <v>8952</v>
      </c>
      <c r="Q1265" s="2">
        <v>8</v>
      </c>
      <c r="R1265" t="s">
        <v>43</v>
      </c>
      <c r="S1265" s="2">
        <v>4</v>
      </c>
      <c r="T1265" s="2">
        <v>2</v>
      </c>
      <c r="U1265">
        <v>80</v>
      </c>
      <c r="V1265" s="2">
        <v>7</v>
      </c>
      <c r="W1265">
        <v>6</v>
      </c>
      <c r="X1265">
        <v>2</v>
      </c>
      <c r="Y1265">
        <v>5</v>
      </c>
      <c r="Z1265">
        <v>3</v>
      </c>
      <c r="AA1265">
        <v>0</v>
      </c>
      <c r="AB1265">
        <v>4</v>
      </c>
    </row>
    <row r="1266" spans="1:28" x14ac:dyDescent="0.35">
      <c r="A1266" s="2">
        <v>55</v>
      </c>
      <c r="B1266" s="2" t="str" cm="1">
        <f t="array" ref="B1266">_xlfn.IFS(HR_table[[#This Row],[Age]]&lt;=20, "Under 20yrs",HR_table[[#This Row],[Age]]&lt;=30,"(21-30)yrs",HR_table[[#This Row],[Age]]&lt;=40,"(31-40)yrs",HR_table[[#This Row],[Age]]&lt;=50,"(41-50)yrs",HR_table[[#This Row],[Age]]&lt;=60,"(51-60)yrs")</f>
        <v>(51-60)yrs</v>
      </c>
      <c r="C1266" t="s">
        <v>43</v>
      </c>
      <c r="D1266" t="s">
        <v>36</v>
      </c>
      <c r="E1266" t="s">
        <v>45</v>
      </c>
      <c r="F1266" t="s">
        <v>51</v>
      </c>
      <c r="G1266" t="s">
        <v>58</v>
      </c>
      <c r="H1266">
        <v>1770</v>
      </c>
      <c r="I1266" s="2">
        <v>2</v>
      </c>
      <c r="J1266" s="2">
        <v>3</v>
      </c>
      <c r="K1266" t="s">
        <v>46</v>
      </c>
      <c r="L1266" s="2">
        <v>5</v>
      </c>
      <c r="M1266" s="2">
        <v>1</v>
      </c>
      <c r="N1266" t="s">
        <v>48</v>
      </c>
      <c r="O1266" s="2">
        <v>19038</v>
      </c>
      <c r="P1266" s="2">
        <v>19805</v>
      </c>
      <c r="Q1266" s="2">
        <v>8</v>
      </c>
      <c r="R1266" t="s">
        <v>43</v>
      </c>
      <c r="S1266" s="2">
        <v>3</v>
      </c>
      <c r="T1266" s="2">
        <v>2</v>
      </c>
      <c r="U1266">
        <v>80</v>
      </c>
      <c r="V1266" s="2">
        <v>34</v>
      </c>
      <c r="W1266">
        <v>2</v>
      </c>
      <c r="X1266">
        <v>3</v>
      </c>
      <c r="Y1266">
        <v>1</v>
      </c>
      <c r="Z1266">
        <v>0</v>
      </c>
      <c r="AA1266">
        <v>0</v>
      </c>
      <c r="AB1266">
        <v>0</v>
      </c>
    </row>
    <row r="1267" spans="1:28" x14ac:dyDescent="0.35">
      <c r="A1267" s="2">
        <v>33</v>
      </c>
      <c r="B1267" s="2" t="str" cm="1">
        <f t="array" ref="B1267">_xlfn.IFS(HR_table[[#This Row],[Age]]&lt;=20, "Under 20yrs",HR_table[[#This Row],[Age]]&lt;=30,"(21-30)yrs",HR_table[[#This Row],[Age]]&lt;=40,"(31-40)yrs",HR_table[[#This Row],[Age]]&lt;=50,"(41-50)yrs",HR_table[[#This Row],[Age]]&lt;=60,"(51-60)yrs")</f>
        <v>(31-40)yrs</v>
      </c>
      <c r="C1267" t="s">
        <v>43</v>
      </c>
      <c r="D1267" t="s">
        <v>55</v>
      </c>
      <c r="E1267" t="s">
        <v>45</v>
      </c>
      <c r="F1267" t="s">
        <v>60</v>
      </c>
      <c r="G1267" t="s">
        <v>47</v>
      </c>
      <c r="H1267">
        <v>1771</v>
      </c>
      <c r="I1267" s="2">
        <v>4</v>
      </c>
      <c r="J1267" s="2">
        <v>4</v>
      </c>
      <c r="K1267" t="s">
        <v>46</v>
      </c>
      <c r="L1267" s="2">
        <v>2</v>
      </c>
      <c r="M1267" s="2">
        <v>2</v>
      </c>
      <c r="N1267" t="s">
        <v>52</v>
      </c>
      <c r="O1267" s="2">
        <v>3055</v>
      </c>
      <c r="P1267" s="2">
        <v>6194</v>
      </c>
      <c r="Q1267" s="2">
        <v>5</v>
      </c>
      <c r="R1267" t="s">
        <v>43</v>
      </c>
      <c r="S1267" s="2">
        <v>3</v>
      </c>
      <c r="T1267" s="2">
        <v>4</v>
      </c>
      <c r="U1267">
        <v>80</v>
      </c>
      <c r="V1267" s="2">
        <v>11</v>
      </c>
      <c r="W1267">
        <v>2</v>
      </c>
      <c r="X1267">
        <v>2</v>
      </c>
      <c r="Y1267">
        <v>9</v>
      </c>
      <c r="Z1267">
        <v>8</v>
      </c>
      <c r="AA1267">
        <v>1</v>
      </c>
      <c r="AB1267">
        <v>7</v>
      </c>
    </row>
    <row r="1268" spans="1:28" x14ac:dyDescent="0.35">
      <c r="A1268" s="2">
        <v>41</v>
      </c>
      <c r="B1268" s="2" t="str" cm="1">
        <f t="array" ref="B1268">_xlfn.IFS(HR_table[[#This Row],[Age]]&lt;=20, "Under 20yrs",HR_table[[#This Row],[Age]]&lt;=30,"(21-30)yrs",HR_table[[#This Row],[Age]]&lt;=40,"(31-40)yrs",HR_table[[#This Row],[Age]]&lt;=50,"(41-50)yrs",HR_table[[#This Row],[Age]]&lt;=60,"(51-60)yrs")</f>
        <v>(41-50)yrs</v>
      </c>
      <c r="C1268" t="s">
        <v>43</v>
      </c>
      <c r="D1268" t="s">
        <v>36</v>
      </c>
      <c r="E1268" t="s">
        <v>45</v>
      </c>
      <c r="F1268" t="s">
        <v>38</v>
      </c>
      <c r="G1268" t="s">
        <v>50</v>
      </c>
      <c r="H1268">
        <v>1772</v>
      </c>
      <c r="I1268" s="2">
        <v>9</v>
      </c>
      <c r="J1268" s="2">
        <v>3</v>
      </c>
      <c r="K1268" t="s">
        <v>46</v>
      </c>
      <c r="L1268" s="2">
        <v>1</v>
      </c>
      <c r="M1268" s="2">
        <v>1</v>
      </c>
      <c r="N1268" t="s">
        <v>52</v>
      </c>
      <c r="O1268" s="2">
        <v>2289</v>
      </c>
      <c r="P1268" s="2">
        <v>20520</v>
      </c>
      <c r="Q1268" s="2">
        <v>1</v>
      </c>
      <c r="R1268" t="s">
        <v>43</v>
      </c>
      <c r="S1268" s="2">
        <v>4</v>
      </c>
      <c r="T1268" s="2">
        <v>2</v>
      </c>
      <c r="U1268">
        <v>80</v>
      </c>
      <c r="V1268" s="2">
        <v>5</v>
      </c>
      <c r="W1268">
        <v>2</v>
      </c>
      <c r="X1268">
        <v>3</v>
      </c>
      <c r="Y1268">
        <v>5</v>
      </c>
      <c r="Z1268">
        <v>3</v>
      </c>
      <c r="AA1268">
        <v>0</v>
      </c>
      <c r="AB1268">
        <v>4</v>
      </c>
    </row>
    <row r="1269" spans="1:28" x14ac:dyDescent="0.35">
      <c r="A1269" s="2">
        <v>34</v>
      </c>
      <c r="B1269" s="2" t="str" cm="1">
        <f t="array" ref="B1269">_xlfn.IFS(HR_table[[#This Row],[Age]]&lt;=20, "Under 20yrs",HR_table[[#This Row],[Age]]&lt;=30,"(21-30)yrs",HR_table[[#This Row],[Age]]&lt;=40,"(31-40)yrs",HR_table[[#This Row],[Age]]&lt;=50,"(41-50)yrs",HR_table[[#This Row],[Age]]&lt;=60,"(51-60)yrs")</f>
        <v>(31-40)yrs</v>
      </c>
      <c r="C1269" t="s">
        <v>43</v>
      </c>
      <c r="D1269" t="s">
        <v>55</v>
      </c>
      <c r="E1269" t="s">
        <v>37</v>
      </c>
      <c r="F1269" t="s">
        <v>38</v>
      </c>
      <c r="G1269" t="s">
        <v>40</v>
      </c>
      <c r="H1269">
        <v>1774</v>
      </c>
      <c r="I1269" s="2">
        <v>10</v>
      </c>
      <c r="J1269" s="2">
        <v>4</v>
      </c>
      <c r="K1269" t="s">
        <v>46</v>
      </c>
      <c r="L1269" s="2">
        <v>2</v>
      </c>
      <c r="M1269" s="2">
        <v>3</v>
      </c>
      <c r="N1269" t="s">
        <v>52</v>
      </c>
      <c r="O1269" s="2">
        <v>4001</v>
      </c>
      <c r="P1269" s="2">
        <v>12313</v>
      </c>
      <c r="Q1269" s="2">
        <v>1</v>
      </c>
      <c r="R1269" t="s">
        <v>35</v>
      </c>
      <c r="S1269" s="2">
        <v>3</v>
      </c>
      <c r="T1269" s="2">
        <v>3</v>
      </c>
      <c r="U1269">
        <v>80</v>
      </c>
      <c r="V1269" s="2">
        <v>15</v>
      </c>
      <c r="W1269">
        <v>3</v>
      </c>
      <c r="X1269">
        <v>3</v>
      </c>
      <c r="Y1269">
        <v>15</v>
      </c>
      <c r="Z1269">
        <v>14</v>
      </c>
      <c r="AA1269">
        <v>0</v>
      </c>
      <c r="AB1269">
        <v>7</v>
      </c>
    </row>
    <row r="1270" spans="1:28" x14ac:dyDescent="0.35">
      <c r="A1270" s="2">
        <v>53</v>
      </c>
      <c r="B1270" s="2" t="str" cm="1">
        <f t="array" ref="B1270">_xlfn.IFS(HR_table[[#This Row],[Age]]&lt;=20, "Under 20yrs",HR_table[[#This Row],[Age]]&lt;=30,"(21-30)yrs",HR_table[[#This Row],[Age]]&lt;=40,"(31-40)yrs",HR_table[[#This Row],[Age]]&lt;=50,"(41-50)yrs",HR_table[[#This Row],[Age]]&lt;=60,"(51-60)yrs")</f>
        <v>(51-60)yrs</v>
      </c>
      <c r="C1270" t="s">
        <v>43</v>
      </c>
      <c r="D1270" t="s">
        <v>55</v>
      </c>
      <c r="E1270" t="s">
        <v>45</v>
      </c>
      <c r="F1270" t="s">
        <v>51</v>
      </c>
      <c r="G1270" t="s">
        <v>53</v>
      </c>
      <c r="H1270">
        <v>1775</v>
      </c>
      <c r="I1270" s="2">
        <v>1</v>
      </c>
      <c r="J1270" s="2">
        <v>1</v>
      </c>
      <c r="K1270" t="s">
        <v>39</v>
      </c>
      <c r="L1270" s="2">
        <v>4</v>
      </c>
      <c r="M1270" s="2">
        <v>3</v>
      </c>
      <c r="N1270" t="s">
        <v>48</v>
      </c>
      <c r="O1270" s="2">
        <v>12965</v>
      </c>
      <c r="P1270" s="2">
        <v>22308</v>
      </c>
      <c r="Q1270" s="2">
        <v>4</v>
      </c>
      <c r="R1270" t="s">
        <v>35</v>
      </c>
      <c r="S1270" s="2">
        <v>4</v>
      </c>
      <c r="T1270" s="2">
        <v>4</v>
      </c>
      <c r="U1270">
        <v>80</v>
      </c>
      <c r="V1270" s="2">
        <v>27</v>
      </c>
      <c r="W1270">
        <v>2</v>
      </c>
      <c r="X1270">
        <v>2</v>
      </c>
      <c r="Y1270">
        <v>3</v>
      </c>
      <c r="Z1270">
        <v>2</v>
      </c>
      <c r="AA1270">
        <v>0</v>
      </c>
      <c r="AB1270">
        <v>2</v>
      </c>
    </row>
    <row r="1271" spans="1:28" x14ac:dyDescent="0.35">
      <c r="A1271" s="2">
        <v>43</v>
      </c>
      <c r="B1271" s="2" t="str" cm="1">
        <f t="array" ref="B1271">_xlfn.IFS(HR_table[[#This Row],[Age]]&lt;=20, "Under 20yrs",HR_table[[#This Row],[Age]]&lt;=30,"(21-30)yrs",HR_table[[#This Row],[Age]]&lt;=40,"(31-40)yrs",HR_table[[#This Row],[Age]]&lt;=50,"(41-50)yrs",HR_table[[#This Row],[Age]]&lt;=60,"(51-60)yrs")</f>
        <v>(41-50)yrs</v>
      </c>
      <c r="C1271" t="s">
        <v>43</v>
      </c>
      <c r="D1271" t="s">
        <v>36</v>
      </c>
      <c r="E1271" t="s">
        <v>61</v>
      </c>
      <c r="F1271" t="s">
        <v>38</v>
      </c>
      <c r="G1271" t="s">
        <v>61</v>
      </c>
      <c r="H1271">
        <v>1778</v>
      </c>
      <c r="I1271" s="2">
        <v>2</v>
      </c>
      <c r="J1271" s="2">
        <v>2</v>
      </c>
      <c r="K1271" t="s">
        <v>46</v>
      </c>
      <c r="L1271" s="2">
        <v>1</v>
      </c>
      <c r="M1271" s="2">
        <v>4</v>
      </c>
      <c r="N1271" t="s">
        <v>41</v>
      </c>
      <c r="O1271" s="2">
        <v>3539</v>
      </c>
      <c r="P1271" s="2">
        <v>5033</v>
      </c>
      <c r="Q1271" s="2">
        <v>0</v>
      </c>
      <c r="R1271" t="s">
        <v>43</v>
      </c>
      <c r="S1271" s="2">
        <v>3</v>
      </c>
      <c r="T1271" s="2">
        <v>2</v>
      </c>
      <c r="U1271">
        <v>80</v>
      </c>
      <c r="V1271" s="2">
        <v>10</v>
      </c>
      <c r="W1271">
        <v>5</v>
      </c>
      <c r="X1271">
        <v>3</v>
      </c>
      <c r="Y1271">
        <v>9</v>
      </c>
      <c r="Z1271">
        <v>7</v>
      </c>
      <c r="AA1271">
        <v>1</v>
      </c>
      <c r="AB1271">
        <v>8</v>
      </c>
    </row>
    <row r="1272" spans="1:28" x14ac:dyDescent="0.35">
      <c r="A1272" s="2">
        <v>34</v>
      </c>
      <c r="B1272" s="2" t="str" cm="1">
        <f t="array" ref="B1272">_xlfn.IFS(HR_table[[#This Row],[Age]]&lt;=20, "Under 20yrs",HR_table[[#This Row],[Age]]&lt;=30,"(21-30)yrs",HR_table[[#This Row],[Age]]&lt;=40,"(31-40)yrs",HR_table[[#This Row],[Age]]&lt;=50,"(41-50)yrs",HR_table[[#This Row],[Age]]&lt;=60,"(51-60)yrs")</f>
        <v>(31-40)yrs</v>
      </c>
      <c r="C1272" t="s">
        <v>43</v>
      </c>
      <c r="D1272" t="s">
        <v>36</v>
      </c>
      <c r="E1272" t="s">
        <v>37</v>
      </c>
      <c r="F1272" t="s">
        <v>38</v>
      </c>
      <c r="G1272" t="s">
        <v>40</v>
      </c>
      <c r="H1272">
        <v>1779</v>
      </c>
      <c r="I1272" s="2">
        <v>3</v>
      </c>
      <c r="J1272" s="2">
        <v>4</v>
      </c>
      <c r="K1272" t="s">
        <v>39</v>
      </c>
      <c r="L1272" s="2">
        <v>2</v>
      </c>
      <c r="M1272" s="2">
        <v>4</v>
      </c>
      <c r="N1272" t="s">
        <v>41</v>
      </c>
      <c r="O1272" s="2">
        <v>6029</v>
      </c>
      <c r="P1272" s="2">
        <v>25353</v>
      </c>
      <c r="Q1272" s="2">
        <v>5</v>
      </c>
      <c r="R1272" t="s">
        <v>43</v>
      </c>
      <c r="S1272" s="2">
        <v>3</v>
      </c>
      <c r="T1272" s="2">
        <v>1</v>
      </c>
      <c r="U1272">
        <v>80</v>
      </c>
      <c r="V1272" s="2">
        <v>6</v>
      </c>
      <c r="W1272">
        <v>3</v>
      </c>
      <c r="X1272">
        <v>3</v>
      </c>
      <c r="Y1272">
        <v>2</v>
      </c>
      <c r="Z1272">
        <v>2</v>
      </c>
      <c r="AA1272">
        <v>2</v>
      </c>
      <c r="AB1272">
        <v>2</v>
      </c>
    </row>
    <row r="1273" spans="1:28" x14ac:dyDescent="0.35">
      <c r="A1273" s="2">
        <v>21</v>
      </c>
      <c r="B1273" s="2" t="str" cm="1">
        <f t="array" ref="B1273">_xlfn.IFS(HR_table[[#This Row],[Age]]&lt;=20, "Under 20yrs",HR_table[[#This Row],[Age]]&lt;=30,"(21-30)yrs",HR_table[[#This Row],[Age]]&lt;=40,"(31-40)yrs",HR_table[[#This Row],[Age]]&lt;=50,"(41-50)yrs",HR_table[[#This Row],[Age]]&lt;=60,"(51-60)yrs")</f>
        <v>(21-30)yrs</v>
      </c>
      <c r="C1273" t="s">
        <v>35</v>
      </c>
      <c r="D1273" t="s">
        <v>36</v>
      </c>
      <c r="E1273" t="s">
        <v>37</v>
      </c>
      <c r="F1273" t="s">
        <v>59</v>
      </c>
      <c r="G1273" t="s">
        <v>57</v>
      </c>
      <c r="H1273">
        <v>1780</v>
      </c>
      <c r="I1273" s="2">
        <v>7</v>
      </c>
      <c r="J1273" s="2">
        <v>2</v>
      </c>
      <c r="K1273" t="s">
        <v>46</v>
      </c>
      <c r="L1273" s="2">
        <v>1</v>
      </c>
      <c r="M1273" s="2">
        <v>2</v>
      </c>
      <c r="N1273" t="s">
        <v>41</v>
      </c>
      <c r="O1273" s="2">
        <v>2679</v>
      </c>
      <c r="P1273" s="2">
        <v>4567</v>
      </c>
      <c r="Q1273" s="2">
        <v>1</v>
      </c>
      <c r="R1273" t="s">
        <v>43</v>
      </c>
      <c r="S1273" s="2">
        <v>3</v>
      </c>
      <c r="T1273" s="2">
        <v>2</v>
      </c>
      <c r="U1273">
        <v>80</v>
      </c>
      <c r="V1273" s="2">
        <v>1</v>
      </c>
      <c r="W1273">
        <v>3</v>
      </c>
      <c r="X1273">
        <v>3</v>
      </c>
      <c r="Y1273">
        <v>1</v>
      </c>
      <c r="Z1273">
        <v>0</v>
      </c>
      <c r="AA1273">
        <v>1</v>
      </c>
      <c r="AB1273">
        <v>0</v>
      </c>
    </row>
    <row r="1274" spans="1:28" x14ac:dyDescent="0.35">
      <c r="A1274" s="2">
        <v>38</v>
      </c>
      <c r="B1274" s="2" t="str" cm="1">
        <f t="array" ref="B1274">_xlfn.IFS(HR_table[[#This Row],[Age]]&lt;=20, "Under 20yrs",HR_table[[#This Row],[Age]]&lt;=30,"(21-30)yrs",HR_table[[#This Row],[Age]]&lt;=40,"(31-40)yrs",HR_table[[#This Row],[Age]]&lt;=50,"(41-50)yrs",HR_table[[#This Row],[Age]]&lt;=60,"(51-60)yrs")</f>
        <v>(31-40)yrs</v>
      </c>
      <c r="C1274" t="s">
        <v>43</v>
      </c>
      <c r="D1274" t="s">
        <v>36</v>
      </c>
      <c r="E1274" t="s">
        <v>45</v>
      </c>
      <c r="F1274" t="s">
        <v>49</v>
      </c>
      <c r="G1274" t="s">
        <v>50</v>
      </c>
      <c r="H1274">
        <v>1782</v>
      </c>
      <c r="I1274" s="2">
        <v>6</v>
      </c>
      <c r="J1274" s="2">
        <v>4</v>
      </c>
      <c r="K1274" t="s">
        <v>39</v>
      </c>
      <c r="L1274" s="2">
        <v>1</v>
      </c>
      <c r="M1274" s="2">
        <v>3</v>
      </c>
      <c r="N1274" t="s">
        <v>48</v>
      </c>
      <c r="O1274" s="2">
        <v>3702</v>
      </c>
      <c r="P1274" s="2">
        <v>16376</v>
      </c>
      <c r="Q1274" s="2">
        <v>1</v>
      </c>
      <c r="R1274" t="s">
        <v>43</v>
      </c>
      <c r="S1274" s="2">
        <v>3</v>
      </c>
      <c r="T1274" s="2">
        <v>2</v>
      </c>
      <c r="U1274">
        <v>80</v>
      </c>
      <c r="V1274" s="2">
        <v>5</v>
      </c>
      <c r="W1274">
        <v>3</v>
      </c>
      <c r="X1274">
        <v>3</v>
      </c>
      <c r="Y1274">
        <v>5</v>
      </c>
      <c r="Z1274">
        <v>4</v>
      </c>
      <c r="AA1274">
        <v>0</v>
      </c>
      <c r="AB1274">
        <v>4</v>
      </c>
    </row>
    <row r="1275" spans="1:28" x14ac:dyDescent="0.35">
      <c r="A1275" s="2">
        <v>22</v>
      </c>
      <c r="B1275" s="2" t="str" cm="1">
        <f t="array" ref="B1275">_xlfn.IFS(HR_table[[#This Row],[Age]]&lt;=20, "Under 20yrs",HR_table[[#This Row],[Age]]&lt;=30,"(21-30)yrs",HR_table[[#This Row],[Age]]&lt;=40,"(31-40)yrs",HR_table[[#This Row],[Age]]&lt;=50,"(41-50)yrs",HR_table[[#This Row],[Age]]&lt;=60,"(51-60)yrs")</f>
        <v>(21-30)yrs</v>
      </c>
      <c r="C1275" t="s">
        <v>35</v>
      </c>
      <c r="D1275" t="s">
        <v>36</v>
      </c>
      <c r="E1275" t="s">
        <v>45</v>
      </c>
      <c r="F1275" t="s">
        <v>51</v>
      </c>
      <c r="G1275" t="s">
        <v>50</v>
      </c>
      <c r="H1275">
        <v>1783</v>
      </c>
      <c r="I1275" s="2">
        <v>8</v>
      </c>
      <c r="J1275" s="2">
        <v>3</v>
      </c>
      <c r="K1275" t="s">
        <v>39</v>
      </c>
      <c r="L1275" s="2">
        <v>1</v>
      </c>
      <c r="M1275" s="2">
        <v>1</v>
      </c>
      <c r="N1275" t="s">
        <v>48</v>
      </c>
      <c r="O1275" s="2">
        <v>2398</v>
      </c>
      <c r="P1275" s="2">
        <v>15999</v>
      </c>
      <c r="Q1275" s="2">
        <v>1</v>
      </c>
      <c r="R1275" t="s">
        <v>35</v>
      </c>
      <c r="S1275" s="2">
        <v>3</v>
      </c>
      <c r="T1275" s="2">
        <v>3</v>
      </c>
      <c r="U1275">
        <v>80</v>
      </c>
      <c r="V1275" s="2">
        <v>1</v>
      </c>
      <c r="W1275">
        <v>6</v>
      </c>
      <c r="X1275">
        <v>3</v>
      </c>
      <c r="Y1275">
        <v>1</v>
      </c>
      <c r="Z1275">
        <v>0</v>
      </c>
      <c r="AA1275">
        <v>0</v>
      </c>
      <c r="AB1275">
        <v>0</v>
      </c>
    </row>
    <row r="1276" spans="1:28" x14ac:dyDescent="0.35">
      <c r="A1276" s="2">
        <v>31</v>
      </c>
      <c r="B1276" s="2" t="str" cm="1">
        <f t="array" ref="B1276">_xlfn.IFS(HR_table[[#This Row],[Age]]&lt;=20, "Under 20yrs",HR_table[[#This Row],[Age]]&lt;=30,"(21-30)yrs",HR_table[[#This Row],[Age]]&lt;=40,"(31-40)yrs",HR_table[[#This Row],[Age]]&lt;=50,"(41-50)yrs",HR_table[[#This Row],[Age]]&lt;=60,"(51-60)yrs")</f>
        <v>(31-40)yrs</v>
      </c>
      <c r="C1276" t="s">
        <v>43</v>
      </c>
      <c r="D1276" t="s">
        <v>36</v>
      </c>
      <c r="E1276" t="s">
        <v>37</v>
      </c>
      <c r="F1276" t="s">
        <v>59</v>
      </c>
      <c r="G1276" t="s">
        <v>40</v>
      </c>
      <c r="H1276">
        <v>1784</v>
      </c>
      <c r="I1276" s="2">
        <v>29</v>
      </c>
      <c r="J1276" s="2">
        <v>1</v>
      </c>
      <c r="K1276" t="s">
        <v>39</v>
      </c>
      <c r="L1276" s="2">
        <v>2</v>
      </c>
      <c r="M1276" s="2">
        <v>4</v>
      </c>
      <c r="N1276" t="s">
        <v>48</v>
      </c>
      <c r="O1276" s="2">
        <v>5468</v>
      </c>
      <c r="P1276" s="2">
        <v>13402</v>
      </c>
      <c r="Q1276" s="2">
        <v>1</v>
      </c>
      <c r="R1276" t="s">
        <v>43</v>
      </c>
      <c r="S1276" s="2">
        <v>3</v>
      </c>
      <c r="T1276" s="2">
        <v>1</v>
      </c>
      <c r="U1276">
        <v>80</v>
      </c>
      <c r="V1276" s="2">
        <v>13</v>
      </c>
      <c r="W1276">
        <v>3</v>
      </c>
      <c r="X1276">
        <v>3</v>
      </c>
      <c r="Y1276">
        <v>12</v>
      </c>
      <c r="Z1276">
        <v>7</v>
      </c>
      <c r="AA1276">
        <v>5</v>
      </c>
      <c r="AB1276">
        <v>7</v>
      </c>
    </row>
    <row r="1277" spans="1:28" x14ac:dyDescent="0.35">
      <c r="A1277" s="2">
        <v>51</v>
      </c>
      <c r="B1277" s="2" t="str" cm="1">
        <f t="array" ref="B1277">_xlfn.IFS(HR_table[[#This Row],[Age]]&lt;=20, "Under 20yrs",HR_table[[#This Row],[Age]]&lt;=30,"(21-30)yrs",HR_table[[#This Row],[Age]]&lt;=40,"(31-40)yrs",HR_table[[#This Row],[Age]]&lt;=50,"(41-50)yrs",HR_table[[#This Row],[Age]]&lt;=60,"(51-60)yrs")</f>
        <v>(51-60)yrs</v>
      </c>
      <c r="C1277" t="s">
        <v>43</v>
      </c>
      <c r="D1277" t="s">
        <v>36</v>
      </c>
      <c r="E1277" t="s">
        <v>45</v>
      </c>
      <c r="F1277" t="s">
        <v>60</v>
      </c>
      <c r="G1277" t="s">
        <v>56</v>
      </c>
      <c r="H1277">
        <v>1786</v>
      </c>
      <c r="I1277" s="2">
        <v>3</v>
      </c>
      <c r="J1277" s="2">
        <v>1</v>
      </c>
      <c r="K1277" t="s">
        <v>39</v>
      </c>
      <c r="L1277" s="2">
        <v>3</v>
      </c>
      <c r="M1277" s="2">
        <v>3</v>
      </c>
      <c r="N1277" t="s">
        <v>48</v>
      </c>
      <c r="O1277" s="2">
        <v>13116</v>
      </c>
      <c r="P1277" s="2">
        <v>22984</v>
      </c>
      <c r="Q1277" s="2">
        <v>2</v>
      </c>
      <c r="R1277" t="s">
        <v>43</v>
      </c>
      <c r="S1277" s="2">
        <v>3</v>
      </c>
      <c r="T1277" s="2">
        <v>4</v>
      </c>
      <c r="U1277">
        <v>80</v>
      </c>
      <c r="V1277" s="2">
        <v>15</v>
      </c>
      <c r="W1277">
        <v>2</v>
      </c>
      <c r="X1277">
        <v>3</v>
      </c>
      <c r="Y1277">
        <v>2</v>
      </c>
      <c r="Z1277">
        <v>2</v>
      </c>
      <c r="AA1277">
        <v>2</v>
      </c>
      <c r="AB1277">
        <v>2</v>
      </c>
    </row>
    <row r="1278" spans="1:28" x14ac:dyDescent="0.35">
      <c r="A1278" s="2">
        <v>37</v>
      </c>
      <c r="B1278" s="2" t="str" cm="1">
        <f t="array" ref="B1278">_xlfn.IFS(HR_table[[#This Row],[Age]]&lt;=20, "Under 20yrs",HR_table[[#This Row],[Age]]&lt;=30,"(21-30)yrs",HR_table[[#This Row],[Age]]&lt;=40,"(31-40)yrs",HR_table[[#This Row],[Age]]&lt;=50,"(41-50)yrs",HR_table[[#This Row],[Age]]&lt;=60,"(51-60)yrs")</f>
        <v>(31-40)yrs</v>
      </c>
      <c r="C1278" t="s">
        <v>43</v>
      </c>
      <c r="D1278" t="s">
        <v>36</v>
      </c>
      <c r="E1278" t="s">
        <v>37</v>
      </c>
      <c r="F1278" t="s">
        <v>59</v>
      </c>
      <c r="G1278" t="s">
        <v>40</v>
      </c>
      <c r="H1278">
        <v>1787</v>
      </c>
      <c r="I1278" s="2">
        <v>9</v>
      </c>
      <c r="J1278" s="2">
        <v>2</v>
      </c>
      <c r="K1278" t="s">
        <v>46</v>
      </c>
      <c r="L1278" s="2">
        <v>2</v>
      </c>
      <c r="M1278" s="2">
        <v>2</v>
      </c>
      <c r="N1278" t="s">
        <v>48</v>
      </c>
      <c r="O1278" s="2">
        <v>4189</v>
      </c>
      <c r="P1278" s="2">
        <v>8800</v>
      </c>
      <c r="Q1278" s="2">
        <v>1</v>
      </c>
      <c r="R1278" t="s">
        <v>43</v>
      </c>
      <c r="S1278" s="2">
        <v>3</v>
      </c>
      <c r="T1278" s="2">
        <v>1</v>
      </c>
      <c r="U1278">
        <v>80</v>
      </c>
      <c r="V1278" s="2">
        <v>5</v>
      </c>
      <c r="W1278">
        <v>2</v>
      </c>
      <c r="X1278">
        <v>3</v>
      </c>
      <c r="Y1278">
        <v>5</v>
      </c>
      <c r="Z1278">
        <v>2</v>
      </c>
      <c r="AA1278">
        <v>0</v>
      </c>
      <c r="AB1278">
        <v>3</v>
      </c>
    </row>
    <row r="1279" spans="1:28" x14ac:dyDescent="0.35">
      <c r="A1279" s="2">
        <v>46</v>
      </c>
      <c r="B1279" s="2" t="str" cm="1">
        <f t="array" ref="B1279">_xlfn.IFS(HR_table[[#This Row],[Age]]&lt;=20, "Under 20yrs",HR_table[[#This Row],[Age]]&lt;=30,"(21-30)yrs",HR_table[[#This Row],[Age]]&lt;=40,"(31-40)yrs",HR_table[[#This Row],[Age]]&lt;=50,"(41-50)yrs",HR_table[[#This Row],[Age]]&lt;=60,"(51-60)yrs")</f>
        <v>(41-50)yrs</v>
      </c>
      <c r="C1279" t="s">
        <v>43</v>
      </c>
      <c r="D1279" t="s">
        <v>36</v>
      </c>
      <c r="E1279" t="s">
        <v>45</v>
      </c>
      <c r="F1279" t="s">
        <v>51</v>
      </c>
      <c r="G1279" t="s">
        <v>58</v>
      </c>
      <c r="H1279">
        <v>1789</v>
      </c>
      <c r="I1279" s="2">
        <v>2</v>
      </c>
      <c r="J1279" s="2">
        <v>3</v>
      </c>
      <c r="K1279" t="s">
        <v>46</v>
      </c>
      <c r="L1279" s="2">
        <v>5</v>
      </c>
      <c r="M1279" s="2">
        <v>4</v>
      </c>
      <c r="N1279" t="s">
        <v>52</v>
      </c>
      <c r="O1279" s="2">
        <v>19328</v>
      </c>
      <c r="P1279" s="2">
        <v>14218</v>
      </c>
      <c r="Q1279" s="2">
        <v>7</v>
      </c>
      <c r="R1279" t="s">
        <v>35</v>
      </c>
      <c r="S1279" s="2">
        <v>3</v>
      </c>
      <c r="T1279" s="2">
        <v>3</v>
      </c>
      <c r="U1279">
        <v>80</v>
      </c>
      <c r="V1279" s="2">
        <v>24</v>
      </c>
      <c r="W1279">
        <v>3</v>
      </c>
      <c r="X1279">
        <v>3</v>
      </c>
      <c r="Y1279">
        <v>2</v>
      </c>
      <c r="Z1279">
        <v>1</v>
      </c>
      <c r="AA1279">
        <v>2</v>
      </c>
      <c r="AB1279">
        <v>2</v>
      </c>
    </row>
    <row r="1280" spans="1:28" x14ac:dyDescent="0.35">
      <c r="A1280" s="2">
        <v>36</v>
      </c>
      <c r="B1280" s="2" t="str" cm="1">
        <f t="array" ref="B1280">_xlfn.IFS(HR_table[[#This Row],[Age]]&lt;=20, "Under 20yrs",HR_table[[#This Row],[Age]]&lt;=30,"(21-30)yrs",HR_table[[#This Row],[Age]]&lt;=40,"(31-40)yrs",HR_table[[#This Row],[Age]]&lt;=50,"(41-50)yrs",HR_table[[#This Row],[Age]]&lt;=60,"(51-60)yrs")</f>
        <v>(31-40)yrs</v>
      </c>
      <c r="C1280" t="s">
        <v>43</v>
      </c>
      <c r="D1280" t="s">
        <v>36</v>
      </c>
      <c r="E1280" t="s">
        <v>45</v>
      </c>
      <c r="F1280" t="s">
        <v>38</v>
      </c>
      <c r="G1280" t="s">
        <v>54</v>
      </c>
      <c r="H1280">
        <v>1790</v>
      </c>
      <c r="I1280" s="2">
        <v>10</v>
      </c>
      <c r="J1280" s="2">
        <v>4</v>
      </c>
      <c r="K1280" t="s">
        <v>46</v>
      </c>
      <c r="L1280" s="2">
        <v>3</v>
      </c>
      <c r="M1280" s="2">
        <v>1</v>
      </c>
      <c r="N1280" t="s">
        <v>48</v>
      </c>
      <c r="O1280" s="2">
        <v>8321</v>
      </c>
      <c r="P1280" s="2">
        <v>25949</v>
      </c>
      <c r="Q1280" s="2">
        <v>7</v>
      </c>
      <c r="R1280" t="s">
        <v>35</v>
      </c>
      <c r="S1280" s="2">
        <v>3</v>
      </c>
      <c r="T1280" s="2">
        <v>4</v>
      </c>
      <c r="U1280">
        <v>80</v>
      </c>
      <c r="V1280" s="2">
        <v>15</v>
      </c>
      <c r="W1280">
        <v>1</v>
      </c>
      <c r="X1280">
        <v>3</v>
      </c>
      <c r="Y1280">
        <v>12</v>
      </c>
      <c r="Z1280">
        <v>8</v>
      </c>
      <c r="AA1280">
        <v>5</v>
      </c>
      <c r="AB1280">
        <v>7</v>
      </c>
    </row>
    <row r="1281" spans="1:28" x14ac:dyDescent="0.35">
      <c r="A1281" s="2">
        <v>44</v>
      </c>
      <c r="B1281" s="2" t="str" cm="1">
        <f t="array" ref="B1281">_xlfn.IFS(HR_table[[#This Row],[Age]]&lt;=20, "Under 20yrs",HR_table[[#This Row],[Age]]&lt;=30,"(21-30)yrs",HR_table[[#This Row],[Age]]&lt;=40,"(31-40)yrs",HR_table[[#This Row],[Age]]&lt;=50,"(41-50)yrs",HR_table[[#This Row],[Age]]&lt;=60,"(51-60)yrs")</f>
        <v>(41-50)yrs</v>
      </c>
      <c r="C1281" t="s">
        <v>35</v>
      </c>
      <c r="D1281" t="s">
        <v>44</v>
      </c>
      <c r="E1281" t="s">
        <v>45</v>
      </c>
      <c r="F1281" t="s">
        <v>51</v>
      </c>
      <c r="G1281" t="s">
        <v>47</v>
      </c>
      <c r="H1281">
        <v>1792</v>
      </c>
      <c r="I1281" s="2">
        <v>1</v>
      </c>
      <c r="J1281" s="2">
        <v>3</v>
      </c>
      <c r="K1281" t="s">
        <v>46</v>
      </c>
      <c r="L1281" s="2">
        <v>1</v>
      </c>
      <c r="M1281" s="2">
        <v>2</v>
      </c>
      <c r="N1281" t="s">
        <v>52</v>
      </c>
      <c r="O1281" s="2">
        <v>2342</v>
      </c>
      <c r="P1281" s="2">
        <v>11092</v>
      </c>
      <c r="Q1281" s="2">
        <v>1</v>
      </c>
      <c r="R1281" t="s">
        <v>35</v>
      </c>
      <c r="S1281" s="2">
        <v>3</v>
      </c>
      <c r="T1281" s="2">
        <v>3</v>
      </c>
      <c r="U1281">
        <v>80</v>
      </c>
      <c r="V1281" s="2">
        <v>6</v>
      </c>
      <c r="W1281">
        <v>2</v>
      </c>
      <c r="X1281">
        <v>2</v>
      </c>
      <c r="Y1281">
        <v>5</v>
      </c>
      <c r="Z1281">
        <v>3</v>
      </c>
      <c r="AA1281">
        <v>2</v>
      </c>
      <c r="AB1281">
        <v>3</v>
      </c>
    </row>
    <row r="1282" spans="1:28" x14ac:dyDescent="0.35">
      <c r="A1282" s="2">
        <v>37</v>
      </c>
      <c r="B1282" s="2" t="str" cm="1">
        <f t="array" ref="B1282">_xlfn.IFS(HR_table[[#This Row],[Age]]&lt;=20, "Under 20yrs",HR_table[[#This Row],[Age]]&lt;=30,"(21-30)yrs",HR_table[[#This Row],[Age]]&lt;=40,"(31-40)yrs",HR_table[[#This Row],[Age]]&lt;=50,"(41-50)yrs",HR_table[[#This Row],[Age]]&lt;=60,"(51-60)yrs")</f>
        <v>(31-40)yrs</v>
      </c>
      <c r="C1282" t="s">
        <v>43</v>
      </c>
      <c r="D1282" t="s">
        <v>36</v>
      </c>
      <c r="E1282" t="s">
        <v>61</v>
      </c>
      <c r="F1282" t="s">
        <v>49</v>
      </c>
      <c r="G1282" t="s">
        <v>61</v>
      </c>
      <c r="H1282">
        <v>1794</v>
      </c>
      <c r="I1282" s="2">
        <v>8</v>
      </c>
      <c r="J1282" s="2">
        <v>3</v>
      </c>
      <c r="K1282" t="s">
        <v>46</v>
      </c>
      <c r="L1282" s="2">
        <v>2</v>
      </c>
      <c r="M1282" s="2">
        <v>2</v>
      </c>
      <c r="N1282" t="s">
        <v>52</v>
      </c>
      <c r="O1282" s="2">
        <v>4071</v>
      </c>
      <c r="P1282" s="2">
        <v>12832</v>
      </c>
      <c r="Q1282" s="2">
        <v>2</v>
      </c>
      <c r="R1282" t="s">
        <v>43</v>
      </c>
      <c r="S1282" s="2">
        <v>3</v>
      </c>
      <c r="T1282" s="2">
        <v>3</v>
      </c>
      <c r="U1282">
        <v>80</v>
      </c>
      <c r="V1282" s="2">
        <v>19</v>
      </c>
      <c r="W1282">
        <v>4</v>
      </c>
      <c r="X1282">
        <v>2</v>
      </c>
      <c r="Y1282">
        <v>10</v>
      </c>
      <c r="Z1282">
        <v>0</v>
      </c>
      <c r="AA1282">
        <v>4</v>
      </c>
      <c r="AB1282">
        <v>7</v>
      </c>
    </row>
    <row r="1283" spans="1:28" x14ac:dyDescent="0.35">
      <c r="A1283" s="2">
        <v>35</v>
      </c>
      <c r="B1283" s="2" t="str" cm="1">
        <f t="array" ref="B1283">_xlfn.IFS(HR_table[[#This Row],[Age]]&lt;=20, "Under 20yrs",HR_table[[#This Row],[Age]]&lt;=30,"(21-30)yrs",HR_table[[#This Row],[Age]]&lt;=40,"(31-40)yrs",HR_table[[#This Row],[Age]]&lt;=50,"(41-50)yrs",HR_table[[#This Row],[Age]]&lt;=60,"(51-60)yrs")</f>
        <v>(31-40)yrs</v>
      </c>
      <c r="C1283" t="s">
        <v>35</v>
      </c>
      <c r="D1283" t="s">
        <v>36</v>
      </c>
      <c r="E1283" t="s">
        <v>37</v>
      </c>
      <c r="F1283" t="s">
        <v>38</v>
      </c>
      <c r="G1283" t="s">
        <v>40</v>
      </c>
      <c r="H1283">
        <v>1797</v>
      </c>
      <c r="I1283" s="2">
        <v>27</v>
      </c>
      <c r="J1283" s="2">
        <v>3</v>
      </c>
      <c r="K1283" t="s">
        <v>46</v>
      </c>
      <c r="L1283" s="2">
        <v>2</v>
      </c>
      <c r="M1283" s="2">
        <v>4</v>
      </c>
      <c r="N1283" t="s">
        <v>41</v>
      </c>
      <c r="O1283" s="2">
        <v>5813</v>
      </c>
      <c r="P1283" s="2">
        <v>13492</v>
      </c>
      <c r="Q1283" s="2">
        <v>1</v>
      </c>
      <c r="R1283" t="s">
        <v>35</v>
      </c>
      <c r="S1283" s="2">
        <v>3</v>
      </c>
      <c r="T1283" s="2">
        <v>4</v>
      </c>
      <c r="U1283">
        <v>80</v>
      </c>
      <c r="V1283" s="2">
        <v>10</v>
      </c>
      <c r="W1283">
        <v>2</v>
      </c>
      <c r="X1283">
        <v>3</v>
      </c>
      <c r="Y1283">
        <v>10</v>
      </c>
      <c r="Z1283">
        <v>7</v>
      </c>
      <c r="AA1283">
        <v>7</v>
      </c>
      <c r="AB1283">
        <v>7</v>
      </c>
    </row>
    <row r="1284" spans="1:28" x14ac:dyDescent="0.35">
      <c r="A1284" s="2">
        <v>33</v>
      </c>
      <c r="B1284" s="2" t="str" cm="1">
        <f t="array" ref="B1284">_xlfn.IFS(HR_table[[#This Row],[Age]]&lt;=20, "Under 20yrs",HR_table[[#This Row],[Age]]&lt;=30,"(21-30)yrs",HR_table[[#This Row],[Age]]&lt;=40,"(31-40)yrs",HR_table[[#This Row],[Age]]&lt;=50,"(41-50)yrs",HR_table[[#This Row],[Age]]&lt;=60,"(51-60)yrs")</f>
        <v>(31-40)yrs</v>
      </c>
      <c r="C1284" t="s">
        <v>43</v>
      </c>
      <c r="D1284" t="s">
        <v>36</v>
      </c>
      <c r="E1284" t="s">
        <v>45</v>
      </c>
      <c r="F1284" t="s">
        <v>38</v>
      </c>
      <c r="G1284" t="s">
        <v>47</v>
      </c>
      <c r="H1284">
        <v>1798</v>
      </c>
      <c r="I1284" s="2">
        <v>8</v>
      </c>
      <c r="J1284" s="2">
        <v>4</v>
      </c>
      <c r="K1284" t="s">
        <v>46</v>
      </c>
      <c r="L1284" s="2">
        <v>1</v>
      </c>
      <c r="M1284" s="2">
        <v>1</v>
      </c>
      <c r="N1284" t="s">
        <v>48</v>
      </c>
      <c r="O1284" s="2">
        <v>3143</v>
      </c>
      <c r="P1284" s="2">
        <v>6076</v>
      </c>
      <c r="Q1284" s="2">
        <v>6</v>
      </c>
      <c r="R1284" t="s">
        <v>43</v>
      </c>
      <c r="S1284" s="2">
        <v>3</v>
      </c>
      <c r="T1284" s="2">
        <v>2</v>
      </c>
      <c r="U1284">
        <v>80</v>
      </c>
      <c r="V1284" s="2">
        <v>14</v>
      </c>
      <c r="W1284">
        <v>1</v>
      </c>
      <c r="X1284">
        <v>3</v>
      </c>
      <c r="Y1284">
        <v>10</v>
      </c>
      <c r="Z1284">
        <v>8</v>
      </c>
      <c r="AA1284">
        <v>7</v>
      </c>
      <c r="AB1284">
        <v>6</v>
      </c>
    </row>
    <row r="1285" spans="1:28" x14ac:dyDescent="0.35">
      <c r="A1285" s="2">
        <v>28</v>
      </c>
      <c r="B1285" s="2" t="str" cm="1">
        <f t="array" ref="B1285">_xlfn.IFS(HR_table[[#This Row],[Age]]&lt;=20, "Under 20yrs",HR_table[[#This Row],[Age]]&lt;=30,"(21-30)yrs",HR_table[[#This Row],[Age]]&lt;=40,"(31-40)yrs",HR_table[[#This Row],[Age]]&lt;=50,"(41-50)yrs",HR_table[[#This Row],[Age]]&lt;=60,"(51-60)yrs")</f>
        <v>(21-30)yrs</v>
      </c>
      <c r="C1285" t="s">
        <v>43</v>
      </c>
      <c r="D1285" t="s">
        <v>36</v>
      </c>
      <c r="E1285" t="s">
        <v>45</v>
      </c>
      <c r="F1285" t="s">
        <v>38</v>
      </c>
      <c r="G1285" t="s">
        <v>47</v>
      </c>
      <c r="H1285">
        <v>1799</v>
      </c>
      <c r="I1285" s="2">
        <v>1</v>
      </c>
      <c r="J1285" s="2">
        <v>3</v>
      </c>
      <c r="K1285" t="s">
        <v>46</v>
      </c>
      <c r="L1285" s="2">
        <v>1</v>
      </c>
      <c r="M1285" s="2">
        <v>4</v>
      </c>
      <c r="N1285" t="s">
        <v>48</v>
      </c>
      <c r="O1285" s="2">
        <v>2044</v>
      </c>
      <c r="P1285" s="2">
        <v>5531</v>
      </c>
      <c r="Q1285" s="2">
        <v>1</v>
      </c>
      <c r="R1285" t="s">
        <v>43</v>
      </c>
      <c r="S1285" s="2">
        <v>3</v>
      </c>
      <c r="T1285" s="2">
        <v>3</v>
      </c>
      <c r="U1285">
        <v>80</v>
      </c>
      <c r="V1285" s="2">
        <v>5</v>
      </c>
      <c r="W1285">
        <v>6</v>
      </c>
      <c r="X1285">
        <v>4</v>
      </c>
      <c r="Y1285">
        <v>5</v>
      </c>
      <c r="Z1285">
        <v>3</v>
      </c>
      <c r="AA1285">
        <v>0</v>
      </c>
      <c r="AB1285">
        <v>3</v>
      </c>
    </row>
    <row r="1286" spans="1:28" x14ac:dyDescent="0.35">
      <c r="A1286" s="2">
        <v>39</v>
      </c>
      <c r="B1286" s="2" t="str" cm="1">
        <f t="array" ref="B1286">_xlfn.IFS(HR_table[[#This Row],[Age]]&lt;=20, "Under 20yrs",HR_table[[#This Row],[Age]]&lt;=30,"(21-30)yrs",HR_table[[#This Row],[Age]]&lt;=40,"(31-40)yrs",HR_table[[#This Row],[Age]]&lt;=50,"(41-50)yrs",HR_table[[#This Row],[Age]]&lt;=60,"(51-60)yrs")</f>
        <v>(31-40)yrs</v>
      </c>
      <c r="C1286" t="s">
        <v>43</v>
      </c>
      <c r="D1286" t="s">
        <v>36</v>
      </c>
      <c r="E1286" t="s">
        <v>45</v>
      </c>
      <c r="F1286" t="s">
        <v>51</v>
      </c>
      <c r="G1286" t="s">
        <v>58</v>
      </c>
      <c r="H1286">
        <v>1800</v>
      </c>
      <c r="I1286" s="2">
        <v>10</v>
      </c>
      <c r="J1286" s="2">
        <v>3</v>
      </c>
      <c r="K1286" t="s">
        <v>46</v>
      </c>
      <c r="L1286" s="2">
        <v>3</v>
      </c>
      <c r="M1286" s="2">
        <v>3</v>
      </c>
      <c r="N1286" t="s">
        <v>41</v>
      </c>
      <c r="O1286" s="2">
        <v>13464</v>
      </c>
      <c r="P1286" s="2">
        <v>7914</v>
      </c>
      <c r="Q1286" s="2">
        <v>7</v>
      </c>
      <c r="R1286" t="s">
        <v>43</v>
      </c>
      <c r="S1286" s="2">
        <v>4</v>
      </c>
      <c r="T1286" s="2">
        <v>3</v>
      </c>
      <c r="U1286">
        <v>80</v>
      </c>
      <c r="V1286" s="2">
        <v>9</v>
      </c>
      <c r="W1286">
        <v>3</v>
      </c>
      <c r="X1286">
        <v>3</v>
      </c>
      <c r="Y1286">
        <v>4</v>
      </c>
      <c r="Z1286">
        <v>3</v>
      </c>
      <c r="AA1286">
        <v>2</v>
      </c>
      <c r="AB1286">
        <v>2</v>
      </c>
    </row>
    <row r="1287" spans="1:28" x14ac:dyDescent="0.35">
      <c r="A1287" s="2">
        <v>46</v>
      </c>
      <c r="B1287" s="2" t="str" cm="1">
        <f t="array" ref="B1287">_xlfn.IFS(HR_table[[#This Row],[Age]]&lt;=20, "Under 20yrs",HR_table[[#This Row],[Age]]&lt;=30,"(21-30)yrs",HR_table[[#This Row],[Age]]&lt;=40,"(31-40)yrs",HR_table[[#This Row],[Age]]&lt;=50,"(41-50)yrs",HR_table[[#This Row],[Age]]&lt;=60,"(51-60)yrs")</f>
        <v>(41-50)yrs</v>
      </c>
      <c r="C1287" t="s">
        <v>43</v>
      </c>
      <c r="D1287" t="s">
        <v>55</v>
      </c>
      <c r="E1287" t="s">
        <v>37</v>
      </c>
      <c r="F1287" t="s">
        <v>38</v>
      </c>
      <c r="G1287" t="s">
        <v>40</v>
      </c>
      <c r="H1287">
        <v>1801</v>
      </c>
      <c r="I1287" s="2">
        <v>26</v>
      </c>
      <c r="J1287" s="2">
        <v>2</v>
      </c>
      <c r="K1287" t="s">
        <v>46</v>
      </c>
      <c r="L1287" s="2">
        <v>2</v>
      </c>
      <c r="M1287" s="2">
        <v>2</v>
      </c>
      <c r="N1287" t="s">
        <v>41</v>
      </c>
      <c r="O1287" s="2">
        <v>7991</v>
      </c>
      <c r="P1287" s="2">
        <v>25166</v>
      </c>
      <c r="Q1287" s="2">
        <v>8</v>
      </c>
      <c r="R1287" t="s">
        <v>43</v>
      </c>
      <c r="S1287" s="2">
        <v>3</v>
      </c>
      <c r="T1287" s="2">
        <v>3</v>
      </c>
      <c r="U1287">
        <v>80</v>
      </c>
      <c r="V1287" s="2">
        <v>6</v>
      </c>
      <c r="W1287">
        <v>3</v>
      </c>
      <c r="X1287">
        <v>3</v>
      </c>
      <c r="Y1287">
        <v>2</v>
      </c>
      <c r="Z1287">
        <v>2</v>
      </c>
      <c r="AA1287">
        <v>2</v>
      </c>
      <c r="AB1287">
        <v>2</v>
      </c>
    </row>
    <row r="1288" spans="1:28" x14ac:dyDescent="0.35">
      <c r="A1288" s="2">
        <v>40</v>
      </c>
      <c r="B1288" s="2" t="str" cm="1">
        <f t="array" ref="B1288">_xlfn.IFS(HR_table[[#This Row],[Age]]&lt;=20, "Under 20yrs",HR_table[[#This Row],[Age]]&lt;=30,"(21-30)yrs",HR_table[[#This Row],[Age]]&lt;=40,"(31-40)yrs",HR_table[[#This Row],[Age]]&lt;=50,"(41-50)yrs",HR_table[[#This Row],[Age]]&lt;=60,"(51-60)yrs")</f>
        <v>(31-40)yrs</v>
      </c>
      <c r="C1288" t="s">
        <v>43</v>
      </c>
      <c r="D1288" t="s">
        <v>36</v>
      </c>
      <c r="E1288" t="s">
        <v>45</v>
      </c>
      <c r="F1288" t="s">
        <v>38</v>
      </c>
      <c r="G1288" t="s">
        <v>50</v>
      </c>
      <c r="H1288">
        <v>1802</v>
      </c>
      <c r="I1288" s="2">
        <v>2</v>
      </c>
      <c r="J1288" s="2">
        <v>3</v>
      </c>
      <c r="K1288" t="s">
        <v>39</v>
      </c>
      <c r="L1288" s="2">
        <v>1</v>
      </c>
      <c r="M1288" s="2">
        <v>1</v>
      </c>
      <c r="N1288" t="s">
        <v>48</v>
      </c>
      <c r="O1288" s="2">
        <v>3377</v>
      </c>
      <c r="P1288" s="2">
        <v>25605</v>
      </c>
      <c r="Q1288" s="2">
        <v>4</v>
      </c>
      <c r="R1288" t="s">
        <v>43</v>
      </c>
      <c r="S1288" s="2">
        <v>3</v>
      </c>
      <c r="T1288" s="2">
        <v>4</v>
      </c>
      <c r="U1288">
        <v>80</v>
      </c>
      <c r="V1288" s="2">
        <v>7</v>
      </c>
      <c r="W1288">
        <v>5</v>
      </c>
      <c r="X1288">
        <v>2</v>
      </c>
      <c r="Y1288">
        <v>4</v>
      </c>
      <c r="Z1288">
        <v>3</v>
      </c>
      <c r="AA1288">
        <v>0</v>
      </c>
      <c r="AB1288">
        <v>2</v>
      </c>
    </row>
    <row r="1289" spans="1:28" x14ac:dyDescent="0.35">
      <c r="A1289" s="2">
        <v>42</v>
      </c>
      <c r="B1289" s="2" t="str" cm="1">
        <f t="array" ref="B1289">_xlfn.IFS(HR_table[[#This Row],[Age]]&lt;=20, "Under 20yrs",HR_table[[#This Row],[Age]]&lt;=30,"(21-30)yrs",HR_table[[#This Row],[Age]]&lt;=40,"(31-40)yrs",HR_table[[#This Row],[Age]]&lt;=50,"(41-50)yrs",HR_table[[#This Row],[Age]]&lt;=60,"(51-60)yrs")</f>
        <v>(41-50)yrs</v>
      </c>
      <c r="C1289" t="s">
        <v>43</v>
      </c>
      <c r="D1289" t="s">
        <v>36</v>
      </c>
      <c r="E1289" t="s">
        <v>45</v>
      </c>
      <c r="F1289" t="s">
        <v>51</v>
      </c>
      <c r="G1289" t="s">
        <v>54</v>
      </c>
      <c r="H1289">
        <v>1803</v>
      </c>
      <c r="I1289" s="2">
        <v>13</v>
      </c>
      <c r="J1289" s="2">
        <v>2</v>
      </c>
      <c r="K1289" t="s">
        <v>46</v>
      </c>
      <c r="L1289" s="2">
        <v>2</v>
      </c>
      <c r="M1289" s="2">
        <v>1</v>
      </c>
      <c r="N1289" t="s">
        <v>48</v>
      </c>
      <c r="O1289" s="2">
        <v>5538</v>
      </c>
      <c r="P1289" s="2">
        <v>5696</v>
      </c>
      <c r="Q1289" s="2">
        <v>5</v>
      </c>
      <c r="R1289" t="s">
        <v>43</v>
      </c>
      <c r="S1289" s="2">
        <v>3</v>
      </c>
      <c r="T1289" s="2">
        <v>3</v>
      </c>
      <c r="U1289">
        <v>80</v>
      </c>
      <c r="V1289" s="2">
        <v>10</v>
      </c>
      <c r="W1289">
        <v>2</v>
      </c>
      <c r="X1289">
        <v>2</v>
      </c>
      <c r="Y1289">
        <v>0</v>
      </c>
      <c r="Z1289">
        <v>0</v>
      </c>
      <c r="AA1289">
        <v>0</v>
      </c>
      <c r="AB1289">
        <v>0</v>
      </c>
    </row>
    <row r="1290" spans="1:28" x14ac:dyDescent="0.35">
      <c r="A1290" s="2">
        <v>35</v>
      </c>
      <c r="B1290" s="2" t="str" cm="1">
        <f t="array" ref="B1290">_xlfn.IFS(HR_table[[#This Row],[Age]]&lt;=20, "Under 20yrs",HR_table[[#This Row],[Age]]&lt;=30,"(21-30)yrs",HR_table[[#This Row],[Age]]&lt;=40,"(31-40)yrs",HR_table[[#This Row],[Age]]&lt;=50,"(41-50)yrs",HR_table[[#This Row],[Age]]&lt;=60,"(51-60)yrs")</f>
        <v>(31-40)yrs</v>
      </c>
      <c r="C1290" t="s">
        <v>43</v>
      </c>
      <c r="D1290" t="s">
        <v>55</v>
      </c>
      <c r="E1290" t="s">
        <v>45</v>
      </c>
      <c r="F1290" t="s">
        <v>51</v>
      </c>
      <c r="G1290" t="s">
        <v>53</v>
      </c>
      <c r="H1290">
        <v>1804</v>
      </c>
      <c r="I1290" s="2">
        <v>2</v>
      </c>
      <c r="J1290" s="2">
        <v>2</v>
      </c>
      <c r="K1290" t="s">
        <v>46</v>
      </c>
      <c r="L1290" s="2">
        <v>2</v>
      </c>
      <c r="M1290" s="2">
        <v>4</v>
      </c>
      <c r="N1290" t="s">
        <v>52</v>
      </c>
      <c r="O1290" s="2">
        <v>5762</v>
      </c>
      <c r="P1290" s="2">
        <v>24442</v>
      </c>
      <c r="Q1290" s="2">
        <v>2</v>
      </c>
      <c r="R1290" t="s">
        <v>43</v>
      </c>
      <c r="S1290" s="2">
        <v>3</v>
      </c>
      <c r="T1290" s="2">
        <v>3</v>
      </c>
      <c r="U1290">
        <v>80</v>
      </c>
      <c r="V1290" s="2">
        <v>15</v>
      </c>
      <c r="W1290">
        <v>6</v>
      </c>
      <c r="X1290">
        <v>3</v>
      </c>
      <c r="Y1290">
        <v>7</v>
      </c>
      <c r="Z1290">
        <v>7</v>
      </c>
      <c r="AA1290">
        <v>1</v>
      </c>
      <c r="AB1290">
        <v>7</v>
      </c>
    </row>
    <row r="1291" spans="1:28" x14ac:dyDescent="0.35">
      <c r="A1291" s="2">
        <v>38</v>
      </c>
      <c r="B1291" s="2" t="str" cm="1">
        <f t="array" ref="B1291">_xlfn.IFS(HR_table[[#This Row],[Age]]&lt;=20, "Under 20yrs",HR_table[[#This Row],[Age]]&lt;=30,"(21-30)yrs",HR_table[[#This Row],[Age]]&lt;=40,"(31-40)yrs",HR_table[[#This Row],[Age]]&lt;=50,"(41-50)yrs",HR_table[[#This Row],[Age]]&lt;=60,"(51-60)yrs")</f>
        <v>(31-40)yrs</v>
      </c>
      <c r="C1291" t="s">
        <v>43</v>
      </c>
      <c r="D1291" t="s">
        <v>55</v>
      </c>
      <c r="E1291" t="s">
        <v>61</v>
      </c>
      <c r="F1291" t="s">
        <v>61</v>
      </c>
      <c r="G1291" t="s">
        <v>61</v>
      </c>
      <c r="H1291">
        <v>1805</v>
      </c>
      <c r="I1291" s="2">
        <v>2</v>
      </c>
      <c r="J1291" s="2">
        <v>1</v>
      </c>
      <c r="K1291" t="s">
        <v>46</v>
      </c>
      <c r="L1291" s="2">
        <v>1</v>
      </c>
      <c r="M1291" s="2">
        <v>2</v>
      </c>
      <c r="N1291" t="s">
        <v>52</v>
      </c>
      <c r="O1291" s="2">
        <v>2592</v>
      </c>
      <c r="P1291" s="2">
        <v>7129</v>
      </c>
      <c r="Q1291" s="2">
        <v>5</v>
      </c>
      <c r="R1291" t="s">
        <v>43</v>
      </c>
      <c r="S1291" s="2">
        <v>3</v>
      </c>
      <c r="T1291" s="2">
        <v>4</v>
      </c>
      <c r="U1291">
        <v>80</v>
      </c>
      <c r="V1291" s="2">
        <v>13</v>
      </c>
      <c r="W1291">
        <v>3</v>
      </c>
      <c r="X1291">
        <v>3</v>
      </c>
      <c r="Y1291">
        <v>11</v>
      </c>
      <c r="Z1291">
        <v>10</v>
      </c>
      <c r="AA1291">
        <v>3</v>
      </c>
      <c r="AB1291">
        <v>8</v>
      </c>
    </row>
    <row r="1292" spans="1:28" x14ac:dyDescent="0.35">
      <c r="A1292" s="2">
        <v>34</v>
      </c>
      <c r="B1292" s="2" t="str" cm="1">
        <f t="array" ref="B1292">_xlfn.IFS(HR_table[[#This Row],[Age]]&lt;=20, "Under 20yrs",HR_table[[#This Row],[Age]]&lt;=30,"(21-30)yrs",HR_table[[#This Row],[Age]]&lt;=40,"(31-40)yrs",HR_table[[#This Row],[Age]]&lt;=50,"(41-50)yrs",HR_table[[#This Row],[Age]]&lt;=60,"(51-60)yrs")</f>
        <v>(31-40)yrs</v>
      </c>
      <c r="C1292" t="s">
        <v>35</v>
      </c>
      <c r="D1292" t="s">
        <v>44</v>
      </c>
      <c r="E1292" t="s">
        <v>45</v>
      </c>
      <c r="F1292" t="s">
        <v>38</v>
      </c>
      <c r="G1292" t="s">
        <v>50</v>
      </c>
      <c r="H1292">
        <v>1807</v>
      </c>
      <c r="I1292" s="2">
        <v>9</v>
      </c>
      <c r="J1292" s="2">
        <v>4</v>
      </c>
      <c r="K1292" t="s">
        <v>46</v>
      </c>
      <c r="L1292" s="2">
        <v>2</v>
      </c>
      <c r="M1292" s="2">
        <v>1</v>
      </c>
      <c r="N1292" t="s">
        <v>48</v>
      </c>
      <c r="O1292" s="2">
        <v>5346</v>
      </c>
      <c r="P1292" s="2">
        <v>6208</v>
      </c>
      <c r="Q1292" s="2">
        <v>4</v>
      </c>
      <c r="R1292" t="s">
        <v>43</v>
      </c>
      <c r="S1292" s="2">
        <v>3</v>
      </c>
      <c r="T1292" s="2">
        <v>3</v>
      </c>
      <c r="U1292">
        <v>80</v>
      </c>
      <c r="V1292" s="2">
        <v>11</v>
      </c>
      <c r="W1292">
        <v>3</v>
      </c>
      <c r="X1292">
        <v>2</v>
      </c>
      <c r="Y1292">
        <v>7</v>
      </c>
      <c r="Z1292">
        <v>1</v>
      </c>
      <c r="AA1292">
        <v>0</v>
      </c>
      <c r="AB1292">
        <v>7</v>
      </c>
    </row>
    <row r="1293" spans="1:28" x14ac:dyDescent="0.35">
      <c r="A1293" s="2">
        <v>37</v>
      </c>
      <c r="B1293" s="2" t="str" cm="1">
        <f t="array" ref="B1293">_xlfn.IFS(HR_table[[#This Row],[Age]]&lt;=20, "Under 20yrs",HR_table[[#This Row],[Age]]&lt;=30,"(21-30)yrs",HR_table[[#This Row],[Age]]&lt;=40,"(31-40)yrs",HR_table[[#This Row],[Age]]&lt;=50,"(41-50)yrs",HR_table[[#This Row],[Age]]&lt;=60,"(51-60)yrs")</f>
        <v>(31-40)yrs</v>
      </c>
      <c r="C1293" t="s">
        <v>35</v>
      </c>
      <c r="D1293" t="s">
        <v>36</v>
      </c>
      <c r="E1293" t="s">
        <v>45</v>
      </c>
      <c r="F1293" t="s">
        <v>51</v>
      </c>
      <c r="G1293" t="s">
        <v>53</v>
      </c>
      <c r="H1293">
        <v>1809</v>
      </c>
      <c r="I1293" s="2">
        <v>10</v>
      </c>
      <c r="J1293" s="2">
        <v>4</v>
      </c>
      <c r="K1293" t="s">
        <v>46</v>
      </c>
      <c r="L1293" s="2">
        <v>2</v>
      </c>
      <c r="M1293" s="2">
        <v>1</v>
      </c>
      <c r="N1293" t="s">
        <v>41</v>
      </c>
      <c r="O1293" s="2">
        <v>4213</v>
      </c>
      <c r="P1293" s="2">
        <v>4992</v>
      </c>
      <c r="Q1293" s="2">
        <v>1</v>
      </c>
      <c r="R1293" t="s">
        <v>43</v>
      </c>
      <c r="S1293" s="2">
        <v>3</v>
      </c>
      <c r="T1293" s="2">
        <v>2</v>
      </c>
      <c r="U1293">
        <v>80</v>
      </c>
      <c r="V1293" s="2">
        <v>10</v>
      </c>
      <c r="W1293">
        <v>4</v>
      </c>
      <c r="X1293">
        <v>1</v>
      </c>
      <c r="Y1293">
        <v>10</v>
      </c>
      <c r="Z1293">
        <v>3</v>
      </c>
      <c r="AA1293">
        <v>0</v>
      </c>
      <c r="AB1293">
        <v>8</v>
      </c>
    </row>
    <row r="1294" spans="1:28" x14ac:dyDescent="0.35">
      <c r="A1294" s="2">
        <v>39</v>
      </c>
      <c r="B1294" s="2" t="str" cm="1">
        <f t="array" ref="B1294">_xlfn.IFS(HR_table[[#This Row],[Age]]&lt;=20, "Under 20yrs",HR_table[[#This Row],[Age]]&lt;=30,"(21-30)yrs",HR_table[[#This Row],[Age]]&lt;=40,"(31-40)yrs",HR_table[[#This Row],[Age]]&lt;=50,"(41-50)yrs",HR_table[[#This Row],[Age]]&lt;=60,"(51-60)yrs")</f>
        <v>(31-40)yrs</v>
      </c>
      <c r="C1294" t="s">
        <v>43</v>
      </c>
      <c r="D1294" t="s">
        <v>44</v>
      </c>
      <c r="E1294" t="s">
        <v>37</v>
      </c>
      <c r="F1294" t="s">
        <v>38</v>
      </c>
      <c r="G1294" t="s">
        <v>40</v>
      </c>
      <c r="H1294">
        <v>1812</v>
      </c>
      <c r="I1294" s="2">
        <v>20</v>
      </c>
      <c r="J1294" s="2">
        <v>3</v>
      </c>
      <c r="K1294" t="s">
        <v>46</v>
      </c>
      <c r="L1294" s="2">
        <v>2</v>
      </c>
      <c r="M1294" s="2">
        <v>4</v>
      </c>
      <c r="N1294" t="s">
        <v>52</v>
      </c>
      <c r="O1294" s="2">
        <v>4127</v>
      </c>
      <c r="P1294" s="2">
        <v>19188</v>
      </c>
      <c r="Q1294" s="2">
        <v>2</v>
      </c>
      <c r="R1294" t="s">
        <v>43</v>
      </c>
      <c r="S1294" s="2">
        <v>3</v>
      </c>
      <c r="T1294" s="2">
        <v>4</v>
      </c>
      <c r="U1294">
        <v>80</v>
      </c>
      <c r="V1294" s="2">
        <v>7</v>
      </c>
      <c r="W1294">
        <v>6</v>
      </c>
      <c r="X1294">
        <v>3</v>
      </c>
      <c r="Y1294">
        <v>2</v>
      </c>
      <c r="Z1294">
        <v>1</v>
      </c>
      <c r="AA1294">
        <v>2</v>
      </c>
      <c r="AB1294">
        <v>2</v>
      </c>
    </row>
    <row r="1295" spans="1:28" x14ac:dyDescent="0.35">
      <c r="A1295" s="2">
        <v>43</v>
      </c>
      <c r="B1295" s="2" t="str" cm="1">
        <f t="array" ref="B1295">_xlfn.IFS(HR_table[[#This Row],[Age]]&lt;=20, "Under 20yrs",HR_table[[#This Row],[Age]]&lt;=30,"(21-30)yrs",HR_table[[#This Row],[Age]]&lt;=40,"(31-40)yrs",HR_table[[#This Row],[Age]]&lt;=50,"(41-50)yrs",HR_table[[#This Row],[Age]]&lt;=60,"(51-60)yrs")</f>
        <v>(41-50)yrs</v>
      </c>
      <c r="C1295" t="s">
        <v>43</v>
      </c>
      <c r="D1295" t="s">
        <v>55</v>
      </c>
      <c r="E1295" t="s">
        <v>45</v>
      </c>
      <c r="F1295" t="s">
        <v>38</v>
      </c>
      <c r="G1295" t="s">
        <v>47</v>
      </c>
      <c r="H1295">
        <v>1813</v>
      </c>
      <c r="I1295" s="2">
        <v>9</v>
      </c>
      <c r="J1295" s="2">
        <v>1</v>
      </c>
      <c r="K1295" t="s">
        <v>46</v>
      </c>
      <c r="L1295" s="2">
        <v>1</v>
      </c>
      <c r="M1295" s="2">
        <v>3</v>
      </c>
      <c r="N1295" t="s">
        <v>41</v>
      </c>
      <c r="O1295" s="2">
        <v>2438</v>
      </c>
      <c r="P1295" s="2">
        <v>24978</v>
      </c>
      <c r="Q1295" s="2">
        <v>4</v>
      </c>
      <c r="R1295" t="s">
        <v>43</v>
      </c>
      <c r="S1295" s="2">
        <v>3</v>
      </c>
      <c r="T1295" s="2">
        <v>3</v>
      </c>
      <c r="U1295">
        <v>80</v>
      </c>
      <c r="V1295" s="2">
        <v>7</v>
      </c>
      <c r="W1295">
        <v>2</v>
      </c>
      <c r="X1295">
        <v>2</v>
      </c>
      <c r="Y1295">
        <v>3</v>
      </c>
      <c r="Z1295">
        <v>2</v>
      </c>
      <c r="AA1295">
        <v>1</v>
      </c>
      <c r="AB1295">
        <v>2</v>
      </c>
    </row>
    <row r="1296" spans="1:28" x14ac:dyDescent="0.35">
      <c r="A1296" s="2">
        <v>41</v>
      </c>
      <c r="B1296" s="2" t="str" cm="1">
        <f t="array" ref="B1296">_xlfn.IFS(HR_table[[#This Row],[Age]]&lt;=20, "Under 20yrs",HR_table[[#This Row],[Age]]&lt;=30,"(21-30)yrs",HR_table[[#This Row],[Age]]&lt;=40,"(31-40)yrs",HR_table[[#This Row],[Age]]&lt;=50,"(41-50)yrs",HR_table[[#This Row],[Age]]&lt;=60,"(51-60)yrs")</f>
        <v>(41-50)yrs</v>
      </c>
      <c r="C1296" t="s">
        <v>43</v>
      </c>
      <c r="D1296" t="s">
        <v>36</v>
      </c>
      <c r="E1296" t="s">
        <v>45</v>
      </c>
      <c r="F1296" t="s">
        <v>38</v>
      </c>
      <c r="G1296" t="s">
        <v>54</v>
      </c>
      <c r="H1296">
        <v>1814</v>
      </c>
      <c r="I1296" s="2">
        <v>5</v>
      </c>
      <c r="J1296" s="2">
        <v>2</v>
      </c>
      <c r="K1296" t="s">
        <v>46</v>
      </c>
      <c r="L1296" s="2">
        <v>2</v>
      </c>
      <c r="M1296" s="2">
        <v>2</v>
      </c>
      <c r="N1296" t="s">
        <v>41</v>
      </c>
      <c r="O1296" s="2">
        <v>6870</v>
      </c>
      <c r="P1296" s="2">
        <v>15530</v>
      </c>
      <c r="Q1296" s="2">
        <v>3</v>
      </c>
      <c r="R1296" t="s">
        <v>43</v>
      </c>
      <c r="S1296" s="2">
        <v>3</v>
      </c>
      <c r="T1296" s="2">
        <v>1</v>
      </c>
      <c r="U1296">
        <v>80</v>
      </c>
      <c r="V1296" s="2">
        <v>11</v>
      </c>
      <c r="W1296">
        <v>3</v>
      </c>
      <c r="X1296">
        <v>1</v>
      </c>
      <c r="Y1296">
        <v>3</v>
      </c>
      <c r="Z1296">
        <v>2</v>
      </c>
      <c r="AA1296">
        <v>1</v>
      </c>
      <c r="AB1296">
        <v>2</v>
      </c>
    </row>
    <row r="1297" spans="1:28" x14ac:dyDescent="0.35">
      <c r="A1297" s="2">
        <v>41</v>
      </c>
      <c r="B1297" s="2" t="str" cm="1">
        <f t="array" ref="B1297">_xlfn.IFS(HR_table[[#This Row],[Age]]&lt;=20, "Under 20yrs",HR_table[[#This Row],[Age]]&lt;=30,"(21-30)yrs",HR_table[[#This Row],[Age]]&lt;=40,"(31-40)yrs",HR_table[[#This Row],[Age]]&lt;=50,"(41-50)yrs",HR_table[[#This Row],[Age]]&lt;=60,"(51-60)yrs")</f>
        <v>(41-50)yrs</v>
      </c>
      <c r="C1297" t="s">
        <v>43</v>
      </c>
      <c r="D1297" t="s">
        <v>36</v>
      </c>
      <c r="E1297" t="s">
        <v>37</v>
      </c>
      <c r="F1297" t="s">
        <v>59</v>
      </c>
      <c r="G1297" t="s">
        <v>40</v>
      </c>
      <c r="H1297">
        <v>1815</v>
      </c>
      <c r="I1297" s="2">
        <v>4</v>
      </c>
      <c r="J1297" s="2">
        <v>3</v>
      </c>
      <c r="K1297" t="s">
        <v>39</v>
      </c>
      <c r="L1297" s="2">
        <v>3</v>
      </c>
      <c r="M1297" s="2">
        <v>3</v>
      </c>
      <c r="N1297" t="s">
        <v>52</v>
      </c>
      <c r="O1297" s="2">
        <v>10447</v>
      </c>
      <c r="P1297" s="2">
        <v>26458</v>
      </c>
      <c r="Q1297" s="2">
        <v>0</v>
      </c>
      <c r="R1297" t="s">
        <v>35</v>
      </c>
      <c r="S1297" s="2">
        <v>3</v>
      </c>
      <c r="T1297" s="2">
        <v>4</v>
      </c>
      <c r="U1297">
        <v>80</v>
      </c>
      <c r="V1297" s="2">
        <v>23</v>
      </c>
      <c r="W1297">
        <v>3</v>
      </c>
      <c r="X1297">
        <v>4</v>
      </c>
      <c r="Y1297">
        <v>22</v>
      </c>
      <c r="Z1297">
        <v>14</v>
      </c>
      <c r="AA1297">
        <v>13</v>
      </c>
      <c r="AB1297">
        <v>5</v>
      </c>
    </row>
    <row r="1298" spans="1:28" x14ac:dyDescent="0.35">
      <c r="A1298" s="2">
        <v>30</v>
      </c>
      <c r="B1298" s="2" t="str" cm="1">
        <f t="array" ref="B1298">_xlfn.IFS(HR_table[[#This Row],[Age]]&lt;=20, "Under 20yrs",HR_table[[#This Row],[Age]]&lt;=30,"(21-30)yrs",HR_table[[#This Row],[Age]]&lt;=40,"(31-40)yrs",HR_table[[#This Row],[Age]]&lt;=50,"(41-50)yrs",HR_table[[#This Row],[Age]]&lt;=60,"(51-60)yrs")</f>
        <v>(21-30)yrs</v>
      </c>
      <c r="C1298" t="s">
        <v>43</v>
      </c>
      <c r="D1298" t="s">
        <v>36</v>
      </c>
      <c r="E1298" t="s">
        <v>45</v>
      </c>
      <c r="F1298" t="s">
        <v>51</v>
      </c>
      <c r="G1298" t="s">
        <v>53</v>
      </c>
      <c r="H1298">
        <v>1816</v>
      </c>
      <c r="I1298" s="2">
        <v>10</v>
      </c>
      <c r="J1298" s="2">
        <v>1</v>
      </c>
      <c r="K1298" t="s">
        <v>39</v>
      </c>
      <c r="L1298" s="2">
        <v>3</v>
      </c>
      <c r="M1298" s="2">
        <v>3</v>
      </c>
      <c r="N1298" t="s">
        <v>41</v>
      </c>
      <c r="O1298" s="2">
        <v>9667</v>
      </c>
      <c r="P1298" s="2">
        <v>2739</v>
      </c>
      <c r="Q1298" s="2">
        <v>9</v>
      </c>
      <c r="R1298" t="s">
        <v>43</v>
      </c>
      <c r="S1298" s="2">
        <v>3</v>
      </c>
      <c r="T1298" s="2">
        <v>2</v>
      </c>
      <c r="U1298">
        <v>80</v>
      </c>
      <c r="V1298" s="2">
        <v>9</v>
      </c>
      <c r="W1298">
        <v>3</v>
      </c>
      <c r="X1298">
        <v>3</v>
      </c>
      <c r="Y1298">
        <v>7</v>
      </c>
      <c r="Z1298">
        <v>7</v>
      </c>
      <c r="AA1298">
        <v>0</v>
      </c>
      <c r="AB1298">
        <v>2</v>
      </c>
    </row>
    <row r="1299" spans="1:28" x14ac:dyDescent="0.35">
      <c r="A1299" s="2">
        <v>26</v>
      </c>
      <c r="B1299" s="2" t="str" cm="1">
        <f t="array" ref="B1299">_xlfn.IFS(HR_table[[#This Row],[Age]]&lt;=20, "Under 20yrs",HR_table[[#This Row],[Age]]&lt;=30,"(21-30)yrs",HR_table[[#This Row],[Age]]&lt;=40,"(31-40)yrs",HR_table[[#This Row],[Age]]&lt;=50,"(41-50)yrs",HR_table[[#This Row],[Age]]&lt;=60,"(51-60)yrs")</f>
        <v>(21-30)yrs</v>
      </c>
      <c r="C1299" t="s">
        <v>35</v>
      </c>
      <c r="D1299" t="s">
        <v>36</v>
      </c>
      <c r="E1299" t="s">
        <v>61</v>
      </c>
      <c r="F1299" t="s">
        <v>51</v>
      </c>
      <c r="G1299" t="s">
        <v>61</v>
      </c>
      <c r="H1299">
        <v>1818</v>
      </c>
      <c r="I1299" s="2">
        <v>20</v>
      </c>
      <c r="J1299" s="2">
        <v>4</v>
      </c>
      <c r="K1299" t="s">
        <v>39</v>
      </c>
      <c r="L1299" s="2">
        <v>1</v>
      </c>
      <c r="M1299" s="2">
        <v>2</v>
      </c>
      <c r="N1299" t="s">
        <v>48</v>
      </c>
      <c r="O1299" s="2">
        <v>2148</v>
      </c>
      <c r="P1299" s="2">
        <v>6889</v>
      </c>
      <c r="Q1299" s="2">
        <v>0</v>
      </c>
      <c r="R1299" t="s">
        <v>35</v>
      </c>
      <c r="S1299" s="2">
        <v>3</v>
      </c>
      <c r="T1299" s="2">
        <v>3</v>
      </c>
      <c r="U1299">
        <v>80</v>
      </c>
      <c r="V1299" s="2">
        <v>6</v>
      </c>
      <c r="W1299">
        <v>3</v>
      </c>
      <c r="X1299">
        <v>3</v>
      </c>
      <c r="Y1299">
        <v>5</v>
      </c>
      <c r="Z1299">
        <v>1</v>
      </c>
      <c r="AA1299">
        <v>1</v>
      </c>
      <c r="AB1299">
        <v>4</v>
      </c>
    </row>
    <row r="1300" spans="1:28" x14ac:dyDescent="0.35">
      <c r="A1300" s="2">
        <v>46</v>
      </c>
      <c r="B1300" s="2" t="str" cm="1">
        <f t="array" ref="B1300">_xlfn.IFS(HR_table[[#This Row],[Age]]&lt;=20, "Under 20yrs",HR_table[[#This Row],[Age]]&lt;=30,"(21-30)yrs",HR_table[[#This Row],[Age]]&lt;=40,"(31-40)yrs",HR_table[[#This Row],[Age]]&lt;=50,"(41-50)yrs",HR_table[[#This Row],[Age]]&lt;=60,"(51-60)yrs")</f>
        <v>(41-50)yrs</v>
      </c>
      <c r="C1300" t="s">
        <v>35</v>
      </c>
      <c r="D1300" t="s">
        <v>36</v>
      </c>
      <c r="E1300" t="s">
        <v>45</v>
      </c>
      <c r="F1300" t="s">
        <v>51</v>
      </c>
      <c r="G1300" t="s">
        <v>54</v>
      </c>
      <c r="H1300">
        <v>1821</v>
      </c>
      <c r="I1300" s="2">
        <v>21</v>
      </c>
      <c r="J1300" s="2">
        <v>4</v>
      </c>
      <c r="K1300" t="s">
        <v>39</v>
      </c>
      <c r="L1300" s="2">
        <v>2</v>
      </c>
      <c r="M1300" s="2">
        <v>2</v>
      </c>
      <c r="N1300" t="s">
        <v>48</v>
      </c>
      <c r="O1300" s="2">
        <v>8926</v>
      </c>
      <c r="P1300" s="2">
        <v>10842</v>
      </c>
      <c r="Q1300" s="2">
        <v>4</v>
      </c>
      <c r="R1300" t="s">
        <v>43</v>
      </c>
      <c r="S1300" s="2">
        <v>4</v>
      </c>
      <c r="T1300" s="2">
        <v>4</v>
      </c>
      <c r="U1300">
        <v>80</v>
      </c>
      <c r="V1300" s="2">
        <v>13</v>
      </c>
      <c r="W1300">
        <v>2</v>
      </c>
      <c r="X1300">
        <v>4</v>
      </c>
      <c r="Y1300">
        <v>9</v>
      </c>
      <c r="Z1300">
        <v>7</v>
      </c>
      <c r="AA1300">
        <v>3</v>
      </c>
      <c r="AB1300">
        <v>7</v>
      </c>
    </row>
    <row r="1301" spans="1:28" x14ac:dyDescent="0.35">
      <c r="A1301" s="2">
        <v>40</v>
      </c>
      <c r="B1301" s="2" t="str" cm="1">
        <f t="array" ref="B1301">_xlfn.IFS(HR_table[[#This Row],[Age]]&lt;=20, "Under 20yrs",HR_table[[#This Row],[Age]]&lt;=30,"(21-30)yrs",HR_table[[#This Row],[Age]]&lt;=40,"(31-40)yrs",HR_table[[#This Row],[Age]]&lt;=50,"(41-50)yrs",HR_table[[#This Row],[Age]]&lt;=60,"(51-60)yrs")</f>
        <v>(31-40)yrs</v>
      </c>
      <c r="C1301" t="s">
        <v>43</v>
      </c>
      <c r="D1301" t="s">
        <v>36</v>
      </c>
      <c r="E1301" t="s">
        <v>45</v>
      </c>
      <c r="F1301" t="s">
        <v>38</v>
      </c>
      <c r="G1301" t="s">
        <v>54</v>
      </c>
      <c r="H1301">
        <v>1822</v>
      </c>
      <c r="I1301" s="2">
        <v>1</v>
      </c>
      <c r="J1301" s="2">
        <v>3</v>
      </c>
      <c r="K1301" t="s">
        <v>39</v>
      </c>
      <c r="L1301" s="2">
        <v>2</v>
      </c>
      <c r="M1301" s="2">
        <v>4</v>
      </c>
      <c r="N1301" t="s">
        <v>52</v>
      </c>
      <c r="O1301" s="2">
        <v>6513</v>
      </c>
      <c r="P1301" s="2">
        <v>9060</v>
      </c>
      <c r="Q1301" s="2">
        <v>4</v>
      </c>
      <c r="R1301" t="s">
        <v>43</v>
      </c>
      <c r="S1301" s="2">
        <v>3</v>
      </c>
      <c r="T1301" s="2">
        <v>4</v>
      </c>
      <c r="U1301">
        <v>80</v>
      </c>
      <c r="V1301" s="2">
        <v>12</v>
      </c>
      <c r="W1301">
        <v>3</v>
      </c>
      <c r="X1301">
        <v>3</v>
      </c>
      <c r="Y1301">
        <v>5</v>
      </c>
      <c r="Z1301">
        <v>3</v>
      </c>
      <c r="AA1301">
        <v>0</v>
      </c>
      <c r="AB1301">
        <v>3</v>
      </c>
    </row>
    <row r="1302" spans="1:28" x14ac:dyDescent="0.35">
      <c r="A1302" s="2">
        <v>34</v>
      </c>
      <c r="B1302" s="2" t="str" cm="1">
        <f t="array" ref="B1302">_xlfn.IFS(HR_table[[#This Row],[Age]]&lt;=20, "Under 20yrs",HR_table[[#This Row],[Age]]&lt;=30,"(21-30)yrs",HR_table[[#This Row],[Age]]&lt;=40,"(31-40)yrs",HR_table[[#This Row],[Age]]&lt;=50,"(41-50)yrs",HR_table[[#This Row],[Age]]&lt;=60,"(51-60)yrs")</f>
        <v>(31-40)yrs</v>
      </c>
      <c r="C1302" t="s">
        <v>43</v>
      </c>
      <c r="D1302" t="s">
        <v>36</v>
      </c>
      <c r="E1302" t="s">
        <v>37</v>
      </c>
      <c r="F1302" t="s">
        <v>60</v>
      </c>
      <c r="G1302" t="s">
        <v>40</v>
      </c>
      <c r="H1302">
        <v>1823</v>
      </c>
      <c r="I1302" s="2">
        <v>8</v>
      </c>
      <c r="J1302" s="2">
        <v>2</v>
      </c>
      <c r="K1302" t="s">
        <v>46</v>
      </c>
      <c r="L1302" s="2">
        <v>2</v>
      </c>
      <c r="M1302" s="2">
        <v>3</v>
      </c>
      <c r="N1302" t="s">
        <v>48</v>
      </c>
      <c r="O1302" s="2">
        <v>6799</v>
      </c>
      <c r="P1302" s="2">
        <v>22128</v>
      </c>
      <c r="Q1302" s="2">
        <v>1</v>
      </c>
      <c r="R1302" t="s">
        <v>43</v>
      </c>
      <c r="S1302" s="2">
        <v>4</v>
      </c>
      <c r="T1302" s="2">
        <v>3</v>
      </c>
      <c r="U1302">
        <v>80</v>
      </c>
      <c r="V1302" s="2">
        <v>10</v>
      </c>
      <c r="W1302">
        <v>5</v>
      </c>
      <c r="X1302">
        <v>3</v>
      </c>
      <c r="Y1302">
        <v>10</v>
      </c>
      <c r="Z1302">
        <v>8</v>
      </c>
      <c r="AA1302">
        <v>4</v>
      </c>
      <c r="AB1302">
        <v>8</v>
      </c>
    </row>
    <row r="1303" spans="1:28" x14ac:dyDescent="0.35">
      <c r="A1303" s="2">
        <v>58</v>
      </c>
      <c r="B1303" s="2" t="str" cm="1">
        <f t="array" ref="B1303">_xlfn.IFS(HR_table[[#This Row],[Age]]&lt;=20, "Under 20yrs",HR_table[[#This Row],[Age]]&lt;=30,"(21-30)yrs",HR_table[[#This Row],[Age]]&lt;=40,"(31-40)yrs",HR_table[[#This Row],[Age]]&lt;=50,"(41-50)yrs",HR_table[[#This Row],[Age]]&lt;=60,"(51-60)yrs")</f>
        <v>(51-60)yrs</v>
      </c>
      <c r="C1303" t="s">
        <v>43</v>
      </c>
      <c r="D1303" t="s">
        <v>55</v>
      </c>
      <c r="E1303" t="s">
        <v>37</v>
      </c>
      <c r="F1303" t="s">
        <v>51</v>
      </c>
      <c r="G1303" t="s">
        <v>56</v>
      </c>
      <c r="H1303">
        <v>1824</v>
      </c>
      <c r="I1303" s="2">
        <v>2</v>
      </c>
      <c r="J1303" s="2">
        <v>2</v>
      </c>
      <c r="K1303" t="s">
        <v>46</v>
      </c>
      <c r="L1303" s="2">
        <v>4</v>
      </c>
      <c r="M1303" s="2">
        <v>2</v>
      </c>
      <c r="N1303" t="s">
        <v>52</v>
      </c>
      <c r="O1303" s="2">
        <v>16291</v>
      </c>
      <c r="P1303" s="2">
        <v>22577</v>
      </c>
      <c r="Q1303" s="2">
        <v>4</v>
      </c>
      <c r="R1303" t="s">
        <v>43</v>
      </c>
      <c r="S1303" s="2">
        <v>4</v>
      </c>
      <c r="T1303" s="2">
        <v>4</v>
      </c>
      <c r="U1303">
        <v>80</v>
      </c>
      <c r="V1303" s="2">
        <v>37</v>
      </c>
      <c r="W1303">
        <v>0</v>
      </c>
      <c r="X1303">
        <v>2</v>
      </c>
      <c r="Y1303">
        <v>16</v>
      </c>
      <c r="Z1303">
        <v>9</v>
      </c>
      <c r="AA1303">
        <v>14</v>
      </c>
      <c r="AB1303">
        <v>14</v>
      </c>
    </row>
    <row r="1304" spans="1:28" x14ac:dyDescent="0.35">
      <c r="A1304" s="2">
        <v>35</v>
      </c>
      <c r="B1304" s="2" t="str" cm="1">
        <f t="array" ref="B1304">_xlfn.IFS(HR_table[[#This Row],[Age]]&lt;=20, "Under 20yrs",HR_table[[#This Row],[Age]]&lt;=30,"(21-30)yrs",HR_table[[#This Row],[Age]]&lt;=40,"(31-40)yrs",HR_table[[#This Row],[Age]]&lt;=50,"(41-50)yrs",HR_table[[#This Row],[Age]]&lt;=60,"(51-60)yrs")</f>
        <v>(31-40)yrs</v>
      </c>
      <c r="C1304" t="s">
        <v>43</v>
      </c>
      <c r="D1304" t="s">
        <v>36</v>
      </c>
      <c r="E1304" t="s">
        <v>45</v>
      </c>
      <c r="F1304" t="s">
        <v>51</v>
      </c>
      <c r="G1304" t="s">
        <v>50</v>
      </c>
      <c r="H1304">
        <v>1826</v>
      </c>
      <c r="I1304" s="2">
        <v>23</v>
      </c>
      <c r="J1304" s="2">
        <v>2</v>
      </c>
      <c r="K1304" t="s">
        <v>46</v>
      </c>
      <c r="L1304" s="2">
        <v>1</v>
      </c>
      <c r="M1304" s="2">
        <v>3</v>
      </c>
      <c r="N1304" t="s">
        <v>48</v>
      </c>
      <c r="O1304" s="2">
        <v>2705</v>
      </c>
      <c r="P1304" s="2">
        <v>9696</v>
      </c>
      <c r="Q1304" s="2">
        <v>0</v>
      </c>
      <c r="R1304" t="s">
        <v>43</v>
      </c>
      <c r="S1304" s="2">
        <v>3</v>
      </c>
      <c r="T1304" s="2">
        <v>2</v>
      </c>
      <c r="U1304">
        <v>80</v>
      </c>
      <c r="V1304" s="2">
        <v>6</v>
      </c>
      <c r="W1304">
        <v>2</v>
      </c>
      <c r="X1304">
        <v>4</v>
      </c>
      <c r="Y1304">
        <v>5</v>
      </c>
      <c r="Z1304">
        <v>4</v>
      </c>
      <c r="AA1304">
        <v>0</v>
      </c>
      <c r="AB1304">
        <v>3</v>
      </c>
    </row>
    <row r="1305" spans="1:28" x14ac:dyDescent="0.35">
      <c r="A1305" s="2">
        <v>47</v>
      </c>
      <c r="B1305" s="2" t="str" cm="1">
        <f t="array" ref="B1305">_xlfn.IFS(HR_table[[#This Row],[Age]]&lt;=20, "Under 20yrs",HR_table[[#This Row],[Age]]&lt;=30,"(21-30)yrs",HR_table[[#This Row],[Age]]&lt;=40,"(31-40)yrs",HR_table[[#This Row],[Age]]&lt;=50,"(41-50)yrs",HR_table[[#This Row],[Age]]&lt;=60,"(51-60)yrs")</f>
        <v>(41-50)yrs</v>
      </c>
      <c r="C1305" t="s">
        <v>43</v>
      </c>
      <c r="D1305" t="s">
        <v>36</v>
      </c>
      <c r="E1305" t="s">
        <v>45</v>
      </c>
      <c r="F1305" t="s">
        <v>38</v>
      </c>
      <c r="G1305" t="s">
        <v>53</v>
      </c>
      <c r="H1305">
        <v>1827</v>
      </c>
      <c r="I1305" s="2">
        <v>4</v>
      </c>
      <c r="J1305" s="2">
        <v>3</v>
      </c>
      <c r="K1305" t="s">
        <v>39</v>
      </c>
      <c r="L1305" s="2">
        <v>3</v>
      </c>
      <c r="M1305" s="2">
        <v>2</v>
      </c>
      <c r="N1305" t="s">
        <v>52</v>
      </c>
      <c r="O1305" s="2">
        <v>10333</v>
      </c>
      <c r="P1305" s="2">
        <v>19271</v>
      </c>
      <c r="Q1305" s="2">
        <v>8</v>
      </c>
      <c r="R1305" t="s">
        <v>35</v>
      </c>
      <c r="S1305" s="2">
        <v>3</v>
      </c>
      <c r="T1305" s="2">
        <v>3</v>
      </c>
      <c r="U1305">
        <v>80</v>
      </c>
      <c r="V1305" s="2">
        <v>28</v>
      </c>
      <c r="W1305">
        <v>4</v>
      </c>
      <c r="X1305">
        <v>3</v>
      </c>
      <c r="Y1305">
        <v>22</v>
      </c>
      <c r="Z1305">
        <v>11</v>
      </c>
      <c r="AA1305">
        <v>14</v>
      </c>
      <c r="AB1305">
        <v>10</v>
      </c>
    </row>
    <row r="1306" spans="1:28" x14ac:dyDescent="0.35">
      <c r="A1306" s="2">
        <v>40</v>
      </c>
      <c r="B1306" s="2" t="str" cm="1">
        <f t="array" ref="B1306">_xlfn.IFS(HR_table[[#This Row],[Age]]&lt;=20, "Under 20yrs",HR_table[[#This Row],[Age]]&lt;=30,"(21-30)yrs",HR_table[[#This Row],[Age]]&lt;=40,"(31-40)yrs",HR_table[[#This Row],[Age]]&lt;=50,"(41-50)yrs",HR_table[[#This Row],[Age]]&lt;=60,"(51-60)yrs")</f>
        <v>(31-40)yrs</v>
      </c>
      <c r="C1306" t="s">
        <v>43</v>
      </c>
      <c r="D1306" t="s">
        <v>36</v>
      </c>
      <c r="E1306" t="s">
        <v>45</v>
      </c>
      <c r="F1306" t="s">
        <v>38</v>
      </c>
      <c r="G1306" t="s">
        <v>54</v>
      </c>
      <c r="H1306">
        <v>1829</v>
      </c>
      <c r="I1306" s="2">
        <v>12</v>
      </c>
      <c r="J1306" s="2">
        <v>2</v>
      </c>
      <c r="K1306" t="s">
        <v>39</v>
      </c>
      <c r="L1306" s="2">
        <v>2</v>
      </c>
      <c r="M1306" s="2">
        <v>1</v>
      </c>
      <c r="N1306" t="s">
        <v>52</v>
      </c>
      <c r="O1306" s="2">
        <v>4448</v>
      </c>
      <c r="P1306" s="2">
        <v>10748</v>
      </c>
      <c r="Q1306" s="2">
        <v>2</v>
      </c>
      <c r="R1306" t="s">
        <v>43</v>
      </c>
      <c r="S1306" s="2">
        <v>3</v>
      </c>
      <c r="T1306" s="2">
        <v>2</v>
      </c>
      <c r="U1306">
        <v>80</v>
      </c>
      <c r="V1306" s="2">
        <v>15</v>
      </c>
      <c r="W1306">
        <v>3</v>
      </c>
      <c r="X1306">
        <v>3</v>
      </c>
      <c r="Y1306">
        <v>7</v>
      </c>
      <c r="Z1306">
        <v>4</v>
      </c>
      <c r="AA1306">
        <v>7</v>
      </c>
      <c r="AB1306">
        <v>7</v>
      </c>
    </row>
    <row r="1307" spans="1:28" x14ac:dyDescent="0.35">
      <c r="A1307" s="2">
        <v>54</v>
      </c>
      <c r="B1307" s="2" t="str" cm="1">
        <f t="array" ref="B1307">_xlfn.IFS(HR_table[[#This Row],[Age]]&lt;=20, "Under 20yrs",HR_table[[#This Row],[Age]]&lt;=30,"(21-30)yrs",HR_table[[#This Row],[Age]]&lt;=40,"(31-40)yrs",HR_table[[#This Row],[Age]]&lt;=50,"(41-50)yrs",HR_table[[#This Row],[Age]]&lt;=60,"(51-60)yrs")</f>
        <v>(51-60)yrs</v>
      </c>
      <c r="C1307" t="s">
        <v>43</v>
      </c>
      <c r="D1307" t="s">
        <v>36</v>
      </c>
      <c r="E1307" t="s">
        <v>45</v>
      </c>
      <c r="F1307" t="s">
        <v>51</v>
      </c>
      <c r="G1307" t="s">
        <v>47</v>
      </c>
      <c r="H1307">
        <v>1830</v>
      </c>
      <c r="I1307" s="2">
        <v>7</v>
      </c>
      <c r="J1307" s="2">
        <v>4</v>
      </c>
      <c r="K1307" t="s">
        <v>39</v>
      </c>
      <c r="L1307" s="2">
        <v>2</v>
      </c>
      <c r="M1307" s="2">
        <v>4</v>
      </c>
      <c r="N1307" t="s">
        <v>48</v>
      </c>
      <c r="O1307" s="2">
        <v>6854</v>
      </c>
      <c r="P1307" s="2">
        <v>15696</v>
      </c>
      <c r="Q1307" s="2">
        <v>4</v>
      </c>
      <c r="R1307" t="s">
        <v>43</v>
      </c>
      <c r="S1307" s="2">
        <v>3</v>
      </c>
      <c r="T1307" s="2">
        <v>2</v>
      </c>
      <c r="U1307">
        <v>80</v>
      </c>
      <c r="V1307" s="2">
        <v>14</v>
      </c>
      <c r="W1307">
        <v>2</v>
      </c>
      <c r="X1307">
        <v>2</v>
      </c>
      <c r="Y1307">
        <v>7</v>
      </c>
      <c r="Z1307">
        <v>1</v>
      </c>
      <c r="AA1307">
        <v>1</v>
      </c>
      <c r="AB1307">
        <v>7</v>
      </c>
    </row>
    <row r="1308" spans="1:28" x14ac:dyDescent="0.35">
      <c r="A1308" s="2">
        <v>31</v>
      </c>
      <c r="B1308" s="2" t="str" cm="1">
        <f t="array" ref="B1308">_xlfn.IFS(HR_table[[#This Row],[Age]]&lt;=20, "Under 20yrs",HR_table[[#This Row],[Age]]&lt;=30,"(21-30)yrs",HR_table[[#This Row],[Age]]&lt;=40,"(31-40)yrs",HR_table[[#This Row],[Age]]&lt;=50,"(41-50)yrs",HR_table[[#This Row],[Age]]&lt;=60,"(51-60)yrs")</f>
        <v>(31-40)yrs</v>
      </c>
      <c r="C1308" t="s">
        <v>43</v>
      </c>
      <c r="D1308" t="s">
        <v>44</v>
      </c>
      <c r="E1308" t="s">
        <v>37</v>
      </c>
      <c r="F1308" t="s">
        <v>59</v>
      </c>
      <c r="G1308" t="s">
        <v>40</v>
      </c>
      <c r="H1308">
        <v>1833</v>
      </c>
      <c r="I1308" s="2">
        <v>7</v>
      </c>
      <c r="J1308" s="2">
        <v>1</v>
      </c>
      <c r="K1308" t="s">
        <v>39</v>
      </c>
      <c r="L1308" s="2">
        <v>3</v>
      </c>
      <c r="M1308" s="2">
        <v>1</v>
      </c>
      <c r="N1308" t="s">
        <v>48</v>
      </c>
      <c r="O1308" s="2">
        <v>9637</v>
      </c>
      <c r="P1308" s="2">
        <v>8277</v>
      </c>
      <c r="Q1308" s="2">
        <v>2</v>
      </c>
      <c r="R1308" t="s">
        <v>43</v>
      </c>
      <c r="S1308" s="2">
        <v>3</v>
      </c>
      <c r="T1308" s="2">
        <v>4</v>
      </c>
      <c r="U1308">
        <v>80</v>
      </c>
      <c r="V1308" s="2">
        <v>9</v>
      </c>
      <c r="W1308">
        <v>3</v>
      </c>
      <c r="X1308">
        <v>3</v>
      </c>
      <c r="Y1308">
        <v>3</v>
      </c>
      <c r="Z1308">
        <v>2</v>
      </c>
      <c r="AA1308">
        <v>2</v>
      </c>
      <c r="AB1308">
        <v>2</v>
      </c>
    </row>
    <row r="1309" spans="1:28" x14ac:dyDescent="0.35">
      <c r="A1309" s="2">
        <v>28</v>
      </c>
      <c r="B1309" s="2" t="str" cm="1">
        <f t="array" ref="B1309">_xlfn.IFS(HR_table[[#This Row],[Age]]&lt;=20, "Under 20yrs",HR_table[[#This Row],[Age]]&lt;=30,"(21-30)yrs",HR_table[[#This Row],[Age]]&lt;=40,"(31-40)yrs",HR_table[[#This Row],[Age]]&lt;=50,"(41-50)yrs",HR_table[[#This Row],[Age]]&lt;=60,"(51-60)yrs")</f>
        <v>(21-30)yrs</v>
      </c>
      <c r="C1309" t="s">
        <v>43</v>
      </c>
      <c r="D1309" t="s">
        <v>36</v>
      </c>
      <c r="E1309" t="s">
        <v>45</v>
      </c>
      <c r="F1309" t="s">
        <v>51</v>
      </c>
      <c r="G1309" t="s">
        <v>47</v>
      </c>
      <c r="H1309">
        <v>1834</v>
      </c>
      <c r="I1309" s="2">
        <v>1</v>
      </c>
      <c r="J1309" s="2">
        <v>3</v>
      </c>
      <c r="K1309" t="s">
        <v>39</v>
      </c>
      <c r="L1309" s="2">
        <v>1</v>
      </c>
      <c r="M1309" s="2">
        <v>1</v>
      </c>
      <c r="N1309" t="s">
        <v>48</v>
      </c>
      <c r="O1309" s="2">
        <v>3591</v>
      </c>
      <c r="P1309" s="2">
        <v>12719</v>
      </c>
      <c r="Q1309" s="2">
        <v>1</v>
      </c>
      <c r="R1309" t="s">
        <v>43</v>
      </c>
      <c r="S1309" s="2">
        <v>4</v>
      </c>
      <c r="T1309" s="2">
        <v>3</v>
      </c>
      <c r="U1309">
        <v>80</v>
      </c>
      <c r="V1309" s="2">
        <v>3</v>
      </c>
      <c r="W1309">
        <v>3</v>
      </c>
      <c r="X1309">
        <v>3</v>
      </c>
      <c r="Y1309">
        <v>3</v>
      </c>
      <c r="Z1309">
        <v>2</v>
      </c>
      <c r="AA1309">
        <v>1</v>
      </c>
      <c r="AB1309">
        <v>2</v>
      </c>
    </row>
    <row r="1310" spans="1:28" x14ac:dyDescent="0.35">
      <c r="A1310" s="2">
        <v>38</v>
      </c>
      <c r="B1310" s="2" t="str" cm="1">
        <f t="array" ref="B1310">_xlfn.IFS(HR_table[[#This Row],[Age]]&lt;=20, "Under 20yrs",HR_table[[#This Row],[Age]]&lt;=30,"(21-30)yrs",HR_table[[#This Row],[Age]]&lt;=40,"(31-40)yrs",HR_table[[#This Row],[Age]]&lt;=50,"(41-50)yrs",HR_table[[#This Row],[Age]]&lt;=60,"(51-60)yrs")</f>
        <v>(31-40)yrs</v>
      </c>
      <c r="C1310" t="s">
        <v>43</v>
      </c>
      <c r="D1310" t="s">
        <v>36</v>
      </c>
      <c r="E1310" t="s">
        <v>37</v>
      </c>
      <c r="F1310" t="s">
        <v>59</v>
      </c>
      <c r="G1310" t="s">
        <v>57</v>
      </c>
      <c r="H1310">
        <v>1835</v>
      </c>
      <c r="I1310" s="2">
        <v>2</v>
      </c>
      <c r="J1310" s="2">
        <v>2</v>
      </c>
      <c r="K1310" t="s">
        <v>39</v>
      </c>
      <c r="L1310" s="2">
        <v>2</v>
      </c>
      <c r="M1310" s="2">
        <v>4</v>
      </c>
      <c r="N1310" t="s">
        <v>48</v>
      </c>
      <c r="O1310" s="2">
        <v>5405</v>
      </c>
      <c r="P1310" s="2">
        <v>4244</v>
      </c>
      <c r="Q1310" s="2">
        <v>2</v>
      </c>
      <c r="R1310" t="s">
        <v>35</v>
      </c>
      <c r="S1310" s="2">
        <v>4</v>
      </c>
      <c r="T1310" s="2">
        <v>1</v>
      </c>
      <c r="U1310">
        <v>80</v>
      </c>
      <c r="V1310" s="2">
        <v>20</v>
      </c>
      <c r="W1310">
        <v>4</v>
      </c>
      <c r="X1310">
        <v>2</v>
      </c>
      <c r="Y1310">
        <v>4</v>
      </c>
      <c r="Z1310">
        <v>2</v>
      </c>
      <c r="AA1310">
        <v>0</v>
      </c>
      <c r="AB1310">
        <v>3</v>
      </c>
    </row>
    <row r="1311" spans="1:28" x14ac:dyDescent="0.35">
      <c r="A1311" s="2">
        <v>26</v>
      </c>
      <c r="B1311" s="2" t="str" cm="1">
        <f t="array" ref="B1311">_xlfn.IFS(HR_table[[#This Row],[Age]]&lt;=20, "Under 20yrs",HR_table[[#This Row],[Age]]&lt;=30,"(21-30)yrs",HR_table[[#This Row],[Age]]&lt;=40,"(31-40)yrs",HR_table[[#This Row],[Age]]&lt;=50,"(41-50)yrs",HR_table[[#This Row],[Age]]&lt;=60,"(51-60)yrs")</f>
        <v>(21-30)yrs</v>
      </c>
      <c r="C1311" t="s">
        <v>43</v>
      </c>
      <c r="D1311" t="s">
        <v>36</v>
      </c>
      <c r="E1311" t="s">
        <v>37</v>
      </c>
      <c r="F1311" t="s">
        <v>51</v>
      </c>
      <c r="G1311" t="s">
        <v>40</v>
      </c>
      <c r="H1311">
        <v>1836</v>
      </c>
      <c r="I1311" s="2">
        <v>10</v>
      </c>
      <c r="J1311" s="2">
        <v>3</v>
      </c>
      <c r="K1311" t="s">
        <v>46</v>
      </c>
      <c r="L1311" s="2">
        <v>2</v>
      </c>
      <c r="M1311" s="2">
        <v>4</v>
      </c>
      <c r="N1311" t="s">
        <v>41</v>
      </c>
      <c r="O1311" s="2">
        <v>4684</v>
      </c>
      <c r="P1311" s="2">
        <v>9125</v>
      </c>
      <c r="Q1311" s="2">
        <v>1</v>
      </c>
      <c r="R1311" t="s">
        <v>43</v>
      </c>
      <c r="S1311" s="2">
        <v>3</v>
      </c>
      <c r="T1311" s="2">
        <v>1</v>
      </c>
      <c r="U1311">
        <v>80</v>
      </c>
      <c r="V1311" s="2">
        <v>5</v>
      </c>
      <c r="W1311">
        <v>4</v>
      </c>
      <c r="X1311">
        <v>3</v>
      </c>
      <c r="Y1311">
        <v>5</v>
      </c>
      <c r="Z1311">
        <v>3</v>
      </c>
      <c r="AA1311">
        <v>1</v>
      </c>
      <c r="AB1311">
        <v>2</v>
      </c>
    </row>
    <row r="1312" spans="1:28" x14ac:dyDescent="0.35">
      <c r="A1312" s="2">
        <v>58</v>
      </c>
      <c r="B1312" s="2" t="str" cm="1">
        <f t="array" ref="B1312">_xlfn.IFS(HR_table[[#This Row],[Age]]&lt;=20, "Under 20yrs",HR_table[[#This Row],[Age]]&lt;=30,"(21-30)yrs",HR_table[[#This Row],[Age]]&lt;=40,"(31-40)yrs",HR_table[[#This Row],[Age]]&lt;=50,"(41-50)yrs",HR_table[[#This Row],[Age]]&lt;=60,"(51-60)yrs")</f>
        <v>(51-60)yrs</v>
      </c>
      <c r="C1312" t="s">
        <v>43</v>
      </c>
      <c r="D1312" t="s">
        <v>44</v>
      </c>
      <c r="E1312" t="s">
        <v>45</v>
      </c>
      <c r="F1312" t="s">
        <v>38</v>
      </c>
      <c r="G1312" t="s">
        <v>58</v>
      </c>
      <c r="H1312">
        <v>1837</v>
      </c>
      <c r="I1312" s="2">
        <v>15</v>
      </c>
      <c r="J1312" s="2">
        <v>1</v>
      </c>
      <c r="K1312" t="s">
        <v>46</v>
      </c>
      <c r="L1312" s="2">
        <v>4</v>
      </c>
      <c r="M1312" s="2">
        <v>3</v>
      </c>
      <c r="N1312" t="s">
        <v>48</v>
      </c>
      <c r="O1312" s="2">
        <v>15787</v>
      </c>
      <c r="P1312" s="2">
        <v>21624</v>
      </c>
      <c r="Q1312" s="2">
        <v>2</v>
      </c>
      <c r="R1312" t="s">
        <v>35</v>
      </c>
      <c r="S1312" s="2">
        <v>3</v>
      </c>
      <c r="T1312" s="2">
        <v>2</v>
      </c>
      <c r="U1312">
        <v>80</v>
      </c>
      <c r="V1312" s="2">
        <v>23</v>
      </c>
      <c r="W1312">
        <v>3</v>
      </c>
      <c r="X1312">
        <v>3</v>
      </c>
      <c r="Y1312">
        <v>2</v>
      </c>
      <c r="Z1312">
        <v>2</v>
      </c>
      <c r="AA1312">
        <v>2</v>
      </c>
      <c r="AB1312">
        <v>2</v>
      </c>
    </row>
    <row r="1313" spans="1:28" x14ac:dyDescent="0.35">
      <c r="A1313" s="2">
        <v>18</v>
      </c>
      <c r="B1313" s="2" t="str" cm="1">
        <f t="array" ref="B1313">_xlfn.IFS(HR_table[[#This Row],[Age]]&lt;=20, "Under 20yrs",HR_table[[#This Row],[Age]]&lt;=30,"(21-30)yrs",HR_table[[#This Row],[Age]]&lt;=40,"(31-40)yrs",HR_table[[#This Row],[Age]]&lt;=50,"(41-50)yrs",HR_table[[#This Row],[Age]]&lt;=60,"(51-60)yrs")</f>
        <v>Under 20yrs</v>
      </c>
      <c r="C1313" t="s">
        <v>43</v>
      </c>
      <c r="D1313" t="s">
        <v>55</v>
      </c>
      <c r="E1313" t="s">
        <v>45</v>
      </c>
      <c r="F1313" t="s">
        <v>51</v>
      </c>
      <c r="G1313" t="s">
        <v>47</v>
      </c>
      <c r="H1313">
        <v>1839</v>
      </c>
      <c r="I1313" s="2">
        <v>14</v>
      </c>
      <c r="J1313" s="2">
        <v>2</v>
      </c>
      <c r="K1313" t="s">
        <v>39</v>
      </c>
      <c r="L1313" s="2">
        <v>1</v>
      </c>
      <c r="M1313" s="2">
        <v>3</v>
      </c>
      <c r="N1313" t="s">
        <v>41</v>
      </c>
      <c r="O1313" s="2">
        <v>1514</v>
      </c>
      <c r="P1313" s="2">
        <v>8018</v>
      </c>
      <c r="Q1313" s="2">
        <v>1</v>
      </c>
      <c r="R1313" t="s">
        <v>43</v>
      </c>
      <c r="S1313" s="2">
        <v>3</v>
      </c>
      <c r="T1313" s="2">
        <v>3</v>
      </c>
      <c r="U1313">
        <v>80</v>
      </c>
      <c r="V1313" s="2">
        <v>0</v>
      </c>
      <c r="W1313">
        <v>4</v>
      </c>
      <c r="X1313">
        <v>1</v>
      </c>
      <c r="Y1313">
        <v>0</v>
      </c>
      <c r="Z1313">
        <v>0</v>
      </c>
      <c r="AA1313">
        <v>0</v>
      </c>
      <c r="AB1313">
        <v>0</v>
      </c>
    </row>
    <row r="1314" spans="1:28" x14ac:dyDescent="0.35">
      <c r="A1314" s="2">
        <v>31</v>
      </c>
      <c r="B1314" s="2" t="str" cm="1">
        <f t="array" ref="B1314">_xlfn.IFS(HR_table[[#This Row],[Age]]&lt;=20, "Under 20yrs",HR_table[[#This Row],[Age]]&lt;=30,"(21-30)yrs",HR_table[[#This Row],[Age]]&lt;=40,"(31-40)yrs",HR_table[[#This Row],[Age]]&lt;=50,"(41-50)yrs",HR_table[[#This Row],[Age]]&lt;=60,"(51-60)yrs")</f>
        <v>(31-40)yrs</v>
      </c>
      <c r="C1314" t="s">
        <v>35</v>
      </c>
      <c r="D1314" t="s">
        <v>36</v>
      </c>
      <c r="E1314" t="s">
        <v>61</v>
      </c>
      <c r="F1314" t="s">
        <v>61</v>
      </c>
      <c r="G1314" t="s">
        <v>61</v>
      </c>
      <c r="H1314">
        <v>1842</v>
      </c>
      <c r="I1314" s="2">
        <v>18</v>
      </c>
      <c r="J1314" s="2">
        <v>4</v>
      </c>
      <c r="K1314" t="s">
        <v>46</v>
      </c>
      <c r="L1314" s="2">
        <v>1</v>
      </c>
      <c r="M1314" s="2">
        <v>1</v>
      </c>
      <c r="N1314" t="s">
        <v>48</v>
      </c>
      <c r="O1314" s="2">
        <v>2956</v>
      </c>
      <c r="P1314" s="2">
        <v>21495</v>
      </c>
      <c r="Q1314" s="2">
        <v>0</v>
      </c>
      <c r="R1314" t="s">
        <v>43</v>
      </c>
      <c r="S1314" s="2">
        <v>3</v>
      </c>
      <c r="T1314" s="2">
        <v>3</v>
      </c>
      <c r="U1314">
        <v>80</v>
      </c>
      <c r="V1314" s="2">
        <v>2</v>
      </c>
      <c r="W1314">
        <v>4</v>
      </c>
      <c r="X1314">
        <v>3</v>
      </c>
      <c r="Y1314">
        <v>1</v>
      </c>
      <c r="Z1314">
        <v>0</v>
      </c>
      <c r="AA1314">
        <v>0</v>
      </c>
      <c r="AB1314">
        <v>0</v>
      </c>
    </row>
    <row r="1315" spans="1:28" x14ac:dyDescent="0.35">
      <c r="A1315" s="2">
        <v>29</v>
      </c>
      <c r="B1315" s="2" t="str" cm="1">
        <f t="array" ref="B1315">_xlfn.IFS(HR_table[[#This Row],[Age]]&lt;=20, "Under 20yrs",HR_table[[#This Row],[Age]]&lt;=30,"(21-30)yrs",HR_table[[#This Row],[Age]]&lt;=40,"(31-40)yrs",HR_table[[#This Row],[Age]]&lt;=50,"(41-50)yrs",HR_table[[#This Row],[Age]]&lt;=60,"(51-60)yrs")</f>
        <v>(21-30)yrs</v>
      </c>
      <c r="C1315" t="s">
        <v>35</v>
      </c>
      <c r="D1315" t="s">
        <v>36</v>
      </c>
      <c r="E1315" t="s">
        <v>61</v>
      </c>
      <c r="F1315" t="s">
        <v>61</v>
      </c>
      <c r="G1315" t="s">
        <v>61</v>
      </c>
      <c r="H1315">
        <v>1844</v>
      </c>
      <c r="I1315" s="2">
        <v>13</v>
      </c>
      <c r="J1315" s="2">
        <v>1</v>
      </c>
      <c r="K1315" t="s">
        <v>46</v>
      </c>
      <c r="L1315" s="2">
        <v>1</v>
      </c>
      <c r="M1315" s="2">
        <v>1</v>
      </c>
      <c r="N1315" t="s">
        <v>52</v>
      </c>
      <c r="O1315" s="2">
        <v>2335</v>
      </c>
      <c r="P1315" s="2">
        <v>3157</v>
      </c>
      <c r="Q1315" s="2">
        <v>4</v>
      </c>
      <c r="R1315" t="s">
        <v>35</v>
      </c>
      <c r="S1315" s="2">
        <v>3</v>
      </c>
      <c r="T1315" s="2">
        <v>4</v>
      </c>
      <c r="U1315">
        <v>80</v>
      </c>
      <c r="V1315" s="2">
        <v>4</v>
      </c>
      <c r="W1315">
        <v>3</v>
      </c>
      <c r="X1315">
        <v>3</v>
      </c>
      <c r="Y1315">
        <v>2</v>
      </c>
      <c r="Z1315">
        <v>2</v>
      </c>
      <c r="AA1315">
        <v>2</v>
      </c>
      <c r="AB1315">
        <v>0</v>
      </c>
    </row>
    <row r="1316" spans="1:28" x14ac:dyDescent="0.35">
      <c r="A1316" s="2">
        <v>45</v>
      </c>
      <c r="B1316" s="2" t="str" cm="1">
        <f t="array" ref="B1316">_xlfn.IFS(HR_table[[#This Row],[Age]]&lt;=20, "Under 20yrs",HR_table[[#This Row],[Age]]&lt;=30,"(21-30)yrs",HR_table[[#This Row],[Age]]&lt;=40,"(31-40)yrs",HR_table[[#This Row],[Age]]&lt;=50,"(41-50)yrs",HR_table[[#This Row],[Age]]&lt;=60,"(51-60)yrs")</f>
        <v>(41-50)yrs</v>
      </c>
      <c r="C1316" t="s">
        <v>43</v>
      </c>
      <c r="D1316" t="s">
        <v>55</v>
      </c>
      <c r="E1316" t="s">
        <v>37</v>
      </c>
      <c r="F1316" t="s">
        <v>38</v>
      </c>
      <c r="G1316" t="s">
        <v>40</v>
      </c>
      <c r="H1316">
        <v>1845</v>
      </c>
      <c r="I1316" s="2">
        <v>2</v>
      </c>
      <c r="J1316" s="2">
        <v>3</v>
      </c>
      <c r="K1316" t="s">
        <v>39</v>
      </c>
      <c r="L1316" s="2">
        <v>2</v>
      </c>
      <c r="M1316" s="2">
        <v>3</v>
      </c>
      <c r="N1316" t="s">
        <v>48</v>
      </c>
      <c r="O1316" s="2">
        <v>5154</v>
      </c>
      <c r="P1316" s="2">
        <v>19665</v>
      </c>
      <c r="Q1316" s="2">
        <v>4</v>
      </c>
      <c r="R1316" t="s">
        <v>43</v>
      </c>
      <c r="S1316" s="2">
        <v>4</v>
      </c>
      <c r="T1316" s="2">
        <v>2</v>
      </c>
      <c r="U1316">
        <v>80</v>
      </c>
      <c r="V1316" s="2">
        <v>10</v>
      </c>
      <c r="W1316">
        <v>3</v>
      </c>
      <c r="X1316">
        <v>4</v>
      </c>
      <c r="Y1316">
        <v>8</v>
      </c>
      <c r="Z1316">
        <v>7</v>
      </c>
      <c r="AA1316">
        <v>5</v>
      </c>
      <c r="AB1316">
        <v>7</v>
      </c>
    </row>
    <row r="1317" spans="1:28" x14ac:dyDescent="0.35">
      <c r="A1317" s="2">
        <v>36</v>
      </c>
      <c r="B1317" s="2" t="str" cm="1">
        <f t="array" ref="B1317">_xlfn.IFS(HR_table[[#This Row],[Age]]&lt;=20, "Under 20yrs",HR_table[[#This Row],[Age]]&lt;=30,"(21-30)yrs",HR_table[[#This Row],[Age]]&lt;=40,"(31-40)yrs",HR_table[[#This Row],[Age]]&lt;=50,"(41-50)yrs",HR_table[[#This Row],[Age]]&lt;=60,"(51-60)yrs")</f>
        <v>(31-40)yrs</v>
      </c>
      <c r="C1317" t="s">
        <v>43</v>
      </c>
      <c r="D1317" t="s">
        <v>36</v>
      </c>
      <c r="E1317" t="s">
        <v>45</v>
      </c>
      <c r="F1317" t="s">
        <v>49</v>
      </c>
      <c r="G1317" t="s">
        <v>47</v>
      </c>
      <c r="H1317">
        <v>1847</v>
      </c>
      <c r="I1317" s="2">
        <v>2</v>
      </c>
      <c r="J1317" s="2">
        <v>4</v>
      </c>
      <c r="K1317" t="s">
        <v>39</v>
      </c>
      <c r="L1317" s="2">
        <v>2</v>
      </c>
      <c r="M1317" s="2">
        <v>2</v>
      </c>
      <c r="N1317" t="s">
        <v>48</v>
      </c>
      <c r="O1317" s="2">
        <v>6962</v>
      </c>
      <c r="P1317" s="2">
        <v>19573</v>
      </c>
      <c r="Q1317" s="2">
        <v>4</v>
      </c>
      <c r="R1317" t="s">
        <v>35</v>
      </c>
      <c r="S1317" s="2">
        <v>4</v>
      </c>
      <c r="T1317" s="2">
        <v>4</v>
      </c>
      <c r="U1317">
        <v>80</v>
      </c>
      <c r="V1317" s="2">
        <v>15</v>
      </c>
      <c r="W1317">
        <v>2</v>
      </c>
      <c r="X1317">
        <v>3</v>
      </c>
      <c r="Y1317">
        <v>1</v>
      </c>
      <c r="Z1317">
        <v>0</v>
      </c>
      <c r="AA1317">
        <v>0</v>
      </c>
      <c r="AB1317">
        <v>0</v>
      </c>
    </row>
    <row r="1318" spans="1:28" x14ac:dyDescent="0.35">
      <c r="A1318" s="2">
        <v>43</v>
      </c>
      <c r="B1318" s="2" t="str" cm="1">
        <f t="array" ref="B1318">_xlfn.IFS(HR_table[[#This Row],[Age]]&lt;=20, "Under 20yrs",HR_table[[#This Row],[Age]]&lt;=30,"(21-30)yrs",HR_table[[#This Row],[Age]]&lt;=40,"(31-40)yrs",HR_table[[#This Row],[Age]]&lt;=50,"(41-50)yrs",HR_table[[#This Row],[Age]]&lt;=60,"(51-60)yrs")</f>
        <v>(41-50)yrs</v>
      </c>
      <c r="C1318" t="s">
        <v>43</v>
      </c>
      <c r="D1318" t="s">
        <v>44</v>
      </c>
      <c r="E1318" t="s">
        <v>37</v>
      </c>
      <c r="F1318" t="s">
        <v>38</v>
      </c>
      <c r="G1318" t="s">
        <v>40</v>
      </c>
      <c r="H1318">
        <v>1849</v>
      </c>
      <c r="I1318" s="2">
        <v>2</v>
      </c>
      <c r="J1318" s="2">
        <v>1</v>
      </c>
      <c r="K1318" t="s">
        <v>46</v>
      </c>
      <c r="L1318" s="2">
        <v>2</v>
      </c>
      <c r="M1318" s="2">
        <v>4</v>
      </c>
      <c r="N1318" t="s">
        <v>48</v>
      </c>
      <c r="O1318" s="2">
        <v>5675</v>
      </c>
      <c r="P1318" s="2">
        <v>19246</v>
      </c>
      <c r="Q1318" s="2">
        <v>1</v>
      </c>
      <c r="R1318" t="s">
        <v>43</v>
      </c>
      <c r="S1318" s="2">
        <v>4</v>
      </c>
      <c r="T1318" s="2">
        <v>3</v>
      </c>
      <c r="U1318">
        <v>80</v>
      </c>
      <c r="V1318" s="2">
        <v>7</v>
      </c>
      <c r="W1318">
        <v>5</v>
      </c>
      <c r="X1318">
        <v>3</v>
      </c>
      <c r="Y1318">
        <v>7</v>
      </c>
      <c r="Z1318">
        <v>7</v>
      </c>
      <c r="AA1318">
        <v>7</v>
      </c>
      <c r="AB1318">
        <v>7</v>
      </c>
    </row>
    <row r="1319" spans="1:28" x14ac:dyDescent="0.35">
      <c r="A1319" s="2">
        <v>27</v>
      </c>
      <c r="B1319" s="2" t="str" cm="1">
        <f t="array" ref="B1319">_xlfn.IFS(HR_table[[#This Row],[Age]]&lt;=20, "Under 20yrs",HR_table[[#This Row],[Age]]&lt;=30,"(21-30)yrs",HR_table[[#This Row],[Age]]&lt;=40,"(31-40)yrs",HR_table[[#This Row],[Age]]&lt;=50,"(41-50)yrs",HR_table[[#This Row],[Age]]&lt;=60,"(51-60)yrs")</f>
        <v>(21-30)yrs</v>
      </c>
      <c r="C1319" t="s">
        <v>43</v>
      </c>
      <c r="D1319" t="s">
        <v>44</v>
      </c>
      <c r="E1319" t="s">
        <v>45</v>
      </c>
      <c r="F1319" t="s">
        <v>38</v>
      </c>
      <c r="G1319" t="s">
        <v>50</v>
      </c>
      <c r="H1319">
        <v>1850</v>
      </c>
      <c r="I1319" s="2">
        <v>5</v>
      </c>
      <c r="J1319" s="2">
        <v>4</v>
      </c>
      <c r="K1319" t="s">
        <v>39</v>
      </c>
      <c r="L1319" s="2">
        <v>1</v>
      </c>
      <c r="M1319" s="2">
        <v>4</v>
      </c>
      <c r="N1319" t="s">
        <v>41</v>
      </c>
      <c r="O1319" s="2">
        <v>2379</v>
      </c>
      <c r="P1319" s="2">
        <v>19826</v>
      </c>
      <c r="Q1319" s="2">
        <v>0</v>
      </c>
      <c r="R1319" t="s">
        <v>35</v>
      </c>
      <c r="S1319" s="2">
        <v>3</v>
      </c>
      <c r="T1319" s="2">
        <v>3</v>
      </c>
      <c r="U1319">
        <v>80</v>
      </c>
      <c r="V1319" s="2">
        <v>6</v>
      </c>
      <c r="W1319">
        <v>3</v>
      </c>
      <c r="X1319">
        <v>2</v>
      </c>
      <c r="Y1319">
        <v>5</v>
      </c>
      <c r="Z1319">
        <v>4</v>
      </c>
      <c r="AA1319">
        <v>0</v>
      </c>
      <c r="AB1319">
        <v>2</v>
      </c>
    </row>
    <row r="1320" spans="1:28" x14ac:dyDescent="0.35">
      <c r="A1320" s="2">
        <v>29</v>
      </c>
      <c r="B1320" s="2" t="str" cm="1">
        <f t="array" ref="B1320">_xlfn.IFS(HR_table[[#This Row],[Age]]&lt;=20, "Under 20yrs",HR_table[[#This Row],[Age]]&lt;=30,"(21-30)yrs",HR_table[[#This Row],[Age]]&lt;=40,"(31-40)yrs",HR_table[[#This Row],[Age]]&lt;=50,"(41-50)yrs",HR_table[[#This Row],[Age]]&lt;=60,"(51-60)yrs")</f>
        <v>(21-30)yrs</v>
      </c>
      <c r="C1320" t="s">
        <v>43</v>
      </c>
      <c r="D1320" t="s">
        <v>44</v>
      </c>
      <c r="E1320" t="s">
        <v>45</v>
      </c>
      <c r="F1320" t="s">
        <v>51</v>
      </c>
      <c r="G1320" t="s">
        <v>50</v>
      </c>
      <c r="H1320">
        <v>1852</v>
      </c>
      <c r="I1320" s="2">
        <v>20</v>
      </c>
      <c r="J1320" s="2">
        <v>4</v>
      </c>
      <c r="K1320" t="s">
        <v>46</v>
      </c>
      <c r="L1320" s="2">
        <v>1</v>
      </c>
      <c r="M1320" s="2">
        <v>4</v>
      </c>
      <c r="N1320" t="s">
        <v>48</v>
      </c>
      <c r="O1320" s="2">
        <v>3812</v>
      </c>
      <c r="P1320" s="2">
        <v>7003</v>
      </c>
      <c r="Q1320" s="2">
        <v>1</v>
      </c>
      <c r="R1320" t="s">
        <v>43</v>
      </c>
      <c r="S1320" s="2">
        <v>3</v>
      </c>
      <c r="T1320" s="2">
        <v>2</v>
      </c>
      <c r="U1320">
        <v>80</v>
      </c>
      <c r="V1320" s="2">
        <v>11</v>
      </c>
      <c r="W1320">
        <v>3</v>
      </c>
      <c r="X1320">
        <v>4</v>
      </c>
      <c r="Y1320">
        <v>11</v>
      </c>
      <c r="Z1320">
        <v>8</v>
      </c>
      <c r="AA1320">
        <v>3</v>
      </c>
      <c r="AB1320">
        <v>10</v>
      </c>
    </row>
    <row r="1321" spans="1:28" x14ac:dyDescent="0.35">
      <c r="A1321" s="2">
        <v>32</v>
      </c>
      <c r="B1321" s="2" t="str" cm="1">
        <f t="array" ref="B1321">_xlfn.IFS(HR_table[[#This Row],[Age]]&lt;=20, "Under 20yrs",HR_table[[#This Row],[Age]]&lt;=30,"(21-30)yrs",HR_table[[#This Row],[Age]]&lt;=40,"(31-40)yrs",HR_table[[#This Row],[Age]]&lt;=50,"(41-50)yrs",HR_table[[#This Row],[Age]]&lt;=60,"(51-60)yrs")</f>
        <v>(31-40)yrs</v>
      </c>
      <c r="C1321" t="s">
        <v>43</v>
      </c>
      <c r="D1321" t="s">
        <v>44</v>
      </c>
      <c r="E1321" t="s">
        <v>37</v>
      </c>
      <c r="F1321" t="s">
        <v>59</v>
      </c>
      <c r="G1321" t="s">
        <v>40</v>
      </c>
      <c r="H1321">
        <v>1853</v>
      </c>
      <c r="I1321" s="2">
        <v>10</v>
      </c>
      <c r="J1321" s="2">
        <v>4</v>
      </c>
      <c r="K1321" t="s">
        <v>46</v>
      </c>
      <c r="L1321" s="2">
        <v>2</v>
      </c>
      <c r="M1321" s="2">
        <v>4</v>
      </c>
      <c r="N1321" t="s">
        <v>41</v>
      </c>
      <c r="O1321" s="2">
        <v>4648</v>
      </c>
      <c r="P1321" s="2">
        <v>26075</v>
      </c>
      <c r="Q1321" s="2">
        <v>8</v>
      </c>
      <c r="R1321" t="s">
        <v>43</v>
      </c>
      <c r="S1321" s="2">
        <v>3</v>
      </c>
      <c r="T1321" s="2">
        <v>3</v>
      </c>
      <c r="U1321">
        <v>80</v>
      </c>
      <c r="V1321" s="2">
        <v>4</v>
      </c>
      <c r="W1321">
        <v>2</v>
      </c>
      <c r="X1321">
        <v>4</v>
      </c>
      <c r="Y1321">
        <v>0</v>
      </c>
      <c r="Z1321">
        <v>0</v>
      </c>
      <c r="AA1321">
        <v>0</v>
      </c>
      <c r="AB1321">
        <v>0</v>
      </c>
    </row>
    <row r="1322" spans="1:28" x14ac:dyDescent="0.35">
      <c r="A1322" s="2">
        <v>42</v>
      </c>
      <c r="B1322" s="2" t="str" cm="1">
        <f t="array" ref="B1322">_xlfn.IFS(HR_table[[#This Row],[Age]]&lt;=20, "Under 20yrs",HR_table[[#This Row],[Age]]&lt;=30,"(21-30)yrs",HR_table[[#This Row],[Age]]&lt;=40,"(31-40)yrs",HR_table[[#This Row],[Age]]&lt;=50,"(41-50)yrs",HR_table[[#This Row],[Age]]&lt;=60,"(51-60)yrs")</f>
        <v>(41-50)yrs</v>
      </c>
      <c r="C1322" t="s">
        <v>43</v>
      </c>
      <c r="D1322" t="s">
        <v>55</v>
      </c>
      <c r="E1322" t="s">
        <v>45</v>
      </c>
      <c r="F1322" t="s">
        <v>60</v>
      </c>
      <c r="G1322" t="s">
        <v>47</v>
      </c>
      <c r="H1322">
        <v>1854</v>
      </c>
      <c r="I1322" s="2">
        <v>10</v>
      </c>
      <c r="J1322" s="2">
        <v>3</v>
      </c>
      <c r="K1322" t="s">
        <v>46</v>
      </c>
      <c r="L1322" s="2">
        <v>1</v>
      </c>
      <c r="M1322" s="2">
        <v>3</v>
      </c>
      <c r="N1322" t="s">
        <v>48</v>
      </c>
      <c r="O1322" s="2">
        <v>2936</v>
      </c>
      <c r="P1322" s="2">
        <v>6161</v>
      </c>
      <c r="Q1322" s="2">
        <v>3</v>
      </c>
      <c r="R1322" t="s">
        <v>43</v>
      </c>
      <c r="S1322" s="2">
        <v>4</v>
      </c>
      <c r="T1322" s="2">
        <v>2</v>
      </c>
      <c r="U1322">
        <v>80</v>
      </c>
      <c r="V1322" s="2">
        <v>10</v>
      </c>
      <c r="W1322">
        <v>1</v>
      </c>
      <c r="X1322">
        <v>2</v>
      </c>
      <c r="Y1322">
        <v>6</v>
      </c>
      <c r="Z1322">
        <v>3</v>
      </c>
      <c r="AA1322">
        <v>3</v>
      </c>
      <c r="AB1322">
        <v>3</v>
      </c>
    </row>
    <row r="1323" spans="1:28" x14ac:dyDescent="0.35">
      <c r="A1323" s="2">
        <v>47</v>
      </c>
      <c r="B1323" s="2" t="str" cm="1">
        <f t="array" ref="B1323">_xlfn.IFS(HR_table[[#This Row],[Age]]&lt;=20, "Under 20yrs",HR_table[[#This Row],[Age]]&lt;=30,"(21-30)yrs",HR_table[[#This Row],[Age]]&lt;=40,"(31-40)yrs",HR_table[[#This Row],[Age]]&lt;=50,"(41-50)yrs",HR_table[[#This Row],[Age]]&lt;=60,"(51-60)yrs")</f>
        <v>(41-50)yrs</v>
      </c>
      <c r="C1323" t="s">
        <v>43</v>
      </c>
      <c r="D1323" t="s">
        <v>36</v>
      </c>
      <c r="E1323" t="s">
        <v>45</v>
      </c>
      <c r="F1323" t="s">
        <v>38</v>
      </c>
      <c r="G1323" t="s">
        <v>50</v>
      </c>
      <c r="H1323">
        <v>1856</v>
      </c>
      <c r="I1323" s="2">
        <v>9</v>
      </c>
      <c r="J1323" s="2">
        <v>2</v>
      </c>
      <c r="K1323" t="s">
        <v>39</v>
      </c>
      <c r="L1323" s="2">
        <v>1</v>
      </c>
      <c r="M1323" s="2">
        <v>3</v>
      </c>
      <c r="N1323" t="s">
        <v>41</v>
      </c>
      <c r="O1323" s="2">
        <v>2105</v>
      </c>
      <c r="P1323" s="2">
        <v>5411</v>
      </c>
      <c r="Q1323" s="2">
        <v>4</v>
      </c>
      <c r="R1323" t="s">
        <v>43</v>
      </c>
      <c r="S1323" s="2">
        <v>3</v>
      </c>
      <c r="T1323" s="2">
        <v>3</v>
      </c>
      <c r="U1323">
        <v>80</v>
      </c>
      <c r="V1323" s="2">
        <v>7</v>
      </c>
      <c r="W1323">
        <v>2</v>
      </c>
      <c r="X1323">
        <v>3</v>
      </c>
      <c r="Y1323">
        <v>2</v>
      </c>
      <c r="Z1323">
        <v>2</v>
      </c>
      <c r="AA1323">
        <v>2</v>
      </c>
      <c r="AB1323">
        <v>0</v>
      </c>
    </row>
    <row r="1324" spans="1:28" x14ac:dyDescent="0.35">
      <c r="A1324" s="2">
        <v>46</v>
      </c>
      <c r="B1324" s="2" t="str" cm="1">
        <f t="array" ref="B1324">_xlfn.IFS(HR_table[[#This Row],[Age]]&lt;=20, "Under 20yrs",HR_table[[#This Row],[Age]]&lt;=30,"(21-30)yrs",HR_table[[#This Row],[Age]]&lt;=40,"(31-40)yrs",HR_table[[#This Row],[Age]]&lt;=50,"(41-50)yrs",HR_table[[#This Row],[Age]]&lt;=60,"(51-60)yrs")</f>
        <v>(41-50)yrs</v>
      </c>
      <c r="C1324" t="s">
        <v>43</v>
      </c>
      <c r="D1324" t="s">
        <v>36</v>
      </c>
      <c r="E1324" t="s">
        <v>45</v>
      </c>
      <c r="F1324" t="s">
        <v>38</v>
      </c>
      <c r="G1324" t="s">
        <v>53</v>
      </c>
      <c r="H1324">
        <v>1857</v>
      </c>
      <c r="I1324" s="2">
        <v>2</v>
      </c>
      <c r="J1324" s="2">
        <v>4</v>
      </c>
      <c r="K1324" t="s">
        <v>46</v>
      </c>
      <c r="L1324" s="2">
        <v>3</v>
      </c>
      <c r="M1324" s="2">
        <v>4</v>
      </c>
      <c r="N1324" t="s">
        <v>52</v>
      </c>
      <c r="O1324" s="2">
        <v>8578</v>
      </c>
      <c r="P1324" s="2">
        <v>19989</v>
      </c>
      <c r="Q1324" s="2">
        <v>3</v>
      </c>
      <c r="R1324" t="s">
        <v>43</v>
      </c>
      <c r="S1324" s="2">
        <v>3</v>
      </c>
      <c r="T1324" s="2">
        <v>3</v>
      </c>
      <c r="U1324">
        <v>80</v>
      </c>
      <c r="V1324" s="2">
        <v>12</v>
      </c>
      <c r="W1324">
        <v>4</v>
      </c>
      <c r="X1324">
        <v>2</v>
      </c>
      <c r="Y1324">
        <v>9</v>
      </c>
      <c r="Z1324">
        <v>8</v>
      </c>
      <c r="AA1324">
        <v>4</v>
      </c>
      <c r="AB1324">
        <v>7</v>
      </c>
    </row>
    <row r="1325" spans="1:28" x14ac:dyDescent="0.35">
      <c r="A1325" s="2">
        <v>28</v>
      </c>
      <c r="B1325" s="2" t="str" cm="1">
        <f t="array" ref="B1325">_xlfn.IFS(HR_table[[#This Row],[Age]]&lt;=20, "Under 20yrs",HR_table[[#This Row],[Age]]&lt;=30,"(21-30)yrs",HR_table[[#This Row],[Age]]&lt;=40,"(31-40)yrs",HR_table[[#This Row],[Age]]&lt;=50,"(41-50)yrs",HR_table[[#This Row],[Age]]&lt;=60,"(51-60)yrs")</f>
        <v>(21-30)yrs</v>
      </c>
      <c r="C1325" t="s">
        <v>43</v>
      </c>
      <c r="D1325" t="s">
        <v>55</v>
      </c>
      <c r="E1325" t="s">
        <v>61</v>
      </c>
      <c r="F1325" t="s">
        <v>38</v>
      </c>
      <c r="G1325" t="s">
        <v>61</v>
      </c>
      <c r="H1325">
        <v>1858</v>
      </c>
      <c r="I1325" s="2">
        <v>1</v>
      </c>
      <c r="J1325" s="2">
        <v>3</v>
      </c>
      <c r="K1325" t="s">
        <v>46</v>
      </c>
      <c r="L1325" s="2">
        <v>1</v>
      </c>
      <c r="M1325" s="2">
        <v>4</v>
      </c>
      <c r="N1325" t="s">
        <v>52</v>
      </c>
      <c r="O1325" s="2">
        <v>2706</v>
      </c>
      <c r="P1325" s="2">
        <v>10494</v>
      </c>
      <c r="Q1325" s="2">
        <v>1</v>
      </c>
      <c r="R1325" t="s">
        <v>43</v>
      </c>
      <c r="S1325" s="2">
        <v>3</v>
      </c>
      <c r="T1325" s="2">
        <v>2</v>
      </c>
      <c r="U1325">
        <v>80</v>
      </c>
      <c r="V1325" s="2">
        <v>3</v>
      </c>
      <c r="W1325">
        <v>2</v>
      </c>
      <c r="X1325">
        <v>3</v>
      </c>
      <c r="Y1325">
        <v>3</v>
      </c>
      <c r="Z1325">
        <v>2</v>
      </c>
      <c r="AA1325">
        <v>2</v>
      </c>
      <c r="AB1325">
        <v>2</v>
      </c>
    </row>
    <row r="1326" spans="1:28" x14ac:dyDescent="0.35">
      <c r="A1326" s="2">
        <v>29</v>
      </c>
      <c r="B1326" s="2" t="str" cm="1">
        <f t="array" ref="B1326">_xlfn.IFS(HR_table[[#This Row],[Age]]&lt;=20, "Under 20yrs",HR_table[[#This Row],[Age]]&lt;=30,"(21-30)yrs",HR_table[[#This Row],[Age]]&lt;=40,"(31-40)yrs",HR_table[[#This Row],[Age]]&lt;=50,"(41-50)yrs",HR_table[[#This Row],[Age]]&lt;=60,"(51-60)yrs")</f>
        <v>(21-30)yrs</v>
      </c>
      <c r="C1326" t="s">
        <v>43</v>
      </c>
      <c r="D1326" t="s">
        <v>36</v>
      </c>
      <c r="E1326" t="s">
        <v>45</v>
      </c>
      <c r="F1326" t="s">
        <v>38</v>
      </c>
      <c r="G1326" t="s">
        <v>54</v>
      </c>
      <c r="H1326">
        <v>1859</v>
      </c>
      <c r="I1326" s="2">
        <v>29</v>
      </c>
      <c r="J1326" s="2">
        <v>4</v>
      </c>
      <c r="K1326" t="s">
        <v>46</v>
      </c>
      <c r="L1326" s="2">
        <v>2</v>
      </c>
      <c r="M1326" s="2">
        <v>3</v>
      </c>
      <c r="N1326" t="s">
        <v>52</v>
      </c>
      <c r="O1326" s="2">
        <v>6384</v>
      </c>
      <c r="P1326" s="2">
        <v>21143</v>
      </c>
      <c r="Q1326" s="2">
        <v>8</v>
      </c>
      <c r="R1326" t="s">
        <v>43</v>
      </c>
      <c r="S1326" s="2">
        <v>3</v>
      </c>
      <c r="T1326" s="2">
        <v>4</v>
      </c>
      <c r="U1326">
        <v>80</v>
      </c>
      <c r="V1326" s="2">
        <v>11</v>
      </c>
      <c r="W1326">
        <v>3</v>
      </c>
      <c r="X1326">
        <v>3</v>
      </c>
      <c r="Y1326">
        <v>7</v>
      </c>
      <c r="Z1326">
        <v>0</v>
      </c>
      <c r="AA1326">
        <v>1</v>
      </c>
      <c r="AB1326">
        <v>6</v>
      </c>
    </row>
    <row r="1327" spans="1:28" x14ac:dyDescent="0.35">
      <c r="A1327" s="2">
        <v>42</v>
      </c>
      <c r="B1327" s="2" t="str" cm="1">
        <f t="array" ref="B1327">_xlfn.IFS(HR_table[[#This Row],[Age]]&lt;=20, "Under 20yrs",HR_table[[#This Row],[Age]]&lt;=30,"(21-30)yrs",HR_table[[#This Row],[Age]]&lt;=40,"(31-40)yrs",HR_table[[#This Row],[Age]]&lt;=50,"(41-50)yrs",HR_table[[#This Row],[Age]]&lt;=60,"(51-60)yrs")</f>
        <v>(41-50)yrs</v>
      </c>
      <c r="C1327" t="s">
        <v>43</v>
      </c>
      <c r="D1327" t="s">
        <v>36</v>
      </c>
      <c r="E1327" t="s">
        <v>45</v>
      </c>
      <c r="F1327" t="s">
        <v>38</v>
      </c>
      <c r="G1327" t="s">
        <v>50</v>
      </c>
      <c r="H1327">
        <v>1860</v>
      </c>
      <c r="I1327" s="2">
        <v>8</v>
      </c>
      <c r="J1327" s="2">
        <v>4</v>
      </c>
      <c r="K1327" t="s">
        <v>46</v>
      </c>
      <c r="L1327" s="2">
        <v>1</v>
      </c>
      <c r="M1327" s="2">
        <v>3</v>
      </c>
      <c r="N1327" t="s">
        <v>41</v>
      </c>
      <c r="O1327" s="2">
        <v>3968</v>
      </c>
      <c r="P1327" s="2">
        <v>13624</v>
      </c>
      <c r="Q1327" s="2">
        <v>4</v>
      </c>
      <c r="R1327" t="s">
        <v>43</v>
      </c>
      <c r="S1327" s="2">
        <v>3</v>
      </c>
      <c r="T1327" s="2">
        <v>4</v>
      </c>
      <c r="U1327">
        <v>80</v>
      </c>
      <c r="V1327" s="2">
        <v>8</v>
      </c>
      <c r="W1327">
        <v>3</v>
      </c>
      <c r="X1327">
        <v>3</v>
      </c>
      <c r="Y1327">
        <v>0</v>
      </c>
      <c r="Z1327">
        <v>0</v>
      </c>
      <c r="AA1327">
        <v>0</v>
      </c>
      <c r="AB1327">
        <v>0</v>
      </c>
    </row>
    <row r="1328" spans="1:28" x14ac:dyDescent="0.35">
      <c r="A1328" s="2">
        <v>32</v>
      </c>
      <c r="B1328" s="2" t="str" cm="1">
        <f t="array" ref="B1328">_xlfn.IFS(HR_table[[#This Row],[Age]]&lt;=20, "Under 20yrs",HR_table[[#This Row],[Age]]&lt;=30,"(21-30)yrs",HR_table[[#This Row],[Age]]&lt;=40,"(31-40)yrs",HR_table[[#This Row],[Age]]&lt;=50,"(41-50)yrs",HR_table[[#This Row],[Age]]&lt;=60,"(51-60)yrs")</f>
        <v>(31-40)yrs</v>
      </c>
      <c r="C1328" t="s">
        <v>35</v>
      </c>
      <c r="D1328" t="s">
        <v>36</v>
      </c>
      <c r="E1328" t="s">
        <v>37</v>
      </c>
      <c r="F1328" t="s">
        <v>59</v>
      </c>
      <c r="G1328" t="s">
        <v>40</v>
      </c>
      <c r="H1328">
        <v>1862</v>
      </c>
      <c r="I1328" s="2">
        <v>2</v>
      </c>
      <c r="J1328" s="2">
        <v>3</v>
      </c>
      <c r="K1328" t="s">
        <v>46</v>
      </c>
      <c r="L1328" s="2">
        <v>2</v>
      </c>
      <c r="M1328" s="2">
        <v>2</v>
      </c>
      <c r="N1328" t="s">
        <v>41</v>
      </c>
      <c r="O1328" s="2">
        <v>9907</v>
      </c>
      <c r="P1328" s="2">
        <v>26186</v>
      </c>
      <c r="Q1328" s="2">
        <v>7</v>
      </c>
      <c r="R1328" t="s">
        <v>35</v>
      </c>
      <c r="S1328" s="2">
        <v>3</v>
      </c>
      <c r="T1328" s="2">
        <v>3</v>
      </c>
      <c r="U1328">
        <v>80</v>
      </c>
      <c r="V1328" s="2">
        <v>7</v>
      </c>
      <c r="W1328">
        <v>3</v>
      </c>
      <c r="X1328">
        <v>2</v>
      </c>
      <c r="Y1328">
        <v>2</v>
      </c>
      <c r="Z1328">
        <v>2</v>
      </c>
      <c r="AA1328">
        <v>2</v>
      </c>
      <c r="AB1328">
        <v>2</v>
      </c>
    </row>
    <row r="1329" spans="1:28" x14ac:dyDescent="0.35">
      <c r="A1329" s="2">
        <v>46</v>
      </c>
      <c r="B1329" s="2" t="str" cm="1">
        <f t="array" ref="B1329">_xlfn.IFS(HR_table[[#This Row],[Age]]&lt;=20, "Under 20yrs",HR_table[[#This Row],[Age]]&lt;=30,"(21-30)yrs",HR_table[[#This Row],[Age]]&lt;=40,"(31-40)yrs",HR_table[[#This Row],[Age]]&lt;=50,"(41-50)yrs",HR_table[[#This Row],[Age]]&lt;=60,"(51-60)yrs")</f>
        <v>(41-50)yrs</v>
      </c>
      <c r="C1329" t="s">
        <v>43</v>
      </c>
      <c r="D1329" t="s">
        <v>36</v>
      </c>
      <c r="E1329" t="s">
        <v>37</v>
      </c>
      <c r="F1329" t="s">
        <v>60</v>
      </c>
      <c r="G1329" t="s">
        <v>40</v>
      </c>
      <c r="H1329">
        <v>1863</v>
      </c>
      <c r="I1329" s="2">
        <v>3</v>
      </c>
      <c r="J1329" s="2">
        <v>1</v>
      </c>
      <c r="K1329" t="s">
        <v>39</v>
      </c>
      <c r="L1329" s="2">
        <v>4</v>
      </c>
      <c r="M1329" s="2">
        <v>1</v>
      </c>
      <c r="N1329" t="s">
        <v>52</v>
      </c>
      <c r="O1329" s="2">
        <v>13225</v>
      </c>
      <c r="P1329" s="2">
        <v>7739</v>
      </c>
      <c r="Q1329" s="2">
        <v>2</v>
      </c>
      <c r="R1329" t="s">
        <v>43</v>
      </c>
      <c r="S1329" s="2">
        <v>3</v>
      </c>
      <c r="T1329" s="2">
        <v>4</v>
      </c>
      <c r="U1329">
        <v>80</v>
      </c>
      <c r="V1329" s="2">
        <v>25</v>
      </c>
      <c r="W1329">
        <v>5</v>
      </c>
      <c r="X1329">
        <v>3</v>
      </c>
      <c r="Y1329">
        <v>19</v>
      </c>
      <c r="Z1329">
        <v>17</v>
      </c>
      <c r="AA1329">
        <v>2</v>
      </c>
      <c r="AB1329">
        <v>8</v>
      </c>
    </row>
    <row r="1330" spans="1:28" x14ac:dyDescent="0.35">
      <c r="A1330" s="2">
        <v>27</v>
      </c>
      <c r="B1330" s="2" t="str" cm="1">
        <f t="array" ref="B1330">_xlfn.IFS(HR_table[[#This Row],[Age]]&lt;=20, "Under 20yrs",HR_table[[#This Row],[Age]]&lt;=30,"(21-30)yrs",HR_table[[#This Row],[Age]]&lt;=40,"(31-40)yrs",HR_table[[#This Row],[Age]]&lt;=50,"(41-50)yrs",HR_table[[#This Row],[Age]]&lt;=60,"(51-60)yrs")</f>
        <v>(21-30)yrs</v>
      </c>
      <c r="C1330" t="s">
        <v>43</v>
      </c>
      <c r="D1330" t="s">
        <v>36</v>
      </c>
      <c r="E1330" t="s">
        <v>37</v>
      </c>
      <c r="F1330" t="s">
        <v>51</v>
      </c>
      <c r="G1330" t="s">
        <v>57</v>
      </c>
      <c r="H1330">
        <v>1864</v>
      </c>
      <c r="I1330" s="2">
        <v>23</v>
      </c>
      <c r="J1330" s="2">
        <v>2</v>
      </c>
      <c r="K1330" t="s">
        <v>39</v>
      </c>
      <c r="L1330" s="2">
        <v>2</v>
      </c>
      <c r="M1330" s="2">
        <v>3</v>
      </c>
      <c r="N1330" t="s">
        <v>48</v>
      </c>
      <c r="O1330" s="2">
        <v>3540</v>
      </c>
      <c r="P1330" s="2">
        <v>7018</v>
      </c>
      <c r="Q1330" s="2">
        <v>1</v>
      </c>
      <c r="R1330" t="s">
        <v>43</v>
      </c>
      <c r="S1330" s="2">
        <v>4</v>
      </c>
      <c r="T1330" s="2">
        <v>4</v>
      </c>
      <c r="U1330">
        <v>80</v>
      </c>
      <c r="V1330" s="2">
        <v>9</v>
      </c>
      <c r="W1330">
        <v>5</v>
      </c>
      <c r="X1330">
        <v>3</v>
      </c>
      <c r="Y1330">
        <v>9</v>
      </c>
      <c r="Z1330">
        <v>8</v>
      </c>
      <c r="AA1330">
        <v>5</v>
      </c>
      <c r="AB1330">
        <v>8</v>
      </c>
    </row>
    <row r="1331" spans="1:28" x14ac:dyDescent="0.35">
      <c r="A1331" s="2">
        <v>29</v>
      </c>
      <c r="B1331" s="2" t="str" cm="1">
        <f t="array" ref="B1331">_xlfn.IFS(HR_table[[#This Row],[Age]]&lt;=20, "Under 20yrs",HR_table[[#This Row],[Age]]&lt;=30,"(21-30)yrs",HR_table[[#This Row],[Age]]&lt;=40,"(31-40)yrs",HR_table[[#This Row],[Age]]&lt;=50,"(41-50)yrs",HR_table[[#This Row],[Age]]&lt;=60,"(51-60)yrs")</f>
        <v>(21-30)yrs</v>
      </c>
      <c r="C1331" t="s">
        <v>43</v>
      </c>
      <c r="D1331" t="s">
        <v>36</v>
      </c>
      <c r="E1331" t="s">
        <v>61</v>
      </c>
      <c r="F1331" t="s">
        <v>51</v>
      </c>
      <c r="G1331" t="s">
        <v>61</v>
      </c>
      <c r="H1331">
        <v>1865</v>
      </c>
      <c r="I1331" s="2">
        <v>6</v>
      </c>
      <c r="J1331" s="2">
        <v>4</v>
      </c>
      <c r="K1331" t="s">
        <v>46</v>
      </c>
      <c r="L1331" s="2">
        <v>1</v>
      </c>
      <c r="M1331" s="2">
        <v>2</v>
      </c>
      <c r="N1331" t="s">
        <v>48</v>
      </c>
      <c r="O1331" s="2">
        <v>2804</v>
      </c>
      <c r="P1331" s="2">
        <v>15434</v>
      </c>
      <c r="Q1331" s="2">
        <v>1</v>
      </c>
      <c r="R1331" t="s">
        <v>43</v>
      </c>
      <c r="S1331" s="2">
        <v>3</v>
      </c>
      <c r="T1331" s="2">
        <v>4</v>
      </c>
      <c r="U1331">
        <v>80</v>
      </c>
      <c r="V1331" s="2">
        <v>1</v>
      </c>
      <c r="W1331">
        <v>3</v>
      </c>
      <c r="X1331">
        <v>3</v>
      </c>
      <c r="Y1331">
        <v>1</v>
      </c>
      <c r="Z1331">
        <v>0</v>
      </c>
      <c r="AA1331">
        <v>0</v>
      </c>
      <c r="AB1331">
        <v>0</v>
      </c>
    </row>
    <row r="1332" spans="1:28" x14ac:dyDescent="0.35">
      <c r="A1332" s="2">
        <v>43</v>
      </c>
      <c r="B1332" s="2" t="str" cm="1">
        <f t="array" ref="B1332">_xlfn.IFS(HR_table[[#This Row],[Age]]&lt;=20, "Under 20yrs",HR_table[[#This Row],[Age]]&lt;=30,"(21-30)yrs",HR_table[[#This Row],[Age]]&lt;=40,"(31-40)yrs",HR_table[[#This Row],[Age]]&lt;=50,"(41-50)yrs",HR_table[[#This Row],[Age]]&lt;=60,"(51-60)yrs")</f>
        <v>(41-50)yrs</v>
      </c>
      <c r="C1332" t="s">
        <v>43</v>
      </c>
      <c r="D1332" t="s">
        <v>36</v>
      </c>
      <c r="E1332" t="s">
        <v>45</v>
      </c>
      <c r="F1332" t="s">
        <v>51</v>
      </c>
      <c r="G1332" t="s">
        <v>56</v>
      </c>
      <c r="H1332">
        <v>1866</v>
      </c>
      <c r="I1332" s="2">
        <v>6</v>
      </c>
      <c r="J1332" s="2">
        <v>1</v>
      </c>
      <c r="K1332" t="s">
        <v>39</v>
      </c>
      <c r="L1332" s="2">
        <v>5</v>
      </c>
      <c r="M1332" s="2">
        <v>3</v>
      </c>
      <c r="N1332" t="s">
        <v>48</v>
      </c>
      <c r="O1332" s="2">
        <v>19392</v>
      </c>
      <c r="P1332" s="2">
        <v>22539</v>
      </c>
      <c r="Q1332" s="2">
        <v>7</v>
      </c>
      <c r="R1332" t="s">
        <v>43</v>
      </c>
      <c r="S1332" s="2">
        <v>3</v>
      </c>
      <c r="T1332" s="2">
        <v>4</v>
      </c>
      <c r="U1332">
        <v>80</v>
      </c>
      <c r="V1332" s="2">
        <v>21</v>
      </c>
      <c r="W1332">
        <v>2</v>
      </c>
      <c r="X1332">
        <v>3</v>
      </c>
      <c r="Y1332">
        <v>16</v>
      </c>
      <c r="Z1332">
        <v>12</v>
      </c>
      <c r="AA1332">
        <v>6</v>
      </c>
      <c r="AB1332">
        <v>14</v>
      </c>
    </row>
    <row r="1333" spans="1:28" x14ac:dyDescent="0.35">
      <c r="A1333" s="2">
        <v>48</v>
      </c>
      <c r="B1333" s="2" t="str" cm="1">
        <f t="array" ref="B1333">_xlfn.IFS(HR_table[[#This Row],[Age]]&lt;=20, "Under 20yrs",HR_table[[#This Row],[Age]]&lt;=30,"(21-30)yrs",HR_table[[#This Row],[Age]]&lt;=40,"(31-40)yrs",HR_table[[#This Row],[Age]]&lt;=50,"(41-50)yrs",HR_table[[#This Row],[Age]]&lt;=60,"(51-60)yrs")</f>
        <v>(41-50)yrs</v>
      </c>
      <c r="C1333" t="s">
        <v>43</v>
      </c>
      <c r="D1333" t="s">
        <v>36</v>
      </c>
      <c r="E1333" t="s">
        <v>45</v>
      </c>
      <c r="F1333" t="s">
        <v>38</v>
      </c>
      <c r="G1333" t="s">
        <v>58</v>
      </c>
      <c r="H1333">
        <v>1867</v>
      </c>
      <c r="I1333" s="2">
        <v>10</v>
      </c>
      <c r="J1333" s="2">
        <v>4</v>
      </c>
      <c r="K1333" t="s">
        <v>46</v>
      </c>
      <c r="L1333" s="2">
        <v>5</v>
      </c>
      <c r="M1333" s="2">
        <v>2</v>
      </c>
      <c r="N1333" t="s">
        <v>48</v>
      </c>
      <c r="O1333" s="2">
        <v>19665</v>
      </c>
      <c r="P1333" s="2">
        <v>13583</v>
      </c>
      <c r="Q1333" s="2">
        <v>4</v>
      </c>
      <c r="R1333" t="s">
        <v>43</v>
      </c>
      <c r="S1333" s="2">
        <v>3</v>
      </c>
      <c r="T1333" s="2">
        <v>4</v>
      </c>
      <c r="U1333">
        <v>80</v>
      </c>
      <c r="V1333" s="2">
        <v>29</v>
      </c>
      <c r="W1333">
        <v>3</v>
      </c>
      <c r="X1333">
        <v>3</v>
      </c>
      <c r="Y1333">
        <v>22</v>
      </c>
      <c r="Z1333">
        <v>10</v>
      </c>
      <c r="AA1333">
        <v>12</v>
      </c>
      <c r="AB1333">
        <v>9</v>
      </c>
    </row>
    <row r="1334" spans="1:28" x14ac:dyDescent="0.35">
      <c r="A1334" s="2">
        <v>29</v>
      </c>
      <c r="B1334" s="2" t="str" cm="1">
        <f t="array" ref="B1334">_xlfn.IFS(HR_table[[#This Row],[Age]]&lt;=20, "Under 20yrs",HR_table[[#This Row],[Age]]&lt;=30,"(21-30)yrs",HR_table[[#This Row],[Age]]&lt;=40,"(31-40)yrs",HR_table[[#This Row],[Age]]&lt;=50,"(41-50)yrs",HR_table[[#This Row],[Age]]&lt;=60,"(51-60)yrs")</f>
        <v>(21-30)yrs</v>
      </c>
      <c r="C1334" t="s">
        <v>35</v>
      </c>
      <c r="D1334" t="s">
        <v>44</v>
      </c>
      <c r="E1334" t="s">
        <v>45</v>
      </c>
      <c r="F1334" t="s">
        <v>38</v>
      </c>
      <c r="G1334" t="s">
        <v>47</v>
      </c>
      <c r="H1334">
        <v>1868</v>
      </c>
      <c r="I1334" s="2">
        <v>24</v>
      </c>
      <c r="J1334" s="2">
        <v>4</v>
      </c>
      <c r="K1334" t="s">
        <v>46</v>
      </c>
      <c r="L1334" s="2">
        <v>1</v>
      </c>
      <c r="M1334" s="2">
        <v>4</v>
      </c>
      <c r="N1334" t="s">
        <v>41</v>
      </c>
      <c r="O1334" s="2">
        <v>2439</v>
      </c>
      <c r="P1334" s="2">
        <v>14753</v>
      </c>
      <c r="Q1334" s="2">
        <v>1</v>
      </c>
      <c r="R1334" t="s">
        <v>35</v>
      </c>
      <c r="S1334" s="2">
        <v>4</v>
      </c>
      <c r="T1334" s="2">
        <v>2</v>
      </c>
      <c r="U1334">
        <v>80</v>
      </c>
      <c r="V1334" s="2">
        <v>1</v>
      </c>
      <c r="W1334">
        <v>3</v>
      </c>
      <c r="X1334">
        <v>2</v>
      </c>
      <c r="Y1334">
        <v>1</v>
      </c>
      <c r="Z1334">
        <v>0</v>
      </c>
      <c r="AA1334">
        <v>1</v>
      </c>
      <c r="AB1334">
        <v>0</v>
      </c>
    </row>
    <row r="1335" spans="1:28" x14ac:dyDescent="0.35">
      <c r="A1335" s="2">
        <v>46</v>
      </c>
      <c r="B1335" s="2" t="str" cm="1">
        <f t="array" ref="B1335">_xlfn.IFS(HR_table[[#This Row],[Age]]&lt;=20, "Under 20yrs",HR_table[[#This Row],[Age]]&lt;=30,"(21-30)yrs",HR_table[[#This Row],[Age]]&lt;=40,"(31-40)yrs",HR_table[[#This Row],[Age]]&lt;=50,"(41-50)yrs",HR_table[[#This Row],[Age]]&lt;=60,"(51-60)yrs")</f>
        <v>(41-50)yrs</v>
      </c>
      <c r="C1335" t="s">
        <v>35</v>
      </c>
      <c r="D1335" t="s">
        <v>36</v>
      </c>
      <c r="E1335" t="s">
        <v>37</v>
      </c>
      <c r="F1335" t="s">
        <v>38</v>
      </c>
      <c r="G1335" t="s">
        <v>40</v>
      </c>
      <c r="H1335">
        <v>1869</v>
      </c>
      <c r="I1335" s="2">
        <v>10</v>
      </c>
      <c r="J1335" s="2">
        <v>3</v>
      </c>
      <c r="K1335" t="s">
        <v>39</v>
      </c>
      <c r="L1335" s="2">
        <v>3</v>
      </c>
      <c r="M1335" s="2">
        <v>2</v>
      </c>
      <c r="N1335" t="s">
        <v>48</v>
      </c>
      <c r="O1335" s="2">
        <v>7314</v>
      </c>
      <c r="P1335" s="2">
        <v>14011</v>
      </c>
      <c r="Q1335" s="2">
        <v>5</v>
      </c>
      <c r="R1335" t="s">
        <v>43</v>
      </c>
      <c r="S1335" s="2">
        <v>4</v>
      </c>
      <c r="T1335" s="2">
        <v>3</v>
      </c>
      <c r="U1335">
        <v>80</v>
      </c>
      <c r="V1335" s="2">
        <v>14</v>
      </c>
      <c r="W1335">
        <v>2</v>
      </c>
      <c r="X1335">
        <v>3</v>
      </c>
      <c r="Y1335">
        <v>8</v>
      </c>
      <c r="Z1335">
        <v>7</v>
      </c>
      <c r="AA1335">
        <v>0</v>
      </c>
      <c r="AB1335">
        <v>7</v>
      </c>
    </row>
    <row r="1336" spans="1:28" x14ac:dyDescent="0.35">
      <c r="A1336" s="2">
        <v>27</v>
      </c>
      <c r="B1336" s="2" t="str" cm="1">
        <f t="array" ref="B1336">_xlfn.IFS(HR_table[[#This Row],[Age]]&lt;=20, "Under 20yrs",HR_table[[#This Row],[Age]]&lt;=30,"(21-30)yrs",HR_table[[#This Row],[Age]]&lt;=40,"(31-40)yrs",HR_table[[#This Row],[Age]]&lt;=50,"(41-50)yrs",HR_table[[#This Row],[Age]]&lt;=60,"(51-60)yrs")</f>
        <v>(21-30)yrs</v>
      </c>
      <c r="C1336" t="s">
        <v>43</v>
      </c>
      <c r="D1336" t="s">
        <v>44</v>
      </c>
      <c r="E1336" t="s">
        <v>45</v>
      </c>
      <c r="F1336" t="s">
        <v>38</v>
      </c>
      <c r="G1336" t="s">
        <v>47</v>
      </c>
      <c r="H1336">
        <v>1870</v>
      </c>
      <c r="I1336" s="2">
        <v>15</v>
      </c>
      <c r="J1336" s="2">
        <v>4</v>
      </c>
      <c r="K1336" t="s">
        <v>39</v>
      </c>
      <c r="L1336" s="2">
        <v>1</v>
      </c>
      <c r="M1336" s="2">
        <v>1</v>
      </c>
      <c r="N1336" t="s">
        <v>48</v>
      </c>
      <c r="O1336" s="2">
        <v>4774</v>
      </c>
      <c r="P1336" s="2">
        <v>23844</v>
      </c>
      <c r="Q1336" s="2">
        <v>0</v>
      </c>
      <c r="R1336" t="s">
        <v>43</v>
      </c>
      <c r="S1336" s="2">
        <v>3</v>
      </c>
      <c r="T1336" s="2">
        <v>4</v>
      </c>
      <c r="U1336">
        <v>80</v>
      </c>
      <c r="V1336" s="2">
        <v>8</v>
      </c>
      <c r="W1336">
        <v>2</v>
      </c>
      <c r="X1336">
        <v>2</v>
      </c>
      <c r="Y1336">
        <v>7</v>
      </c>
      <c r="Z1336">
        <v>6</v>
      </c>
      <c r="AA1336">
        <v>7</v>
      </c>
      <c r="AB1336">
        <v>3</v>
      </c>
    </row>
    <row r="1337" spans="1:28" x14ac:dyDescent="0.35">
      <c r="A1337" s="2">
        <v>39</v>
      </c>
      <c r="B1337" s="2" t="str" cm="1">
        <f t="array" ref="B1337">_xlfn.IFS(HR_table[[#This Row],[Age]]&lt;=20, "Under 20yrs",HR_table[[#This Row],[Age]]&lt;=30,"(21-30)yrs",HR_table[[#This Row],[Age]]&lt;=40,"(31-40)yrs",HR_table[[#This Row],[Age]]&lt;=50,"(41-50)yrs",HR_table[[#This Row],[Age]]&lt;=60,"(51-60)yrs")</f>
        <v>(31-40)yrs</v>
      </c>
      <c r="C1337" t="s">
        <v>43</v>
      </c>
      <c r="D1337" t="s">
        <v>36</v>
      </c>
      <c r="E1337" t="s">
        <v>45</v>
      </c>
      <c r="F1337" t="s">
        <v>49</v>
      </c>
      <c r="G1337" t="s">
        <v>47</v>
      </c>
      <c r="H1337">
        <v>1871</v>
      </c>
      <c r="I1337" s="2">
        <v>19</v>
      </c>
      <c r="J1337" s="2">
        <v>4</v>
      </c>
      <c r="K1337" t="s">
        <v>46</v>
      </c>
      <c r="L1337" s="2">
        <v>2</v>
      </c>
      <c r="M1337" s="2">
        <v>4</v>
      </c>
      <c r="N1337" t="s">
        <v>52</v>
      </c>
      <c r="O1337" s="2">
        <v>3902</v>
      </c>
      <c r="P1337" s="2">
        <v>5141</v>
      </c>
      <c r="Q1337" s="2">
        <v>8</v>
      </c>
      <c r="R1337" t="s">
        <v>43</v>
      </c>
      <c r="S1337" s="2">
        <v>3</v>
      </c>
      <c r="T1337" s="2">
        <v>2</v>
      </c>
      <c r="U1337">
        <v>80</v>
      </c>
      <c r="V1337" s="2">
        <v>7</v>
      </c>
      <c r="W1337">
        <v>2</v>
      </c>
      <c r="X1337">
        <v>3</v>
      </c>
      <c r="Y1337">
        <v>2</v>
      </c>
      <c r="Z1337">
        <v>2</v>
      </c>
      <c r="AA1337">
        <v>2</v>
      </c>
      <c r="AB1337">
        <v>2</v>
      </c>
    </row>
    <row r="1338" spans="1:28" x14ac:dyDescent="0.35">
      <c r="A1338" s="2">
        <v>55</v>
      </c>
      <c r="B1338" s="2" t="str" cm="1">
        <f t="array" ref="B1338">_xlfn.IFS(HR_table[[#This Row],[Age]]&lt;=20, "Under 20yrs",HR_table[[#This Row],[Age]]&lt;=30,"(21-30)yrs",HR_table[[#This Row],[Age]]&lt;=40,"(31-40)yrs",HR_table[[#This Row],[Age]]&lt;=50,"(41-50)yrs",HR_table[[#This Row],[Age]]&lt;=60,"(51-60)yrs")</f>
        <v>(51-60)yrs</v>
      </c>
      <c r="C1338" t="s">
        <v>43</v>
      </c>
      <c r="D1338" t="s">
        <v>36</v>
      </c>
      <c r="E1338" t="s">
        <v>45</v>
      </c>
      <c r="F1338" t="s">
        <v>60</v>
      </c>
      <c r="G1338" t="s">
        <v>47</v>
      </c>
      <c r="H1338">
        <v>1873</v>
      </c>
      <c r="I1338" s="2">
        <v>2</v>
      </c>
      <c r="J1338" s="2">
        <v>2</v>
      </c>
      <c r="K1338" t="s">
        <v>46</v>
      </c>
      <c r="L1338" s="2">
        <v>1</v>
      </c>
      <c r="M1338" s="2">
        <v>4</v>
      </c>
      <c r="N1338" t="s">
        <v>48</v>
      </c>
      <c r="O1338" s="2">
        <v>2662</v>
      </c>
      <c r="P1338" s="2">
        <v>7975</v>
      </c>
      <c r="Q1338" s="2">
        <v>8</v>
      </c>
      <c r="R1338" t="s">
        <v>43</v>
      </c>
      <c r="S1338" s="2">
        <v>4</v>
      </c>
      <c r="T1338" s="2">
        <v>2</v>
      </c>
      <c r="U1338">
        <v>80</v>
      </c>
      <c r="V1338" s="2">
        <v>19</v>
      </c>
      <c r="W1338">
        <v>2</v>
      </c>
      <c r="X1338">
        <v>4</v>
      </c>
      <c r="Y1338">
        <v>5</v>
      </c>
      <c r="Z1338">
        <v>2</v>
      </c>
      <c r="AA1338">
        <v>0</v>
      </c>
      <c r="AB1338">
        <v>4</v>
      </c>
    </row>
    <row r="1339" spans="1:28" x14ac:dyDescent="0.35">
      <c r="A1339" s="2">
        <v>28</v>
      </c>
      <c r="B1339" s="2" t="str" cm="1">
        <f t="array" ref="B1339">_xlfn.IFS(HR_table[[#This Row],[Age]]&lt;=20, "Under 20yrs",HR_table[[#This Row],[Age]]&lt;=30,"(21-30)yrs",HR_table[[#This Row],[Age]]&lt;=40,"(31-40)yrs",HR_table[[#This Row],[Age]]&lt;=50,"(41-50)yrs",HR_table[[#This Row],[Age]]&lt;=60,"(51-60)yrs")</f>
        <v>(21-30)yrs</v>
      </c>
      <c r="C1339" t="s">
        <v>43</v>
      </c>
      <c r="D1339" t="s">
        <v>36</v>
      </c>
      <c r="E1339" t="s">
        <v>37</v>
      </c>
      <c r="F1339" t="s">
        <v>51</v>
      </c>
      <c r="G1339" t="s">
        <v>57</v>
      </c>
      <c r="H1339">
        <v>1875</v>
      </c>
      <c r="I1339" s="2">
        <v>3</v>
      </c>
      <c r="J1339" s="2">
        <v>2</v>
      </c>
      <c r="K1339" t="s">
        <v>39</v>
      </c>
      <c r="L1339" s="2">
        <v>1</v>
      </c>
      <c r="M1339" s="2">
        <v>2</v>
      </c>
      <c r="N1339" t="s">
        <v>48</v>
      </c>
      <c r="O1339" s="2">
        <v>2856</v>
      </c>
      <c r="P1339" s="2">
        <v>3692</v>
      </c>
      <c r="Q1339" s="2">
        <v>1</v>
      </c>
      <c r="R1339" t="s">
        <v>43</v>
      </c>
      <c r="S1339" s="2">
        <v>3</v>
      </c>
      <c r="T1339" s="2">
        <v>4</v>
      </c>
      <c r="U1339">
        <v>80</v>
      </c>
      <c r="V1339" s="2">
        <v>1</v>
      </c>
      <c r="W1339">
        <v>3</v>
      </c>
      <c r="X1339">
        <v>3</v>
      </c>
      <c r="Y1339">
        <v>1</v>
      </c>
      <c r="Z1339">
        <v>0</v>
      </c>
      <c r="AA1339">
        <v>0</v>
      </c>
      <c r="AB1339">
        <v>0</v>
      </c>
    </row>
    <row r="1340" spans="1:28" x14ac:dyDescent="0.35">
      <c r="A1340" s="2">
        <v>30</v>
      </c>
      <c r="B1340" s="2" t="str" cm="1">
        <f t="array" ref="B1340">_xlfn.IFS(HR_table[[#This Row],[Age]]&lt;=20, "Under 20yrs",HR_table[[#This Row],[Age]]&lt;=30,"(21-30)yrs",HR_table[[#This Row],[Age]]&lt;=40,"(31-40)yrs",HR_table[[#This Row],[Age]]&lt;=50,"(41-50)yrs",HR_table[[#This Row],[Age]]&lt;=60,"(51-60)yrs")</f>
        <v>(21-30)yrs</v>
      </c>
      <c r="C1340" t="s">
        <v>35</v>
      </c>
      <c r="D1340" t="s">
        <v>36</v>
      </c>
      <c r="E1340" t="s">
        <v>37</v>
      </c>
      <c r="F1340" t="s">
        <v>51</v>
      </c>
      <c r="G1340" t="s">
        <v>57</v>
      </c>
      <c r="H1340">
        <v>1876</v>
      </c>
      <c r="I1340" s="2">
        <v>9</v>
      </c>
      <c r="J1340" s="2">
        <v>2</v>
      </c>
      <c r="K1340" t="s">
        <v>46</v>
      </c>
      <c r="L1340" s="2">
        <v>1</v>
      </c>
      <c r="M1340" s="2">
        <v>4</v>
      </c>
      <c r="N1340" t="s">
        <v>41</v>
      </c>
      <c r="O1340" s="2">
        <v>1081</v>
      </c>
      <c r="P1340" s="2">
        <v>16019</v>
      </c>
      <c r="Q1340" s="2">
        <v>1</v>
      </c>
      <c r="R1340" t="s">
        <v>43</v>
      </c>
      <c r="S1340" s="2">
        <v>3</v>
      </c>
      <c r="T1340" s="2">
        <v>3</v>
      </c>
      <c r="U1340">
        <v>80</v>
      </c>
      <c r="V1340" s="2">
        <v>1</v>
      </c>
      <c r="W1340">
        <v>3</v>
      </c>
      <c r="X1340">
        <v>2</v>
      </c>
      <c r="Y1340">
        <v>1</v>
      </c>
      <c r="Z1340">
        <v>0</v>
      </c>
      <c r="AA1340">
        <v>0</v>
      </c>
      <c r="AB1340">
        <v>0</v>
      </c>
    </row>
    <row r="1341" spans="1:28" x14ac:dyDescent="0.35">
      <c r="A1341" s="2">
        <v>22</v>
      </c>
      <c r="B1341" s="2" t="str" cm="1">
        <f t="array" ref="B1341">_xlfn.IFS(HR_table[[#This Row],[Age]]&lt;=20, "Under 20yrs",HR_table[[#This Row],[Age]]&lt;=30,"(21-30)yrs",HR_table[[#This Row],[Age]]&lt;=40,"(31-40)yrs",HR_table[[#This Row],[Age]]&lt;=50,"(41-50)yrs",HR_table[[#This Row],[Age]]&lt;=60,"(51-60)yrs")</f>
        <v>(21-30)yrs</v>
      </c>
      <c r="C1341" t="s">
        <v>35</v>
      </c>
      <c r="D1341" t="s">
        <v>36</v>
      </c>
      <c r="E1341" t="s">
        <v>45</v>
      </c>
      <c r="F1341" t="s">
        <v>38</v>
      </c>
      <c r="G1341" t="s">
        <v>47</v>
      </c>
      <c r="H1341">
        <v>1878</v>
      </c>
      <c r="I1341" s="2">
        <v>7</v>
      </c>
      <c r="J1341" s="2">
        <v>4</v>
      </c>
      <c r="K1341" t="s">
        <v>46</v>
      </c>
      <c r="L1341" s="2">
        <v>1</v>
      </c>
      <c r="M1341" s="2">
        <v>2</v>
      </c>
      <c r="N1341" t="s">
        <v>41</v>
      </c>
      <c r="O1341" s="2">
        <v>2472</v>
      </c>
      <c r="P1341" s="2">
        <v>26092</v>
      </c>
      <c r="Q1341" s="2">
        <v>1</v>
      </c>
      <c r="R1341" t="s">
        <v>35</v>
      </c>
      <c r="S1341" s="2">
        <v>4</v>
      </c>
      <c r="T1341" s="2">
        <v>1</v>
      </c>
      <c r="U1341">
        <v>80</v>
      </c>
      <c r="V1341" s="2">
        <v>1</v>
      </c>
      <c r="W1341">
        <v>2</v>
      </c>
      <c r="X1341">
        <v>3</v>
      </c>
      <c r="Y1341">
        <v>1</v>
      </c>
      <c r="Z1341">
        <v>0</v>
      </c>
      <c r="AA1341">
        <v>0</v>
      </c>
      <c r="AB1341">
        <v>0</v>
      </c>
    </row>
    <row r="1342" spans="1:28" x14ac:dyDescent="0.35">
      <c r="A1342" s="2">
        <v>36</v>
      </c>
      <c r="B1342" s="2" t="str" cm="1">
        <f t="array" ref="B1342">_xlfn.IFS(HR_table[[#This Row],[Age]]&lt;=20, "Under 20yrs",HR_table[[#This Row],[Age]]&lt;=30,"(21-30)yrs",HR_table[[#This Row],[Age]]&lt;=40,"(31-40)yrs",HR_table[[#This Row],[Age]]&lt;=50,"(41-50)yrs",HR_table[[#This Row],[Age]]&lt;=60,"(51-60)yrs")</f>
        <v>(31-40)yrs</v>
      </c>
      <c r="C1342" t="s">
        <v>43</v>
      </c>
      <c r="D1342" t="s">
        <v>36</v>
      </c>
      <c r="E1342" t="s">
        <v>37</v>
      </c>
      <c r="F1342" t="s">
        <v>60</v>
      </c>
      <c r="G1342" t="s">
        <v>40</v>
      </c>
      <c r="H1342">
        <v>1880</v>
      </c>
      <c r="I1342" s="2">
        <v>10</v>
      </c>
      <c r="J1342" s="2">
        <v>2</v>
      </c>
      <c r="K1342" t="s">
        <v>39</v>
      </c>
      <c r="L1342" s="2">
        <v>2</v>
      </c>
      <c r="M1342" s="2">
        <v>3</v>
      </c>
      <c r="N1342" t="s">
        <v>48</v>
      </c>
      <c r="O1342" s="2">
        <v>5673</v>
      </c>
      <c r="P1342" s="2">
        <v>6060</v>
      </c>
      <c r="Q1342" s="2">
        <v>1</v>
      </c>
      <c r="R1342" t="s">
        <v>35</v>
      </c>
      <c r="S1342" s="2">
        <v>3</v>
      </c>
      <c r="T1342" s="2">
        <v>1</v>
      </c>
      <c r="U1342">
        <v>80</v>
      </c>
      <c r="V1342" s="2">
        <v>10</v>
      </c>
      <c r="W1342">
        <v>4</v>
      </c>
      <c r="X1342">
        <v>3</v>
      </c>
      <c r="Y1342">
        <v>10</v>
      </c>
      <c r="Z1342">
        <v>9</v>
      </c>
      <c r="AA1342">
        <v>1</v>
      </c>
      <c r="AB1342">
        <v>7</v>
      </c>
    </row>
    <row r="1343" spans="1:28" x14ac:dyDescent="0.35">
      <c r="A1343" s="2">
        <v>31</v>
      </c>
      <c r="B1343" s="2" t="str" cm="1">
        <f t="array" ref="B1343">_xlfn.IFS(HR_table[[#This Row],[Age]]&lt;=20, "Under 20yrs",HR_table[[#This Row],[Age]]&lt;=30,"(21-30)yrs",HR_table[[#This Row],[Age]]&lt;=40,"(31-40)yrs",HR_table[[#This Row],[Age]]&lt;=50,"(41-50)yrs",HR_table[[#This Row],[Age]]&lt;=60,"(51-60)yrs")</f>
        <v>(31-40)yrs</v>
      </c>
      <c r="C1343" t="s">
        <v>43</v>
      </c>
      <c r="D1343" t="s">
        <v>36</v>
      </c>
      <c r="E1343" t="s">
        <v>45</v>
      </c>
      <c r="F1343" t="s">
        <v>38</v>
      </c>
      <c r="G1343" t="s">
        <v>50</v>
      </c>
      <c r="H1343">
        <v>1881</v>
      </c>
      <c r="I1343" s="2">
        <v>20</v>
      </c>
      <c r="J1343" s="2">
        <v>2</v>
      </c>
      <c r="K1343" t="s">
        <v>46</v>
      </c>
      <c r="L1343" s="2">
        <v>2</v>
      </c>
      <c r="M1343" s="2">
        <v>3</v>
      </c>
      <c r="N1343" t="s">
        <v>52</v>
      </c>
      <c r="O1343" s="2">
        <v>4197</v>
      </c>
      <c r="P1343" s="2">
        <v>18624</v>
      </c>
      <c r="Q1343" s="2">
        <v>1</v>
      </c>
      <c r="R1343" t="s">
        <v>43</v>
      </c>
      <c r="S1343" s="2">
        <v>3</v>
      </c>
      <c r="T1343" s="2">
        <v>1</v>
      </c>
      <c r="U1343">
        <v>80</v>
      </c>
      <c r="V1343" s="2">
        <v>10</v>
      </c>
      <c r="W1343">
        <v>2</v>
      </c>
      <c r="X1343">
        <v>3</v>
      </c>
      <c r="Y1343">
        <v>10</v>
      </c>
      <c r="Z1343">
        <v>8</v>
      </c>
      <c r="AA1343">
        <v>0</v>
      </c>
      <c r="AB1343">
        <v>2</v>
      </c>
    </row>
    <row r="1344" spans="1:28" x14ac:dyDescent="0.35">
      <c r="A1344" s="2">
        <v>34</v>
      </c>
      <c r="B1344" s="2" t="str" cm="1">
        <f t="array" ref="B1344">_xlfn.IFS(HR_table[[#This Row],[Age]]&lt;=20, "Under 20yrs",HR_table[[#This Row],[Age]]&lt;=30,"(21-30)yrs",HR_table[[#This Row],[Age]]&lt;=40,"(31-40)yrs",HR_table[[#This Row],[Age]]&lt;=50,"(41-50)yrs",HR_table[[#This Row],[Age]]&lt;=60,"(51-60)yrs")</f>
        <v>(31-40)yrs</v>
      </c>
      <c r="C1344" t="s">
        <v>43</v>
      </c>
      <c r="D1344" t="s">
        <v>36</v>
      </c>
      <c r="E1344" t="s">
        <v>37</v>
      </c>
      <c r="F1344" t="s">
        <v>38</v>
      </c>
      <c r="G1344" t="s">
        <v>40</v>
      </c>
      <c r="H1344">
        <v>1882</v>
      </c>
      <c r="I1344" s="2">
        <v>4</v>
      </c>
      <c r="J1344" s="2">
        <v>3</v>
      </c>
      <c r="K1344" t="s">
        <v>46</v>
      </c>
      <c r="L1344" s="2">
        <v>3</v>
      </c>
      <c r="M1344" s="2">
        <v>4</v>
      </c>
      <c r="N1344" t="s">
        <v>48</v>
      </c>
      <c r="O1344" s="2">
        <v>9713</v>
      </c>
      <c r="P1344" s="2">
        <v>24444</v>
      </c>
      <c r="Q1344" s="2">
        <v>2</v>
      </c>
      <c r="R1344" t="s">
        <v>35</v>
      </c>
      <c r="S1344" s="2">
        <v>3</v>
      </c>
      <c r="T1344" s="2">
        <v>4</v>
      </c>
      <c r="U1344">
        <v>80</v>
      </c>
      <c r="V1344" s="2">
        <v>9</v>
      </c>
      <c r="W1344">
        <v>3</v>
      </c>
      <c r="X1344">
        <v>3</v>
      </c>
      <c r="Y1344">
        <v>5</v>
      </c>
      <c r="Z1344">
        <v>3</v>
      </c>
      <c r="AA1344">
        <v>1</v>
      </c>
      <c r="AB1344">
        <v>0</v>
      </c>
    </row>
    <row r="1345" spans="1:28" x14ac:dyDescent="0.35">
      <c r="A1345" s="2">
        <v>29</v>
      </c>
      <c r="B1345" s="2" t="str" cm="1">
        <f t="array" ref="B1345">_xlfn.IFS(HR_table[[#This Row],[Age]]&lt;=20, "Under 20yrs",HR_table[[#This Row],[Age]]&lt;=30,"(21-30)yrs",HR_table[[#This Row],[Age]]&lt;=40,"(31-40)yrs",HR_table[[#This Row],[Age]]&lt;=50,"(41-50)yrs",HR_table[[#This Row],[Age]]&lt;=60,"(51-60)yrs")</f>
        <v>(21-30)yrs</v>
      </c>
      <c r="C1345" t="s">
        <v>43</v>
      </c>
      <c r="D1345" t="s">
        <v>36</v>
      </c>
      <c r="E1345" t="s">
        <v>45</v>
      </c>
      <c r="F1345" t="s">
        <v>38</v>
      </c>
      <c r="G1345" t="s">
        <v>50</v>
      </c>
      <c r="H1345">
        <v>1883</v>
      </c>
      <c r="I1345" s="2">
        <v>7</v>
      </c>
      <c r="J1345" s="2">
        <v>4</v>
      </c>
      <c r="K1345" t="s">
        <v>46</v>
      </c>
      <c r="L1345" s="2">
        <v>1</v>
      </c>
      <c r="M1345" s="2">
        <v>1</v>
      </c>
      <c r="N1345" t="s">
        <v>41</v>
      </c>
      <c r="O1345" s="2">
        <v>2062</v>
      </c>
      <c r="P1345" s="2">
        <v>19384</v>
      </c>
      <c r="Q1345" s="2">
        <v>3</v>
      </c>
      <c r="R1345" t="s">
        <v>43</v>
      </c>
      <c r="S1345" s="2">
        <v>3</v>
      </c>
      <c r="T1345" s="2">
        <v>2</v>
      </c>
      <c r="U1345">
        <v>80</v>
      </c>
      <c r="V1345" s="2">
        <v>11</v>
      </c>
      <c r="W1345">
        <v>2</v>
      </c>
      <c r="X1345">
        <v>3</v>
      </c>
      <c r="Y1345">
        <v>3</v>
      </c>
      <c r="Z1345">
        <v>2</v>
      </c>
      <c r="AA1345">
        <v>1</v>
      </c>
      <c r="AB1345">
        <v>2</v>
      </c>
    </row>
    <row r="1346" spans="1:28" x14ac:dyDescent="0.35">
      <c r="A1346" s="2">
        <v>37</v>
      </c>
      <c r="B1346" s="2" t="str" cm="1">
        <f t="array" ref="B1346">_xlfn.IFS(HR_table[[#This Row],[Age]]&lt;=20, "Under 20yrs",HR_table[[#This Row],[Age]]&lt;=30,"(21-30)yrs",HR_table[[#This Row],[Age]]&lt;=40,"(31-40)yrs",HR_table[[#This Row],[Age]]&lt;=50,"(41-50)yrs",HR_table[[#This Row],[Age]]&lt;=60,"(51-60)yrs")</f>
        <v>(31-40)yrs</v>
      </c>
      <c r="C1346" t="s">
        <v>43</v>
      </c>
      <c r="D1346" t="s">
        <v>36</v>
      </c>
      <c r="E1346" t="s">
        <v>45</v>
      </c>
      <c r="F1346" t="s">
        <v>51</v>
      </c>
      <c r="G1346" t="s">
        <v>47</v>
      </c>
      <c r="H1346">
        <v>1885</v>
      </c>
      <c r="I1346" s="2">
        <v>7</v>
      </c>
      <c r="J1346" s="2">
        <v>4</v>
      </c>
      <c r="K1346" t="s">
        <v>46</v>
      </c>
      <c r="L1346" s="2">
        <v>2</v>
      </c>
      <c r="M1346" s="2">
        <v>1</v>
      </c>
      <c r="N1346" t="s">
        <v>48</v>
      </c>
      <c r="O1346" s="2">
        <v>4284</v>
      </c>
      <c r="P1346" s="2">
        <v>13588</v>
      </c>
      <c r="Q1346" s="2">
        <v>5</v>
      </c>
      <c r="R1346" t="s">
        <v>35</v>
      </c>
      <c r="S1346" s="2">
        <v>4</v>
      </c>
      <c r="T1346" s="2">
        <v>3</v>
      </c>
      <c r="U1346">
        <v>80</v>
      </c>
      <c r="V1346" s="2">
        <v>16</v>
      </c>
      <c r="W1346">
        <v>2</v>
      </c>
      <c r="X1346">
        <v>3</v>
      </c>
      <c r="Y1346">
        <v>5</v>
      </c>
      <c r="Z1346">
        <v>3</v>
      </c>
      <c r="AA1346">
        <v>0</v>
      </c>
      <c r="AB1346">
        <v>4</v>
      </c>
    </row>
    <row r="1347" spans="1:28" x14ac:dyDescent="0.35">
      <c r="A1347" s="2">
        <v>35</v>
      </c>
      <c r="B1347" s="2" t="str" cm="1">
        <f t="array" ref="B1347">_xlfn.IFS(HR_table[[#This Row],[Age]]&lt;=20, "Under 20yrs",HR_table[[#This Row],[Age]]&lt;=30,"(21-30)yrs",HR_table[[#This Row],[Age]]&lt;=40,"(31-40)yrs",HR_table[[#This Row],[Age]]&lt;=50,"(41-50)yrs",HR_table[[#This Row],[Age]]&lt;=60,"(51-60)yrs")</f>
        <v>(31-40)yrs</v>
      </c>
      <c r="C1347" t="s">
        <v>43</v>
      </c>
      <c r="D1347" t="s">
        <v>36</v>
      </c>
      <c r="E1347" t="s">
        <v>45</v>
      </c>
      <c r="F1347" t="s">
        <v>49</v>
      </c>
      <c r="G1347" t="s">
        <v>53</v>
      </c>
      <c r="H1347">
        <v>1886</v>
      </c>
      <c r="I1347" s="2">
        <v>16</v>
      </c>
      <c r="J1347" s="2">
        <v>4</v>
      </c>
      <c r="K1347" t="s">
        <v>39</v>
      </c>
      <c r="L1347" s="2">
        <v>2</v>
      </c>
      <c r="M1347" s="2">
        <v>2</v>
      </c>
      <c r="N1347" t="s">
        <v>48</v>
      </c>
      <c r="O1347" s="2">
        <v>4788</v>
      </c>
      <c r="P1347" s="2">
        <v>25388</v>
      </c>
      <c r="Q1347" s="2">
        <v>0</v>
      </c>
      <c r="R1347" t="s">
        <v>35</v>
      </c>
      <c r="S1347" s="2">
        <v>3</v>
      </c>
      <c r="T1347" s="2">
        <v>4</v>
      </c>
      <c r="U1347">
        <v>80</v>
      </c>
      <c r="V1347" s="2">
        <v>4</v>
      </c>
      <c r="W1347">
        <v>2</v>
      </c>
      <c r="X1347">
        <v>3</v>
      </c>
      <c r="Y1347">
        <v>3</v>
      </c>
      <c r="Z1347">
        <v>2</v>
      </c>
      <c r="AA1347">
        <v>0</v>
      </c>
      <c r="AB1347">
        <v>2</v>
      </c>
    </row>
    <row r="1348" spans="1:28" x14ac:dyDescent="0.35">
      <c r="A1348" s="2">
        <v>45</v>
      </c>
      <c r="B1348" s="2" t="str" cm="1">
        <f t="array" ref="B1348">_xlfn.IFS(HR_table[[#This Row],[Age]]&lt;=20, "Under 20yrs",HR_table[[#This Row],[Age]]&lt;=30,"(21-30)yrs",HR_table[[#This Row],[Age]]&lt;=40,"(31-40)yrs",HR_table[[#This Row],[Age]]&lt;=50,"(41-50)yrs",HR_table[[#This Row],[Age]]&lt;=60,"(51-60)yrs")</f>
        <v>(41-50)yrs</v>
      </c>
      <c r="C1348" t="s">
        <v>43</v>
      </c>
      <c r="D1348" t="s">
        <v>36</v>
      </c>
      <c r="E1348" t="s">
        <v>45</v>
      </c>
      <c r="F1348" t="s">
        <v>38</v>
      </c>
      <c r="G1348" t="s">
        <v>53</v>
      </c>
      <c r="H1348">
        <v>1888</v>
      </c>
      <c r="I1348" s="2">
        <v>25</v>
      </c>
      <c r="J1348" s="2">
        <v>2</v>
      </c>
      <c r="K1348" t="s">
        <v>39</v>
      </c>
      <c r="L1348" s="2">
        <v>2</v>
      </c>
      <c r="M1348" s="2">
        <v>4</v>
      </c>
      <c r="N1348" t="s">
        <v>48</v>
      </c>
      <c r="O1348" s="2">
        <v>5906</v>
      </c>
      <c r="P1348" s="2">
        <v>23888</v>
      </c>
      <c r="Q1348" s="2">
        <v>0</v>
      </c>
      <c r="R1348" t="s">
        <v>43</v>
      </c>
      <c r="S1348" s="2">
        <v>3</v>
      </c>
      <c r="T1348" s="2">
        <v>4</v>
      </c>
      <c r="U1348">
        <v>80</v>
      </c>
      <c r="V1348" s="2">
        <v>10</v>
      </c>
      <c r="W1348">
        <v>2</v>
      </c>
      <c r="X1348">
        <v>2</v>
      </c>
      <c r="Y1348">
        <v>9</v>
      </c>
      <c r="Z1348">
        <v>8</v>
      </c>
      <c r="AA1348">
        <v>3</v>
      </c>
      <c r="AB1348">
        <v>8</v>
      </c>
    </row>
    <row r="1349" spans="1:28" x14ac:dyDescent="0.35">
      <c r="A1349" s="2">
        <v>36</v>
      </c>
      <c r="B1349" s="2" t="str" cm="1">
        <f t="array" ref="B1349">_xlfn.IFS(HR_table[[#This Row],[Age]]&lt;=20, "Under 20yrs",HR_table[[#This Row],[Age]]&lt;=30,"(21-30)yrs",HR_table[[#This Row],[Age]]&lt;=40,"(31-40)yrs",HR_table[[#This Row],[Age]]&lt;=50,"(41-50)yrs",HR_table[[#This Row],[Age]]&lt;=60,"(51-60)yrs")</f>
        <v>(31-40)yrs</v>
      </c>
      <c r="C1349" t="s">
        <v>43</v>
      </c>
      <c r="D1349" t="s">
        <v>44</v>
      </c>
      <c r="E1349" t="s">
        <v>61</v>
      </c>
      <c r="F1349" t="s">
        <v>61</v>
      </c>
      <c r="G1349" t="s">
        <v>61</v>
      </c>
      <c r="H1349">
        <v>1890</v>
      </c>
      <c r="I1349" s="2">
        <v>2</v>
      </c>
      <c r="J1349" s="2">
        <v>2</v>
      </c>
      <c r="K1349" t="s">
        <v>46</v>
      </c>
      <c r="L1349" s="2">
        <v>2</v>
      </c>
      <c r="M1349" s="2">
        <v>4</v>
      </c>
      <c r="N1349" t="s">
        <v>41</v>
      </c>
      <c r="O1349" s="2">
        <v>3886</v>
      </c>
      <c r="P1349" s="2">
        <v>4223</v>
      </c>
      <c r="Q1349" s="2">
        <v>1</v>
      </c>
      <c r="R1349" t="s">
        <v>43</v>
      </c>
      <c r="S1349" s="2">
        <v>4</v>
      </c>
      <c r="T1349" s="2">
        <v>4</v>
      </c>
      <c r="U1349">
        <v>80</v>
      </c>
      <c r="V1349" s="2">
        <v>10</v>
      </c>
      <c r="W1349">
        <v>2</v>
      </c>
      <c r="X1349">
        <v>2</v>
      </c>
      <c r="Y1349">
        <v>10</v>
      </c>
      <c r="Z1349">
        <v>1</v>
      </c>
      <c r="AA1349">
        <v>0</v>
      </c>
      <c r="AB1349">
        <v>8</v>
      </c>
    </row>
    <row r="1350" spans="1:28" x14ac:dyDescent="0.35">
      <c r="A1350" s="2">
        <v>40</v>
      </c>
      <c r="B1350" s="2" t="str" cm="1">
        <f t="array" ref="B1350">_xlfn.IFS(HR_table[[#This Row],[Age]]&lt;=20, "Under 20yrs",HR_table[[#This Row],[Age]]&lt;=30,"(21-30)yrs",HR_table[[#This Row],[Age]]&lt;=40,"(31-40)yrs",HR_table[[#This Row],[Age]]&lt;=50,"(41-50)yrs",HR_table[[#This Row],[Age]]&lt;=60,"(51-60)yrs")</f>
        <v>(31-40)yrs</v>
      </c>
      <c r="C1350" t="s">
        <v>43</v>
      </c>
      <c r="D1350" t="s">
        <v>36</v>
      </c>
      <c r="E1350" t="s">
        <v>45</v>
      </c>
      <c r="F1350" t="s">
        <v>38</v>
      </c>
      <c r="G1350" t="s">
        <v>56</v>
      </c>
      <c r="H1350">
        <v>1892</v>
      </c>
      <c r="I1350" s="2">
        <v>1</v>
      </c>
      <c r="J1350" s="2">
        <v>1</v>
      </c>
      <c r="K1350" t="s">
        <v>46</v>
      </c>
      <c r="L1350" s="2">
        <v>4</v>
      </c>
      <c r="M1350" s="2">
        <v>1</v>
      </c>
      <c r="N1350" t="s">
        <v>52</v>
      </c>
      <c r="O1350" s="2">
        <v>16823</v>
      </c>
      <c r="P1350" s="2">
        <v>18991</v>
      </c>
      <c r="Q1350" s="2">
        <v>2</v>
      </c>
      <c r="R1350" t="s">
        <v>43</v>
      </c>
      <c r="S1350" s="2">
        <v>3</v>
      </c>
      <c r="T1350" s="2">
        <v>1</v>
      </c>
      <c r="U1350">
        <v>80</v>
      </c>
      <c r="V1350" s="2">
        <v>22</v>
      </c>
      <c r="W1350">
        <v>3</v>
      </c>
      <c r="X1350">
        <v>3</v>
      </c>
      <c r="Y1350">
        <v>19</v>
      </c>
      <c r="Z1350">
        <v>7</v>
      </c>
      <c r="AA1350">
        <v>11</v>
      </c>
      <c r="AB1350">
        <v>16</v>
      </c>
    </row>
    <row r="1351" spans="1:28" x14ac:dyDescent="0.35">
      <c r="A1351" s="2">
        <v>26</v>
      </c>
      <c r="B1351" s="2" t="str" cm="1">
        <f t="array" ref="B1351">_xlfn.IFS(HR_table[[#This Row],[Age]]&lt;=20, "Under 20yrs",HR_table[[#This Row],[Age]]&lt;=30,"(21-30)yrs",HR_table[[#This Row],[Age]]&lt;=40,"(31-40)yrs",HR_table[[#This Row],[Age]]&lt;=50,"(41-50)yrs",HR_table[[#This Row],[Age]]&lt;=60,"(51-60)yrs")</f>
        <v>(21-30)yrs</v>
      </c>
      <c r="C1351" t="s">
        <v>43</v>
      </c>
      <c r="D1351" t="s">
        <v>36</v>
      </c>
      <c r="E1351" t="s">
        <v>45</v>
      </c>
      <c r="F1351" t="s">
        <v>38</v>
      </c>
      <c r="G1351" t="s">
        <v>47</v>
      </c>
      <c r="H1351">
        <v>1893</v>
      </c>
      <c r="I1351" s="2">
        <v>1</v>
      </c>
      <c r="J1351" s="2">
        <v>2</v>
      </c>
      <c r="K1351" t="s">
        <v>39</v>
      </c>
      <c r="L1351" s="2">
        <v>1</v>
      </c>
      <c r="M1351" s="2">
        <v>3</v>
      </c>
      <c r="N1351" t="s">
        <v>48</v>
      </c>
      <c r="O1351" s="2">
        <v>2933</v>
      </c>
      <c r="P1351" s="2">
        <v>14908</v>
      </c>
      <c r="Q1351" s="2">
        <v>1</v>
      </c>
      <c r="R1351" t="s">
        <v>35</v>
      </c>
      <c r="S1351" s="2">
        <v>3</v>
      </c>
      <c r="T1351" s="2">
        <v>3</v>
      </c>
      <c r="U1351">
        <v>80</v>
      </c>
      <c r="V1351" s="2">
        <v>1</v>
      </c>
      <c r="W1351">
        <v>3</v>
      </c>
      <c r="X1351">
        <v>2</v>
      </c>
      <c r="Y1351">
        <v>1</v>
      </c>
      <c r="Z1351">
        <v>0</v>
      </c>
      <c r="AA1351">
        <v>1</v>
      </c>
      <c r="AB1351">
        <v>0</v>
      </c>
    </row>
    <row r="1352" spans="1:28" x14ac:dyDescent="0.35">
      <c r="A1352" s="2">
        <v>27</v>
      </c>
      <c r="B1352" s="2" t="str" cm="1">
        <f t="array" ref="B1352">_xlfn.IFS(HR_table[[#This Row],[Age]]&lt;=20, "Under 20yrs",HR_table[[#This Row],[Age]]&lt;=30,"(21-30)yrs",HR_table[[#This Row],[Age]]&lt;=40,"(31-40)yrs",HR_table[[#This Row],[Age]]&lt;=50,"(41-50)yrs",HR_table[[#This Row],[Age]]&lt;=60,"(51-60)yrs")</f>
        <v>(21-30)yrs</v>
      </c>
      <c r="C1352" t="s">
        <v>43</v>
      </c>
      <c r="D1352" t="s">
        <v>36</v>
      </c>
      <c r="E1352" t="s">
        <v>37</v>
      </c>
      <c r="F1352" t="s">
        <v>51</v>
      </c>
      <c r="G1352" t="s">
        <v>40</v>
      </c>
      <c r="H1352">
        <v>1898</v>
      </c>
      <c r="I1352" s="2">
        <v>2</v>
      </c>
      <c r="J1352" s="2">
        <v>1</v>
      </c>
      <c r="K1352" t="s">
        <v>39</v>
      </c>
      <c r="L1352" s="2">
        <v>2</v>
      </c>
      <c r="M1352" s="2">
        <v>3</v>
      </c>
      <c r="N1352" t="s">
        <v>41</v>
      </c>
      <c r="O1352" s="2">
        <v>6500</v>
      </c>
      <c r="P1352" s="2">
        <v>26997</v>
      </c>
      <c r="Q1352" s="2">
        <v>0</v>
      </c>
      <c r="R1352" t="s">
        <v>43</v>
      </c>
      <c r="S1352" s="2">
        <v>3</v>
      </c>
      <c r="T1352" s="2">
        <v>2</v>
      </c>
      <c r="U1352">
        <v>80</v>
      </c>
      <c r="V1352" s="2">
        <v>9</v>
      </c>
      <c r="W1352">
        <v>5</v>
      </c>
      <c r="X1352">
        <v>2</v>
      </c>
      <c r="Y1352">
        <v>8</v>
      </c>
      <c r="Z1352">
        <v>7</v>
      </c>
      <c r="AA1352">
        <v>0</v>
      </c>
      <c r="AB1352">
        <v>7</v>
      </c>
    </row>
    <row r="1353" spans="1:28" x14ac:dyDescent="0.35">
      <c r="A1353" s="2">
        <v>48</v>
      </c>
      <c r="B1353" s="2" t="str" cm="1">
        <f t="array" ref="B1353">_xlfn.IFS(HR_table[[#This Row],[Age]]&lt;=20, "Under 20yrs",HR_table[[#This Row],[Age]]&lt;=30,"(21-30)yrs",HR_table[[#This Row],[Age]]&lt;=40,"(31-40)yrs",HR_table[[#This Row],[Age]]&lt;=50,"(41-50)yrs",HR_table[[#This Row],[Age]]&lt;=60,"(51-60)yrs")</f>
        <v>(41-50)yrs</v>
      </c>
      <c r="C1353" t="s">
        <v>43</v>
      </c>
      <c r="D1353" t="s">
        <v>44</v>
      </c>
      <c r="E1353" t="s">
        <v>45</v>
      </c>
      <c r="F1353" t="s">
        <v>51</v>
      </c>
      <c r="G1353" t="s">
        <v>56</v>
      </c>
      <c r="H1353">
        <v>1900</v>
      </c>
      <c r="I1353" s="2">
        <v>22</v>
      </c>
      <c r="J1353" s="2">
        <v>4</v>
      </c>
      <c r="K1353" t="s">
        <v>39</v>
      </c>
      <c r="L1353" s="2">
        <v>4</v>
      </c>
      <c r="M1353" s="2">
        <v>4</v>
      </c>
      <c r="N1353" t="s">
        <v>52</v>
      </c>
      <c r="O1353" s="2">
        <v>17174</v>
      </c>
      <c r="P1353" s="2">
        <v>2437</v>
      </c>
      <c r="Q1353" s="2">
        <v>3</v>
      </c>
      <c r="R1353" t="s">
        <v>43</v>
      </c>
      <c r="S1353" s="2">
        <v>3</v>
      </c>
      <c r="T1353" s="2">
        <v>2</v>
      </c>
      <c r="U1353">
        <v>80</v>
      </c>
      <c r="V1353" s="2">
        <v>24</v>
      </c>
      <c r="W1353">
        <v>3</v>
      </c>
      <c r="X1353">
        <v>3</v>
      </c>
      <c r="Y1353">
        <v>22</v>
      </c>
      <c r="Z1353">
        <v>17</v>
      </c>
      <c r="AA1353">
        <v>4</v>
      </c>
      <c r="AB1353">
        <v>7</v>
      </c>
    </row>
    <row r="1354" spans="1:28" x14ac:dyDescent="0.35">
      <c r="A1354" s="2">
        <v>44</v>
      </c>
      <c r="B1354" s="2" t="str" cm="1">
        <f t="array" ref="B1354">_xlfn.IFS(HR_table[[#This Row],[Age]]&lt;=20, "Under 20yrs",HR_table[[#This Row],[Age]]&lt;=30,"(21-30)yrs",HR_table[[#This Row],[Age]]&lt;=40,"(31-40)yrs",HR_table[[#This Row],[Age]]&lt;=50,"(41-50)yrs",HR_table[[#This Row],[Age]]&lt;=60,"(51-60)yrs")</f>
        <v>(41-50)yrs</v>
      </c>
      <c r="C1354" t="s">
        <v>43</v>
      </c>
      <c r="D1354" t="s">
        <v>36</v>
      </c>
      <c r="E1354" t="s">
        <v>45</v>
      </c>
      <c r="F1354" t="s">
        <v>38</v>
      </c>
      <c r="G1354" t="s">
        <v>54</v>
      </c>
      <c r="H1354">
        <v>1903</v>
      </c>
      <c r="I1354" s="2">
        <v>1</v>
      </c>
      <c r="J1354" s="2">
        <v>2</v>
      </c>
      <c r="K1354" t="s">
        <v>46</v>
      </c>
      <c r="L1354" s="2">
        <v>2</v>
      </c>
      <c r="M1354" s="2">
        <v>1</v>
      </c>
      <c r="N1354" t="s">
        <v>48</v>
      </c>
      <c r="O1354" s="2">
        <v>5033</v>
      </c>
      <c r="P1354" s="2">
        <v>9364</v>
      </c>
      <c r="Q1354" s="2">
        <v>2</v>
      </c>
      <c r="R1354" t="s">
        <v>43</v>
      </c>
      <c r="S1354" s="2">
        <v>3</v>
      </c>
      <c r="T1354" s="2">
        <v>4</v>
      </c>
      <c r="U1354">
        <v>80</v>
      </c>
      <c r="V1354" s="2">
        <v>10</v>
      </c>
      <c r="W1354">
        <v>5</v>
      </c>
      <c r="X1354">
        <v>3</v>
      </c>
      <c r="Y1354">
        <v>2</v>
      </c>
      <c r="Z1354">
        <v>0</v>
      </c>
      <c r="AA1354">
        <v>2</v>
      </c>
      <c r="AB1354">
        <v>2</v>
      </c>
    </row>
    <row r="1355" spans="1:28" x14ac:dyDescent="0.35">
      <c r="A1355" s="2">
        <v>34</v>
      </c>
      <c r="B1355" s="2" t="str" cm="1">
        <f t="array" ref="B1355">_xlfn.IFS(HR_table[[#This Row],[Age]]&lt;=20, "Under 20yrs",HR_table[[#This Row],[Age]]&lt;=30,"(21-30)yrs",HR_table[[#This Row],[Age]]&lt;=40,"(31-40)yrs",HR_table[[#This Row],[Age]]&lt;=50,"(41-50)yrs",HR_table[[#This Row],[Age]]&lt;=60,"(51-60)yrs")</f>
        <v>(31-40)yrs</v>
      </c>
      <c r="C1355" t="s">
        <v>35</v>
      </c>
      <c r="D1355" t="s">
        <v>55</v>
      </c>
      <c r="E1355" t="s">
        <v>45</v>
      </c>
      <c r="F1355" t="s">
        <v>60</v>
      </c>
      <c r="G1355" t="s">
        <v>47</v>
      </c>
      <c r="H1355">
        <v>1905</v>
      </c>
      <c r="I1355" s="2">
        <v>16</v>
      </c>
      <c r="J1355" s="2">
        <v>4</v>
      </c>
      <c r="K1355" t="s">
        <v>46</v>
      </c>
      <c r="L1355" s="2">
        <v>1</v>
      </c>
      <c r="M1355" s="2">
        <v>1</v>
      </c>
      <c r="N1355" t="s">
        <v>48</v>
      </c>
      <c r="O1355" s="2">
        <v>2307</v>
      </c>
      <c r="P1355" s="2">
        <v>14460</v>
      </c>
      <c r="Q1355" s="2">
        <v>1</v>
      </c>
      <c r="R1355" t="s">
        <v>35</v>
      </c>
      <c r="S1355" s="2">
        <v>4</v>
      </c>
      <c r="T1355" s="2">
        <v>2</v>
      </c>
      <c r="U1355">
        <v>80</v>
      </c>
      <c r="V1355" s="2">
        <v>5</v>
      </c>
      <c r="W1355">
        <v>2</v>
      </c>
      <c r="X1355">
        <v>3</v>
      </c>
      <c r="Y1355">
        <v>5</v>
      </c>
      <c r="Z1355">
        <v>2</v>
      </c>
      <c r="AA1355">
        <v>3</v>
      </c>
      <c r="AB1355">
        <v>0</v>
      </c>
    </row>
    <row r="1356" spans="1:28" x14ac:dyDescent="0.35">
      <c r="A1356" s="2">
        <v>56</v>
      </c>
      <c r="B1356" s="2" t="str" cm="1">
        <f t="array" ref="B1356">_xlfn.IFS(HR_table[[#This Row],[Age]]&lt;=20, "Under 20yrs",HR_table[[#This Row],[Age]]&lt;=30,"(21-30)yrs",HR_table[[#This Row],[Age]]&lt;=40,"(31-40)yrs",HR_table[[#This Row],[Age]]&lt;=50,"(41-50)yrs",HR_table[[#This Row],[Age]]&lt;=60,"(51-60)yrs")</f>
        <v>(51-60)yrs</v>
      </c>
      <c r="C1356" t="s">
        <v>35</v>
      </c>
      <c r="D1356" t="s">
        <v>36</v>
      </c>
      <c r="E1356" t="s">
        <v>45</v>
      </c>
      <c r="F1356" t="s">
        <v>38</v>
      </c>
      <c r="G1356" t="s">
        <v>50</v>
      </c>
      <c r="H1356">
        <v>1907</v>
      </c>
      <c r="I1356" s="2">
        <v>24</v>
      </c>
      <c r="J1356" s="2">
        <v>1</v>
      </c>
      <c r="K1356" t="s">
        <v>46</v>
      </c>
      <c r="L1356" s="2">
        <v>1</v>
      </c>
      <c r="M1356" s="2">
        <v>4</v>
      </c>
      <c r="N1356" t="s">
        <v>41</v>
      </c>
      <c r="O1356" s="2">
        <v>2587</v>
      </c>
      <c r="P1356" s="2">
        <v>10261</v>
      </c>
      <c r="Q1356" s="2">
        <v>1</v>
      </c>
      <c r="R1356" t="s">
        <v>43</v>
      </c>
      <c r="S1356" s="2">
        <v>3</v>
      </c>
      <c r="T1356" s="2">
        <v>4</v>
      </c>
      <c r="U1356">
        <v>80</v>
      </c>
      <c r="V1356" s="2">
        <v>5</v>
      </c>
      <c r="W1356">
        <v>3</v>
      </c>
      <c r="X1356">
        <v>3</v>
      </c>
      <c r="Y1356">
        <v>4</v>
      </c>
      <c r="Z1356">
        <v>2</v>
      </c>
      <c r="AA1356">
        <v>1</v>
      </c>
      <c r="AB1356">
        <v>0</v>
      </c>
    </row>
    <row r="1357" spans="1:28" x14ac:dyDescent="0.35">
      <c r="A1357" s="2">
        <v>36</v>
      </c>
      <c r="B1357" s="2" t="str" cm="1">
        <f t="array" ref="B1357">_xlfn.IFS(HR_table[[#This Row],[Age]]&lt;=20, "Under 20yrs",HR_table[[#This Row],[Age]]&lt;=30,"(21-30)yrs",HR_table[[#This Row],[Age]]&lt;=40,"(31-40)yrs",HR_table[[#This Row],[Age]]&lt;=50,"(41-50)yrs",HR_table[[#This Row],[Age]]&lt;=60,"(51-60)yrs")</f>
        <v>(31-40)yrs</v>
      </c>
      <c r="C1357" t="s">
        <v>43</v>
      </c>
      <c r="D1357" t="s">
        <v>36</v>
      </c>
      <c r="E1357" t="s">
        <v>37</v>
      </c>
      <c r="F1357" t="s">
        <v>59</v>
      </c>
      <c r="G1357" t="s">
        <v>40</v>
      </c>
      <c r="H1357">
        <v>1908</v>
      </c>
      <c r="I1357" s="2">
        <v>17</v>
      </c>
      <c r="J1357" s="2">
        <v>3</v>
      </c>
      <c r="K1357" t="s">
        <v>46</v>
      </c>
      <c r="L1357" s="2">
        <v>2</v>
      </c>
      <c r="M1357" s="2">
        <v>2</v>
      </c>
      <c r="N1357" t="s">
        <v>48</v>
      </c>
      <c r="O1357" s="2">
        <v>5507</v>
      </c>
      <c r="P1357" s="2">
        <v>16822</v>
      </c>
      <c r="Q1357" s="2">
        <v>2</v>
      </c>
      <c r="R1357" t="s">
        <v>43</v>
      </c>
      <c r="S1357" s="2">
        <v>3</v>
      </c>
      <c r="T1357" s="2">
        <v>3</v>
      </c>
      <c r="U1357">
        <v>80</v>
      </c>
      <c r="V1357" s="2">
        <v>12</v>
      </c>
      <c r="W1357">
        <v>1</v>
      </c>
      <c r="X1357">
        <v>1</v>
      </c>
      <c r="Y1357">
        <v>4</v>
      </c>
      <c r="Z1357">
        <v>2</v>
      </c>
      <c r="AA1357">
        <v>1</v>
      </c>
      <c r="AB1357">
        <v>3</v>
      </c>
    </row>
    <row r="1358" spans="1:28" x14ac:dyDescent="0.35">
      <c r="A1358" s="2">
        <v>41</v>
      </c>
      <c r="B1358" s="2" t="str" cm="1">
        <f t="array" ref="B1358">_xlfn.IFS(HR_table[[#This Row],[Age]]&lt;=20, "Under 20yrs",HR_table[[#This Row],[Age]]&lt;=30,"(21-30)yrs",HR_table[[#This Row],[Age]]&lt;=40,"(31-40)yrs",HR_table[[#This Row],[Age]]&lt;=50,"(41-50)yrs",HR_table[[#This Row],[Age]]&lt;=60,"(51-60)yrs")</f>
        <v>(41-50)yrs</v>
      </c>
      <c r="C1358" t="s">
        <v>43</v>
      </c>
      <c r="D1358" t="s">
        <v>36</v>
      </c>
      <c r="E1358" t="s">
        <v>37</v>
      </c>
      <c r="F1358" t="s">
        <v>59</v>
      </c>
      <c r="G1358" t="s">
        <v>40</v>
      </c>
      <c r="H1358">
        <v>1909</v>
      </c>
      <c r="I1358" s="2">
        <v>8</v>
      </c>
      <c r="J1358" s="2">
        <v>3</v>
      </c>
      <c r="K1358" t="s">
        <v>39</v>
      </c>
      <c r="L1358" s="2">
        <v>2</v>
      </c>
      <c r="M1358" s="2">
        <v>2</v>
      </c>
      <c r="N1358" t="s">
        <v>48</v>
      </c>
      <c r="O1358" s="2">
        <v>4393</v>
      </c>
      <c r="P1358" s="2">
        <v>26841</v>
      </c>
      <c r="Q1358" s="2">
        <v>5</v>
      </c>
      <c r="R1358" t="s">
        <v>43</v>
      </c>
      <c r="S1358" s="2">
        <v>4</v>
      </c>
      <c r="T1358" s="2">
        <v>3</v>
      </c>
      <c r="U1358">
        <v>80</v>
      </c>
      <c r="V1358" s="2">
        <v>14</v>
      </c>
      <c r="W1358">
        <v>3</v>
      </c>
      <c r="X1358">
        <v>3</v>
      </c>
      <c r="Y1358">
        <v>5</v>
      </c>
      <c r="Z1358">
        <v>4</v>
      </c>
      <c r="AA1358">
        <v>1</v>
      </c>
      <c r="AB1358">
        <v>4</v>
      </c>
    </row>
    <row r="1359" spans="1:28" x14ac:dyDescent="0.35">
      <c r="A1359" s="2">
        <v>42</v>
      </c>
      <c r="B1359" s="2" t="str" cm="1">
        <f t="array" ref="B1359">_xlfn.IFS(HR_table[[#This Row],[Age]]&lt;=20, "Under 20yrs",HR_table[[#This Row],[Age]]&lt;=30,"(21-30)yrs",HR_table[[#This Row],[Age]]&lt;=40,"(31-40)yrs",HR_table[[#This Row],[Age]]&lt;=50,"(41-50)yrs",HR_table[[#This Row],[Age]]&lt;=60,"(51-60)yrs")</f>
        <v>(41-50)yrs</v>
      </c>
      <c r="C1359" t="s">
        <v>43</v>
      </c>
      <c r="D1359" t="s">
        <v>36</v>
      </c>
      <c r="E1359" t="s">
        <v>45</v>
      </c>
      <c r="F1359" t="s">
        <v>51</v>
      </c>
      <c r="G1359" t="s">
        <v>58</v>
      </c>
      <c r="H1359">
        <v>1911</v>
      </c>
      <c r="I1359" s="2">
        <v>6</v>
      </c>
      <c r="J1359" s="2">
        <v>3</v>
      </c>
      <c r="K1359" t="s">
        <v>46</v>
      </c>
      <c r="L1359" s="2">
        <v>3</v>
      </c>
      <c r="M1359" s="2">
        <v>1</v>
      </c>
      <c r="N1359" t="s">
        <v>48</v>
      </c>
      <c r="O1359" s="2">
        <v>13348</v>
      </c>
      <c r="P1359" s="2">
        <v>14842</v>
      </c>
      <c r="Q1359" s="2">
        <v>9</v>
      </c>
      <c r="R1359" t="s">
        <v>43</v>
      </c>
      <c r="S1359" s="2">
        <v>3</v>
      </c>
      <c r="T1359" s="2">
        <v>2</v>
      </c>
      <c r="U1359">
        <v>80</v>
      </c>
      <c r="V1359" s="2">
        <v>18</v>
      </c>
      <c r="W1359">
        <v>3</v>
      </c>
      <c r="X1359">
        <v>4</v>
      </c>
      <c r="Y1359">
        <v>13</v>
      </c>
      <c r="Z1359">
        <v>7</v>
      </c>
      <c r="AA1359">
        <v>5</v>
      </c>
      <c r="AB1359">
        <v>7</v>
      </c>
    </row>
    <row r="1360" spans="1:28" x14ac:dyDescent="0.35">
      <c r="A1360" s="2">
        <v>31</v>
      </c>
      <c r="B1360" s="2" t="str" cm="1">
        <f t="array" ref="B1360">_xlfn.IFS(HR_table[[#This Row],[Age]]&lt;=20, "Under 20yrs",HR_table[[#This Row],[Age]]&lt;=30,"(21-30)yrs",HR_table[[#This Row],[Age]]&lt;=40,"(31-40)yrs",HR_table[[#This Row],[Age]]&lt;=50,"(41-50)yrs",HR_table[[#This Row],[Age]]&lt;=60,"(51-60)yrs")</f>
        <v>(31-40)yrs</v>
      </c>
      <c r="C1360" t="s">
        <v>43</v>
      </c>
      <c r="D1360" t="s">
        <v>36</v>
      </c>
      <c r="E1360" t="s">
        <v>37</v>
      </c>
      <c r="F1360" t="s">
        <v>51</v>
      </c>
      <c r="G1360" t="s">
        <v>40</v>
      </c>
      <c r="H1360">
        <v>1912</v>
      </c>
      <c r="I1360" s="2">
        <v>10</v>
      </c>
      <c r="J1360" s="2">
        <v>3</v>
      </c>
      <c r="K1360" t="s">
        <v>39</v>
      </c>
      <c r="L1360" s="2">
        <v>2</v>
      </c>
      <c r="M1360" s="2">
        <v>4</v>
      </c>
      <c r="N1360" t="s">
        <v>52</v>
      </c>
      <c r="O1360" s="2">
        <v>6583</v>
      </c>
      <c r="P1360" s="2">
        <v>20115</v>
      </c>
      <c r="Q1360" s="2">
        <v>2</v>
      </c>
      <c r="R1360" t="s">
        <v>35</v>
      </c>
      <c r="S1360" s="2">
        <v>3</v>
      </c>
      <c r="T1360" s="2">
        <v>4</v>
      </c>
      <c r="U1360">
        <v>80</v>
      </c>
      <c r="V1360" s="2">
        <v>8</v>
      </c>
      <c r="W1360">
        <v>2</v>
      </c>
      <c r="X1360">
        <v>3</v>
      </c>
      <c r="Y1360">
        <v>5</v>
      </c>
      <c r="Z1360">
        <v>2</v>
      </c>
      <c r="AA1360">
        <v>1</v>
      </c>
      <c r="AB1360">
        <v>4</v>
      </c>
    </row>
    <row r="1361" spans="1:28" x14ac:dyDescent="0.35">
      <c r="A1361" s="2">
        <v>34</v>
      </c>
      <c r="B1361" s="2" t="str" cm="1">
        <f t="array" ref="B1361">_xlfn.IFS(HR_table[[#This Row],[Age]]&lt;=20, "Under 20yrs",HR_table[[#This Row],[Age]]&lt;=30,"(21-30)yrs",HR_table[[#This Row],[Age]]&lt;=40,"(31-40)yrs",HR_table[[#This Row],[Age]]&lt;=50,"(41-50)yrs",HR_table[[#This Row],[Age]]&lt;=60,"(51-60)yrs")</f>
        <v>(31-40)yrs</v>
      </c>
      <c r="C1361" t="s">
        <v>43</v>
      </c>
      <c r="D1361" t="s">
        <v>36</v>
      </c>
      <c r="E1361" t="s">
        <v>37</v>
      </c>
      <c r="F1361" t="s">
        <v>51</v>
      </c>
      <c r="G1361" t="s">
        <v>40</v>
      </c>
      <c r="H1361">
        <v>1915</v>
      </c>
      <c r="I1361" s="2">
        <v>3</v>
      </c>
      <c r="J1361" s="2">
        <v>4</v>
      </c>
      <c r="K1361" t="s">
        <v>39</v>
      </c>
      <c r="L1361" s="2">
        <v>2</v>
      </c>
      <c r="M1361" s="2">
        <v>4</v>
      </c>
      <c r="N1361" t="s">
        <v>48</v>
      </c>
      <c r="O1361" s="2">
        <v>8103</v>
      </c>
      <c r="P1361" s="2">
        <v>16495</v>
      </c>
      <c r="Q1361" s="2">
        <v>3</v>
      </c>
      <c r="R1361" t="s">
        <v>35</v>
      </c>
      <c r="S1361" s="2">
        <v>3</v>
      </c>
      <c r="T1361" s="2">
        <v>3</v>
      </c>
      <c r="U1361">
        <v>80</v>
      </c>
      <c r="V1361" s="2">
        <v>9</v>
      </c>
      <c r="W1361">
        <v>3</v>
      </c>
      <c r="X1361">
        <v>2</v>
      </c>
      <c r="Y1361">
        <v>4</v>
      </c>
      <c r="Z1361">
        <v>2</v>
      </c>
      <c r="AA1361">
        <v>0</v>
      </c>
      <c r="AB1361">
        <v>1</v>
      </c>
    </row>
    <row r="1362" spans="1:28" x14ac:dyDescent="0.35">
      <c r="A1362" s="2">
        <v>31</v>
      </c>
      <c r="B1362" s="2" t="str" cm="1">
        <f t="array" ref="B1362">_xlfn.IFS(HR_table[[#This Row],[Age]]&lt;=20, "Under 20yrs",HR_table[[#This Row],[Age]]&lt;=30,"(21-30)yrs",HR_table[[#This Row],[Age]]&lt;=40,"(31-40)yrs",HR_table[[#This Row],[Age]]&lt;=50,"(41-50)yrs",HR_table[[#This Row],[Age]]&lt;=60,"(51-60)yrs")</f>
        <v>(31-40)yrs</v>
      </c>
      <c r="C1362" t="s">
        <v>43</v>
      </c>
      <c r="D1362" t="s">
        <v>36</v>
      </c>
      <c r="E1362" t="s">
        <v>45</v>
      </c>
      <c r="F1362" t="s">
        <v>51</v>
      </c>
      <c r="G1362" t="s">
        <v>50</v>
      </c>
      <c r="H1362">
        <v>1916</v>
      </c>
      <c r="I1362" s="2">
        <v>4</v>
      </c>
      <c r="J1362" s="2">
        <v>1</v>
      </c>
      <c r="K1362" t="s">
        <v>39</v>
      </c>
      <c r="L1362" s="2">
        <v>1</v>
      </c>
      <c r="M1362" s="2">
        <v>3</v>
      </c>
      <c r="N1362" t="s">
        <v>52</v>
      </c>
      <c r="O1362" s="2">
        <v>3978</v>
      </c>
      <c r="P1362" s="2">
        <v>16031</v>
      </c>
      <c r="Q1362" s="2">
        <v>8</v>
      </c>
      <c r="R1362" t="s">
        <v>43</v>
      </c>
      <c r="S1362" s="2">
        <v>3</v>
      </c>
      <c r="T1362" s="2">
        <v>2</v>
      </c>
      <c r="U1362">
        <v>80</v>
      </c>
      <c r="V1362" s="2">
        <v>4</v>
      </c>
      <c r="W1362">
        <v>0</v>
      </c>
      <c r="X1362">
        <v>2</v>
      </c>
      <c r="Y1362">
        <v>2</v>
      </c>
      <c r="Z1362">
        <v>2</v>
      </c>
      <c r="AA1362">
        <v>2</v>
      </c>
      <c r="AB1362">
        <v>2</v>
      </c>
    </row>
    <row r="1363" spans="1:28" x14ac:dyDescent="0.35">
      <c r="A1363" s="2">
        <v>26</v>
      </c>
      <c r="B1363" s="2" t="str" cm="1">
        <f t="array" ref="B1363">_xlfn.IFS(HR_table[[#This Row],[Age]]&lt;=20, "Under 20yrs",HR_table[[#This Row],[Age]]&lt;=30,"(21-30)yrs",HR_table[[#This Row],[Age]]&lt;=40,"(31-40)yrs",HR_table[[#This Row],[Age]]&lt;=50,"(41-50)yrs",HR_table[[#This Row],[Age]]&lt;=60,"(51-60)yrs")</f>
        <v>(21-30)yrs</v>
      </c>
      <c r="C1363" t="s">
        <v>43</v>
      </c>
      <c r="D1363" t="s">
        <v>44</v>
      </c>
      <c r="E1363" t="s">
        <v>45</v>
      </c>
      <c r="F1363" t="s">
        <v>49</v>
      </c>
      <c r="G1363" t="s">
        <v>50</v>
      </c>
      <c r="H1363">
        <v>1918</v>
      </c>
      <c r="I1363" s="2">
        <v>6</v>
      </c>
      <c r="J1363" s="2">
        <v>3</v>
      </c>
      <c r="K1363" t="s">
        <v>46</v>
      </c>
      <c r="L1363" s="2">
        <v>1</v>
      </c>
      <c r="M1363" s="2">
        <v>4</v>
      </c>
      <c r="N1363" t="s">
        <v>48</v>
      </c>
      <c r="O1363" s="2">
        <v>2544</v>
      </c>
      <c r="P1363" s="2">
        <v>7102</v>
      </c>
      <c r="Q1363" s="2">
        <v>0</v>
      </c>
      <c r="R1363" t="s">
        <v>43</v>
      </c>
      <c r="S1363" s="2">
        <v>3</v>
      </c>
      <c r="T1363" s="2">
        <v>1</v>
      </c>
      <c r="U1363">
        <v>80</v>
      </c>
      <c r="V1363" s="2">
        <v>8</v>
      </c>
      <c r="W1363">
        <v>3</v>
      </c>
      <c r="X1363">
        <v>3</v>
      </c>
      <c r="Y1363">
        <v>7</v>
      </c>
      <c r="Z1363">
        <v>7</v>
      </c>
      <c r="AA1363">
        <v>7</v>
      </c>
      <c r="AB1363">
        <v>7</v>
      </c>
    </row>
    <row r="1364" spans="1:28" x14ac:dyDescent="0.35">
      <c r="A1364" s="2">
        <v>45</v>
      </c>
      <c r="B1364" s="2" t="str" cm="1">
        <f t="array" ref="B1364">_xlfn.IFS(HR_table[[#This Row],[Age]]&lt;=20, "Under 20yrs",HR_table[[#This Row],[Age]]&lt;=30,"(21-30)yrs",HR_table[[#This Row],[Age]]&lt;=40,"(31-40)yrs",HR_table[[#This Row],[Age]]&lt;=50,"(41-50)yrs",HR_table[[#This Row],[Age]]&lt;=60,"(51-60)yrs")</f>
        <v>(41-50)yrs</v>
      </c>
      <c r="C1364" t="s">
        <v>43</v>
      </c>
      <c r="D1364" t="s">
        <v>44</v>
      </c>
      <c r="E1364" t="s">
        <v>45</v>
      </c>
      <c r="F1364" t="s">
        <v>51</v>
      </c>
      <c r="G1364" t="s">
        <v>54</v>
      </c>
      <c r="H1364">
        <v>1922</v>
      </c>
      <c r="I1364" s="2">
        <v>1</v>
      </c>
      <c r="J1364" s="2">
        <v>2</v>
      </c>
      <c r="K1364" t="s">
        <v>46</v>
      </c>
      <c r="L1364" s="2">
        <v>2</v>
      </c>
      <c r="M1364" s="2">
        <v>3</v>
      </c>
      <c r="N1364" t="s">
        <v>41</v>
      </c>
      <c r="O1364" s="2">
        <v>5399</v>
      </c>
      <c r="P1364" s="2">
        <v>14511</v>
      </c>
      <c r="Q1364" s="2">
        <v>4</v>
      </c>
      <c r="R1364" t="s">
        <v>43</v>
      </c>
      <c r="S1364" s="2">
        <v>3</v>
      </c>
      <c r="T1364" s="2">
        <v>3</v>
      </c>
      <c r="U1364">
        <v>80</v>
      </c>
      <c r="V1364" s="2">
        <v>12</v>
      </c>
      <c r="W1364">
        <v>3</v>
      </c>
      <c r="X1364">
        <v>3</v>
      </c>
      <c r="Y1364">
        <v>4</v>
      </c>
      <c r="Z1364">
        <v>2</v>
      </c>
      <c r="AA1364">
        <v>0</v>
      </c>
      <c r="AB1364">
        <v>3</v>
      </c>
    </row>
    <row r="1365" spans="1:28" x14ac:dyDescent="0.35">
      <c r="A1365" s="2">
        <v>33</v>
      </c>
      <c r="B1365" s="2" t="str" cm="1">
        <f t="array" ref="B1365">_xlfn.IFS(HR_table[[#This Row],[Age]]&lt;=20, "Under 20yrs",HR_table[[#This Row],[Age]]&lt;=30,"(21-30)yrs",HR_table[[#This Row],[Age]]&lt;=40,"(31-40)yrs",HR_table[[#This Row],[Age]]&lt;=50,"(41-50)yrs",HR_table[[#This Row],[Age]]&lt;=60,"(51-60)yrs")</f>
        <v>(31-40)yrs</v>
      </c>
      <c r="C1365" t="s">
        <v>43</v>
      </c>
      <c r="D1365" t="s">
        <v>36</v>
      </c>
      <c r="E1365" t="s">
        <v>37</v>
      </c>
      <c r="F1365" t="s">
        <v>59</v>
      </c>
      <c r="G1365" t="s">
        <v>40</v>
      </c>
      <c r="H1365">
        <v>1924</v>
      </c>
      <c r="I1365" s="2">
        <v>10</v>
      </c>
      <c r="J1365" s="2">
        <v>2</v>
      </c>
      <c r="K1365" t="s">
        <v>46</v>
      </c>
      <c r="L1365" s="2">
        <v>2</v>
      </c>
      <c r="M1365" s="2">
        <v>3</v>
      </c>
      <c r="N1365" t="s">
        <v>41</v>
      </c>
      <c r="O1365" s="2">
        <v>5487</v>
      </c>
      <c r="P1365" s="2">
        <v>10410</v>
      </c>
      <c r="Q1365" s="2">
        <v>1</v>
      </c>
      <c r="R1365" t="s">
        <v>43</v>
      </c>
      <c r="S1365" s="2">
        <v>3</v>
      </c>
      <c r="T1365" s="2">
        <v>2</v>
      </c>
      <c r="U1365">
        <v>80</v>
      </c>
      <c r="V1365" s="2">
        <v>10</v>
      </c>
      <c r="W1365">
        <v>2</v>
      </c>
      <c r="X1365">
        <v>2</v>
      </c>
      <c r="Y1365">
        <v>10</v>
      </c>
      <c r="Z1365">
        <v>4</v>
      </c>
      <c r="AA1365">
        <v>0</v>
      </c>
      <c r="AB1365">
        <v>9</v>
      </c>
    </row>
    <row r="1366" spans="1:28" x14ac:dyDescent="0.35">
      <c r="A1366" s="2">
        <v>28</v>
      </c>
      <c r="B1366" s="2" t="str" cm="1">
        <f t="array" ref="B1366">_xlfn.IFS(HR_table[[#This Row],[Age]]&lt;=20, "Under 20yrs",HR_table[[#This Row],[Age]]&lt;=30,"(21-30)yrs",HR_table[[#This Row],[Age]]&lt;=40,"(31-40)yrs",HR_table[[#This Row],[Age]]&lt;=50,"(41-50)yrs",HR_table[[#This Row],[Age]]&lt;=60,"(51-60)yrs")</f>
        <v>(21-30)yrs</v>
      </c>
      <c r="C1366" t="s">
        <v>43</v>
      </c>
      <c r="D1366" t="s">
        <v>44</v>
      </c>
      <c r="E1366" t="s">
        <v>37</v>
      </c>
      <c r="F1366" t="s">
        <v>38</v>
      </c>
      <c r="G1366" t="s">
        <v>40</v>
      </c>
      <c r="H1366">
        <v>1927</v>
      </c>
      <c r="I1366" s="2">
        <v>1</v>
      </c>
      <c r="J1366" s="2">
        <v>3</v>
      </c>
      <c r="K1366" t="s">
        <v>46</v>
      </c>
      <c r="L1366" s="2">
        <v>2</v>
      </c>
      <c r="M1366" s="2">
        <v>4</v>
      </c>
      <c r="N1366" t="s">
        <v>48</v>
      </c>
      <c r="O1366" s="2">
        <v>6834</v>
      </c>
      <c r="P1366" s="2">
        <v>19255</v>
      </c>
      <c r="Q1366" s="2">
        <v>1</v>
      </c>
      <c r="R1366" t="s">
        <v>35</v>
      </c>
      <c r="S1366" s="2">
        <v>3</v>
      </c>
      <c r="T1366" s="2">
        <v>3</v>
      </c>
      <c r="U1366">
        <v>80</v>
      </c>
      <c r="V1366" s="2">
        <v>7</v>
      </c>
      <c r="W1366">
        <v>2</v>
      </c>
      <c r="X1366">
        <v>3</v>
      </c>
      <c r="Y1366">
        <v>7</v>
      </c>
      <c r="Z1366">
        <v>7</v>
      </c>
      <c r="AA1366">
        <v>0</v>
      </c>
      <c r="AB1366">
        <v>7</v>
      </c>
    </row>
    <row r="1367" spans="1:28" x14ac:dyDescent="0.35">
      <c r="A1367" s="2">
        <v>29</v>
      </c>
      <c r="B1367" s="2" t="str" cm="1">
        <f t="array" ref="B1367">_xlfn.IFS(HR_table[[#This Row],[Age]]&lt;=20, "Under 20yrs",HR_table[[#This Row],[Age]]&lt;=30,"(21-30)yrs",HR_table[[#This Row],[Age]]&lt;=40,"(31-40)yrs",HR_table[[#This Row],[Age]]&lt;=50,"(41-50)yrs",HR_table[[#This Row],[Age]]&lt;=60,"(51-60)yrs")</f>
        <v>(21-30)yrs</v>
      </c>
      <c r="C1367" t="s">
        <v>35</v>
      </c>
      <c r="D1367" t="s">
        <v>44</v>
      </c>
      <c r="E1367" t="s">
        <v>37</v>
      </c>
      <c r="F1367" t="s">
        <v>60</v>
      </c>
      <c r="G1367" t="s">
        <v>57</v>
      </c>
      <c r="H1367">
        <v>1928</v>
      </c>
      <c r="I1367" s="2">
        <v>24</v>
      </c>
      <c r="J1367" s="2">
        <v>3</v>
      </c>
      <c r="K1367" t="s">
        <v>46</v>
      </c>
      <c r="L1367" s="2">
        <v>1</v>
      </c>
      <c r="M1367" s="2">
        <v>1</v>
      </c>
      <c r="N1367" t="s">
        <v>41</v>
      </c>
      <c r="O1367" s="2">
        <v>1091</v>
      </c>
      <c r="P1367" s="2">
        <v>10642</v>
      </c>
      <c r="Q1367" s="2">
        <v>1</v>
      </c>
      <c r="R1367" t="s">
        <v>43</v>
      </c>
      <c r="S1367" s="2">
        <v>3</v>
      </c>
      <c r="T1367" s="2">
        <v>4</v>
      </c>
      <c r="U1367">
        <v>80</v>
      </c>
      <c r="V1367" s="2">
        <v>1</v>
      </c>
      <c r="W1367">
        <v>3</v>
      </c>
      <c r="X1367">
        <v>3</v>
      </c>
      <c r="Y1367">
        <v>1</v>
      </c>
      <c r="Z1367">
        <v>0</v>
      </c>
      <c r="AA1367">
        <v>0</v>
      </c>
      <c r="AB1367">
        <v>0</v>
      </c>
    </row>
    <row r="1368" spans="1:28" x14ac:dyDescent="0.35">
      <c r="A1368" s="2">
        <v>39</v>
      </c>
      <c r="B1368" s="2" t="str" cm="1">
        <f t="array" ref="B1368">_xlfn.IFS(HR_table[[#This Row],[Age]]&lt;=20, "Under 20yrs",HR_table[[#This Row],[Age]]&lt;=30,"(21-30)yrs",HR_table[[#This Row],[Age]]&lt;=40,"(31-40)yrs",HR_table[[#This Row],[Age]]&lt;=50,"(41-50)yrs",HR_table[[#This Row],[Age]]&lt;=60,"(51-60)yrs")</f>
        <v>(31-40)yrs</v>
      </c>
      <c r="C1368" t="s">
        <v>43</v>
      </c>
      <c r="D1368" t="s">
        <v>55</v>
      </c>
      <c r="E1368" t="s">
        <v>37</v>
      </c>
      <c r="F1368" t="s">
        <v>38</v>
      </c>
      <c r="G1368" t="s">
        <v>40</v>
      </c>
      <c r="H1368">
        <v>1929</v>
      </c>
      <c r="I1368" s="2">
        <v>21</v>
      </c>
      <c r="J1368" s="2">
        <v>1</v>
      </c>
      <c r="K1368" t="s">
        <v>39</v>
      </c>
      <c r="L1368" s="2">
        <v>2</v>
      </c>
      <c r="M1368" s="2">
        <v>3</v>
      </c>
      <c r="N1368" t="s">
        <v>48</v>
      </c>
      <c r="O1368" s="2">
        <v>5736</v>
      </c>
      <c r="P1368" s="2">
        <v>3987</v>
      </c>
      <c r="Q1368" s="2">
        <v>6</v>
      </c>
      <c r="R1368" t="s">
        <v>43</v>
      </c>
      <c r="S1368" s="2">
        <v>3</v>
      </c>
      <c r="T1368" s="2">
        <v>3</v>
      </c>
      <c r="U1368">
        <v>80</v>
      </c>
      <c r="V1368" s="2">
        <v>10</v>
      </c>
      <c r="W1368">
        <v>1</v>
      </c>
      <c r="X1368">
        <v>3</v>
      </c>
      <c r="Y1368">
        <v>3</v>
      </c>
      <c r="Z1368">
        <v>2</v>
      </c>
      <c r="AA1368">
        <v>1</v>
      </c>
      <c r="AB1368">
        <v>2</v>
      </c>
    </row>
    <row r="1369" spans="1:28" x14ac:dyDescent="0.35">
      <c r="A1369" s="2">
        <v>27</v>
      </c>
      <c r="B1369" s="2" t="str" cm="1">
        <f t="array" ref="B1369">_xlfn.IFS(HR_table[[#This Row],[Age]]&lt;=20, "Under 20yrs",HR_table[[#This Row],[Age]]&lt;=30,"(21-30)yrs",HR_table[[#This Row],[Age]]&lt;=40,"(31-40)yrs",HR_table[[#This Row],[Age]]&lt;=50,"(41-50)yrs",HR_table[[#This Row],[Age]]&lt;=60,"(51-60)yrs")</f>
        <v>(21-30)yrs</v>
      </c>
      <c r="C1369" t="s">
        <v>43</v>
      </c>
      <c r="D1369" t="s">
        <v>36</v>
      </c>
      <c r="E1369" t="s">
        <v>45</v>
      </c>
      <c r="F1369" t="s">
        <v>60</v>
      </c>
      <c r="G1369" t="s">
        <v>47</v>
      </c>
      <c r="H1369">
        <v>1931</v>
      </c>
      <c r="I1369" s="2">
        <v>2</v>
      </c>
      <c r="J1369" s="2">
        <v>2</v>
      </c>
      <c r="K1369" t="s">
        <v>46</v>
      </c>
      <c r="L1369" s="2">
        <v>1</v>
      </c>
      <c r="M1369" s="2">
        <v>2</v>
      </c>
      <c r="N1369" t="s">
        <v>48</v>
      </c>
      <c r="O1369" s="2">
        <v>2226</v>
      </c>
      <c r="P1369" s="2">
        <v>6073</v>
      </c>
      <c r="Q1369" s="2">
        <v>1</v>
      </c>
      <c r="R1369" t="s">
        <v>43</v>
      </c>
      <c r="S1369" s="2">
        <v>3</v>
      </c>
      <c r="T1369" s="2">
        <v>3</v>
      </c>
      <c r="U1369">
        <v>80</v>
      </c>
      <c r="V1369" s="2">
        <v>6</v>
      </c>
      <c r="W1369">
        <v>3</v>
      </c>
      <c r="X1369">
        <v>2</v>
      </c>
      <c r="Y1369">
        <v>5</v>
      </c>
      <c r="Z1369">
        <v>3</v>
      </c>
      <c r="AA1369">
        <v>1</v>
      </c>
      <c r="AB1369">
        <v>2</v>
      </c>
    </row>
    <row r="1370" spans="1:28" x14ac:dyDescent="0.35">
      <c r="A1370" s="2">
        <v>34</v>
      </c>
      <c r="B1370" s="2" t="str" cm="1">
        <f t="array" ref="B1370">_xlfn.IFS(HR_table[[#This Row],[Age]]&lt;=20, "Under 20yrs",HR_table[[#This Row],[Age]]&lt;=30,"(21-30)yrs",HR_table[[#This Row],[Age]]&lt;=40,"(31-40)yrs",HR_table[[#This Row],[Age]]&lt;=50,"(41-50)yrs",HR_table[[#This Row],[Age]]&lt;=60,"(51-60)yrs")</f>
        <v>(31-40)yrs</v>
      </c>
      <c r="C1370" t="s">
        <v>43</v>
      </c>
      <c r="D1370" t="s">
        <v>44</v>
      </c>
      <c r="E1370" t="s">
        <v>45</v>
      </c>
      <c r="F1370" t="s">
        <v>49</v>
      </c>
      <c r="G1370" t="s">
        <v>47</v>
      </c>
      <c r="H1370">
        <v>1932</v>
      </c>
      <c r="I1370" s="2">
        <v>22</v>
      </c>
      <c r="J1370" s="2">
        <v>3</v>
      </c>
      <c r="K1370" t="s">
        <v>46</v>
      </c>
      <c r="L1370" s="2">
        <v>2</v>
      </c>
      <c r="M1370" s="2">
        <v>4</v>
      </c>
      <c r="N1370" t="s">
        <v>48</v>
      </c>
      <c r="O1370" s="2">
        <v>5747</v>
      </c>
      <c r="P1370" s="2">
        <v>26496</v>
      </c>
      <c r="Q1370" s="2">
        <v>1</v>
      </c>
      <c r="R1370" t="s">
        <v>35</v>
      </c>
      <c r="S1370" s="2">
        <v>3</v>
      </c>
      <c r="T1370" s="2">
        <v>2</v>
      </c>
      <c r="U1370">
        <v>80</v>
      </c>
      <c r="V1370" s="2">
        <v>16</v>
      </c>
      <c r="W1370">
        <v>3</v>
      </c>
      <c r="X1370">
        <v>3</v>
      </c>
      <c r="Y1370">
        <v>15</v>
      </c>
      <c r="Z1370">
        <v>10</v>
      </c>
      <c r="AA1370">
        <v>6</v>
      </c>
      <c r="AB1370">
        <v>11</v>
      </c>
    </row>
    <row r="1371" spans="1:28" x14ac:dyDescent="0.35">
      <c r="A1371" s="2">
        <v>28</v>
      </c>
      <c r="B1371" s="2" t="str" cm="1">
        <f t="array" ref="B1371">_xlfn.IFS(HR_table[[#This Row],[Age]]&lt;=20, "Under 20yrs",HR_table[[#This Row],[Age]]&lt;=30,"(21-30)yrs",HR_table[[#This Row],[Age]]&lt;=40,"(31-40)yrs",HR_table[[#This Row],[Age]]&lt;=50,"(41-50)yrs",HR_table[[#This Row],[Age]]&lt;=60,"(51-60)yrs")</f>
        <v>(21-30)yrs</v>
      </c>
      <c r="C1371" t="s">
        <v>35</v>
      </c>
      <c r="D1371" t="s">
        <v>36</v>
      </c>
      <c r="E1371" t="s">
        <v>37</v>
      </c>
      <c r="F1371" t="s">
        <v>59</v>
      </c>
      <c r="G1371" t="s">
        <v>40</v>
      </c>
      <c r="H1371">
        <v>1933</v>
      </c>
      <c r="I1371" s="2">
        <v>13</v>
      </c>
      <c r="J1371" s="2">
        <v>4</v>
      </c>
      <c r="K1371" t="s">
        <v>39</v>
      </c>
      <c r="L1371" s="2">
        <v>2</v>
      </c>
      <c r="M1371" s="2">
        <v>3</v>
      </c>
      <c r="N1371" t="s">
        <v>41</v>
      </c>
      <c r="O1371" s="2">
        <v>9854</v>
      </c>
      <c r="P1371" s="2">
        <v>23352</v>
      </c>
      <c r="Q1371" s="2">
        <v>3</v>
      </c>
      <c r="R1371" t="s">
        <v>35</v>
      </c>
      <c r="S1371" s="2">
        <v>3</v>
      </c>
      <c r="T1371" s="2">
        <v>4</v>
      </c>
      <c r="U1371">
        <v>80</v>
      </c>
      <c r="V1371" s="2">
        <v>6</v>
      </c>
      <c r="W1371">
        <v>0</v>
      </c>
      <c r="X1371">
        <v>3</v>
      </c>
      <c r="Y1371">
        <v>2</v>
      </c>
      <c r="Z1371">
        <v>0</v>
      </c>
      <c r="AA1371">
        <v>2</v>
      </c>
      <c r="AB1371">
        <v>2</v>
      </c>
    </row>
    <row r="1372" spans="1:28" x14ac:dyDescent="0.35">
      <c r="A1372" s="2">
        <v>47</v>
      </c>
      <c r="B1372" s="2" t="str" cm="1">
        <f t="array" ref="B1372">_xlfn.IFS(HR_table[[#This Row],[Age]]&lt;=20, "Under 20yrs",HR_table[[#This Row],[Age]]&lt;=30,"(21-30)yrs",HR_table[[#This Row],[Age]]&lt;=40,"(31-40)yrs",HR_table[[#This Row],[Age]]&lt;=50,"(41-50)yrs",HR_table[[#This Row],[Age]]&lt;=60,"(51-60)yrs")</f>
        <v>(41-50)yrs</v>
      </c>
      <c r="C1372" t="s">
        <v>43</v>
      </c>
      <c r="D1372" t="s">
        <v>55</v>
      </c>
      <c r="E1372" t="s">
        <v>45</v>
      </c>
      <c r="F1372" t="s">
        <v>60</v>
      </c>
      <c r="G1372" t="s">
        <v>47</v>
      </c>
      <c r="H1372">
        <v>1934</v>
      </c>
      <c r="I1372" s="2">
        <v>14</v>
      </c>
      <c r="J1372" s="2">
        <v>3</v>
      </c>
      <c r="K1372" t="s">
        <v>46</v>
      </c>
      <c r="L1372" s="2">
        <v>2</v>
      </c>
      <c r="M1372" s="2">
        <v>2</v>
      </c>
      <c r="N1372" t="s">
        <v>48</v>
      </c>
      <c r="O1372" s="2">
        <v>5467</v>
      </c>
      <c r="P1372" s="2">
        <v>2125</v>
      </c>
      <c r="Q1372" s="2">
        <v>8</v>
      </c>
      <c r="R1372" t="s">
        <v>43</v>
      </c>
      <c r="S1372" s="2">
        <v>3</v>
      </c>
      <c r="T1372" s="2">
        <v>3</v>
      </c>
      <c r="U1372">
        <v>80</v>
      </c>
      <c r="V1372" s="2">
        <v>16</v>
      </c>
      <c r="W1372">
        <v>4</v>
      </c>
      <c r="X1372">
        <v>4</v>
      </c>
      <c r="Y1372">
        <v>8</v>
      </c>
      <c r="Z1372">
        <v>7</v>
      </c>
      <c r="AA1372">
        <v>1</v>
      </c>
      <c r="AB1372">
        <v>7</v>
      </c>
    </row>
    <row r="1373" spans="1:28" x14ac:dyDescent="0.35">
      <c r="A1373" s="2">
        <v>56</v>
      </c>
      <c r="B1373" s="2" t="str" cm="1">
        <f t="array" ref="B1373">_xlfn.IFS(HR_table[[#This Row],[Age]]&lt;=20, "Under 20yrs",HR_table[[#This Row],[Age]]&lt;=30,"(21-30)yrs",HR_table[[#This Row],[Age]]&lt;=40,"(31-40)yrs",HR_table[[#This Row],[Age]]&lt;=50,"(41-50)yrs",HR_table[[#This Row],[Age]]&lt;=60,"(51-60)yrs")</f>
        <v>(51-60)yrs</v>
      </c>
      <c r="C1373" t="s">
        <v>43</v>
      </c>
      <c r="D1373" t="s">
        <v>36</v>
      </c>
      <c r="E1373" t="s">
        <v>37</v>
      </c>
      <c r="F1373" t="s">
        <v>59</v>
      </c>
      <c r="G1373" t="s">
        <v>40</v>
      </c>
      <c r="H1373">
        <v>1935</v>
      </c>
      <c r="I1373" s="2">
        <v>11</v>
      </c>
      <c r="J1373" s="2">
        <v>4</v>
      </c>
      <c r="K1373" t="s">
        <v>39</v>
      </c>
      <c r="L1373" s="2">
        <v>2</v>
      </c>
      <c r="M1373" s="2">
        <v>1</v>
      </c>
      <c r="N1373" t="s">
        <v>48</v>
      </c>
      <c r="O1373" s="2">
        <v>5380</v>
      </c>
      <c r="P1373" s="2">
        <v>20328</v>
      </c>
      <c r="Q1373" s="2">
        <v>4</v>
      </c>
      <c r="R1373" t="s">
        <v>43</v>
      </c>
      <c r="S1373" s="2">
        <v>3</v>
      </c>
      <c r="T1373" s="2">
        <v>3</v>
      </c>
      <c r="U1373">
        <v>80</v>
      </c>
      <c r="V1373" s="2">
        <v>6</v>
      </c>
      <c r="W1373">
        <v>3</v>
      </c>
      <c r="X1373">
        <v>3</v>
      </c>
      <c r="Y1373">
        <v>0</v>
      </c>
      <c r="Z1373">
        <v>0</v>
      </c>
      <c r="AA1373">
        <v>0</v>
      </c>
      <c r="AB1373">
        <v>0</v>
      </c>
    </row>
    <row r="1374" spans="1:28" x14ac:dyDescent="0.35">
      <c r="A1374" s="2">
        <v>39</v>
      </c>
      <c r="B1374" s="2" t="str" cm="1">
        <f t="array" ref="B1374">_xlfn.IFS(HR_table[[#This Row],[Age]]&lt;=20, "Under 20yrs",HR_table[[#This Row],[Age]]&lt;=30,"(21-30)yrs",HR_table[[#This Row],[Age]]&lt;=40,"(31-40)yrs",HR_table[[#This Row],[Age]]&lt;=50,"(41-50)yrs",HR_table[[#This Row],[Age]]&lt;=60,"(51-60)yrs")</f>
        <v>(31-40)yrs</v>
      </c>
      <c r="C1374" t="s">
        <v>43</v>
      </c>
      <c r="D1374" t="s">
        <v>36</v>
      </c>
      <c r="E1374" t="s">
        <v>45</v>
      </c>
      <c r="F1374" t="s">
        <v>51</v>
      </c>
      <c r="G1374" t="s">
        <v>53</v>
      </c>
      <c r="H1374">
        <v>1936</v>
      </c>
      <c r="I1374" s="2">
        <v>9</v>
      </c>
      <c r="J1374" s="2">
        <v>1</v>
      </c>
      <c r="K1374" t="s">
        <v>46</v>
      </c>
      <c r="L1374" s="2">
        <v>2</v>
      </c>
      <c r="M1374" s="2">
        <v>1</v>
      </c>
      <c r="N1374" t="s">
        <v>48</v>
      </c>
      <c r="O1374" s="2">
        <v>5151</v>
      </c>
      <c r="P1374" s="2">
        <v>12315</v>
      </c>
      <c r="Q1374" s="2">
        <v>1</v>
      </c>
      <c r="R1374" t="s">
        <v>43</v>
      </c>
      <c r="S1374" s="2">
        <v>4</v>
      </c>
      <c r="T1374" s="2">
        <v>4</v>
      </c>
      <c r="U1374">
        <v>80</v>
      </c>
      <c r="V1374" s="2">
        <v>10</v>
      </c>
      <c r="W1374">
        <v>3</v>
      </c>
      <c r="X1374">
        <v>3</v>
      </c>
      <c r="Y1374">
        <v>10</v>
      </c>
      <c r="Z1374">
        <v>0</v>
      </c>
      <c r="AA1374">
        <v>7</v>
      </c>
      <c r="AB1374">
        <v>9</v>
      </c>
    </row>
    <row r="1375" spans="1:28" x14ac:dyDescent="0.35">
      <c r="A1375" s="2">
        <v>38</v>
      </c>
      <c r="B1375" s="2" t="str" cm="1">
        <f t="array" ref="B1375">_xlfn.IFS(HR_table[[#This Row],[Age]]&lt;=20, "Under 20yrs",HR_table[[#This Row],[Age]]&lt;=30,"(21-30)yrs",HR_table[[#This Row],[Age]]&lt;=40,"(31-40)yrs",HR_table[[#This Row],[Age]]&lt;=50,"(41-50)yrs",HR_table[[#This Row],[Age]]&lt;=60,"(51-60)yrs")</f>
        <v>(31-40)yrs</v>
      </c>
      <c r="C1375" t="s">
        <v>43</v>
      </c>
      <c r="D1375" t="s">
        <v>44</v>
      </c>
      <c r="E1375" t="s">
        <v>45</v>
      </c>
      <c r="F1375" t="s">
        <v>51</v>
      </c>
      <c r="G1375" t="s">
        <v>47</v>
      </c>
      <c r="H1375">
        <v>1937</v>
      </c>
      <c r="I1375" s="2">
        <v>8</v>
      </c>
      <c r="J1375" s="2">
        <v>4</v>
      </c>
      <c r="K1375" t="s">
        <v>39</v>
      </c>
      <c r="L1375" s="2">
        <v>2</v>
      </c>
      <c r="M1375" s="2">
        <v>2</v>
      </c>
      <c r="N1375" t="s">
        <v>52</v>
      </c>
      <c r="O1375" s="2">
        <v>2133</v>
      </c>
      <c r="P1375" s="2">
        <v>18115</v>
      </c>
      <c r="Q1375" s="2">
        <v>1</v>
      </c>
      <c r="R1375" t="s">
        <v>35</v>
      </c>
      <c r="S1375" s="2">
        <v>3</v>
      </c>
      <c r="T1375" s="2">
        <v>3</v>
      </c>
      <c r="U1375">
        <v>80</v>
      </c>
      <c r="V1375" s="2">
        <v>20</v>
      </c>
      <c r="W1375">
        <v>3</v>
      </c>
      <c r="X1375">
        <v>3</v>
      </c>
      <c r="Y1375">
        <v>20</v>
      </c>
      <c r="Z1375">
        <v>11</v>
      </c>
      <c r="AA1375">
        <v>0</v>
      </c>
      <c r="AB1375">
        <v>7</v>
      </c>
    </row>
    <row r="1376" spans="1:28" x14ac:dyDescent="0.35">
      <c r="A1376" s="2">
        <v>58</v>
      </c>
      <c r="B1376" s="2" t="str" cm="1">
        <f t="array" ref="B1376">_xlfn.IFS(HR_table[[#This Row],[Age]]&lt;=20, "Under 20yrs",HR_table[[#This Row],[Age]]&lt;=30,"(21-30)yrs",HR_table[[#This Row],[Age]]&lt;=40,"(31-40)yrs",HR_table[[#This Row],[Age]]&lt;=50,"(41-50)yrs",HR_table[[#This Row],[Age]]&lt;=60,"(51-60)yrs")</f>
        <v>(51-60)yrs</v>
      </c>
      <c r="C1376" t="s">
        <v>43</v>
      </c>
      <c r="D1376" t="s">
        <v>36</v>
      </c>
      <c r="E1376" t="s">
        <v>37</v>
      </c>
      <c r="F1376" t="s">
        <v>38</v>
      </c>
      <c r="G1376" t="s">
        <v>56</v>
      </c>
      <c r="H1376">
        <v>1938</v>
      </c>
      <c r="I1376" s="2">
        <v>21</v>
      </c>
      <c r="J1376" s="2">
        <v>4</v>
      </c>
      <c r="K1376" t="s">
        <v>39</v>
      </c>
      <c r="L1376" s="2">
        <v>4</v>
      </c>
      <c r="M1376" s="2">
        <v>4</v>
      </c>
      <c r="N1376" t="s">
        <v>48</v>
      </c>
      <c r="O1376" s="2">
        <v>17875</v>
      </c>
      <c r="P1376" s="2">
        <v>11761</v>
      </c>
      <c r="Q1376" s="2">
        <v>4</v>
      </c>
      <c r="R1376" t="s">
        <v>35</v>
      </c>
      <c r="S1376" s="2">
        <v>3</v>
      </c>
      <c r="T1376" s="2">
        <v>3</v>
      </c>
      <c r="U1376">
        <v>80</v>
      </c>
      <c r="V1376" s="2">
        <v>29</v>
      </c>
      <c r="W1376">
        <v>2</v>
      </c>
      <c r="X1376">
        <v>2</v>
      </c>
      <c r="Y1376">
        <v>1</v>
      </c>
      <c r="Z1376">
        <v>0</v>
      </c>
      <c r="AA1376">
        <v>0</v>
      </c>
      <c r="AB1376">
        <v>0</v>
      </c>
    </row>
    <row r="1377" spans="1:28" x14ac:dyDescent="0.35">
      <c r="A1377" s="2">
        <v>32</v>
      </c>
      <c r="B1377" s="2" t="str" cm="1">
        <f t="array" ref="B1377">_xlfn.IFS(HR_table[[#This Row],[Age]]&lt;=20, "Under 20yrs",HR_table[[#This Row],[Age]]&lt;=30,"(21-30)yrs",HR_table[[#This Row],[Age]]&lt;=40,"(31-40)yrs",HR_table[[#This Row],[Age]]&lt;=50,"(41-50)yrs",HR_table[[#This Row],[Age]]&lt;=60,"(51-60)yrs")</f>
        <v>(31-40)yrs</v>
      </c>
      <c r="C1377" t="s">
        <v>35</v>
      </c>
      <c r="D1377" t="s">
        <v>44</v>
      </c>
      <c r="E1377" t="s">
        <v>45</v>
      </c>
      <c r="F1377" t="s">
        <v>38</v>
      </c>
      <c r="G1377" t="s">
        <v>47</v>
      </c>
      <c r="H1377">
        <v>1939</v>
      </c>
      <c r="I1377" s="2">
        <v>5</v>
      </c>
      <c r="J1377" s="2">
        <v>1</v>
      </c>
      <c r="K1377" t="s">
        <v>39</v>
      </c>
      <c r="L1377" s="2">
        <v>1</v>
      </c>
      <c r="M1377" s="2">
        <v>3</v>
      </c>
      <c r="N1377" t="s">
        <v>41</v>
      </c>
      <c r="O1377" s="2">
        <v>2432</v>
      </c>
      <c r="P1377" s="2">
        <v>15318</v>
      </c>
      <c r="Q1377" s="2">
        <v>3</v>
      </c>
      <c r="R1377" t="s">
        <v>35</v>
      </c>
      <c r="S1377" s="2">
        <v>3</v>
      </c>
      <c r="T1377" s="2">
        <v>1</v>
      </c>
      <c r="U1377">
        <v>80</v>
      </c>
      <c r="V1377" s="2">
        <v>8</v>
      </c>
      <c r="W1377">
        <v>2</v>
      </c>
      <c r="X1377">
        <v>3</v>
      </c>
      <c r="Y1377">
        <v>4</v>
      </c>
      <c r="Z1377">
        <v>1</v>
      </c>
      <c r="AA1377">
        <v>0</v>
      </c>
      <c r="AB1377">
        <v>3</v>
      </c>
    </row>
    <row r="1378" spans="1:28" x14ac:dyDescent="0.35">
      <c r="A1378" s="2">
        <v>38</v>
      </c>
      <c r="B1378" s="2" t="str" cm="1">
        <f t="array" ref="B1378">_xlfn.IFS(HR_table[[#This Row],[Age]]&lt;=20, "Under 20yrs",HR_table[[#This Row],[Age]]&lt;=30,"(21-30)yrs",HR_table[[#This Row],[Age]]&lt;=40,"(31-40)yrs",HR_table[[#This Row],[Age]]&lt;=50,"(41-50)yrs",HR_table[[#This Row],[Age]]&lt;=60,"(51-60)yrs")</f>
        <v>(31-40)yrs</v>
      </c>
      <c r="C1378" t="s">
        <v>43</v>
      </c>
      <c r="D1378" t="s">
        <v>36</v>
      </c>
      <c r="E1378" t="s">
        <v>45</v>
      </c>
      <c r="F1378" t="s">
        <v>38</v>
      </c>
      <c r="G1378" t="s">
        <v>47</v>
      </c>
      <c r="H1378">
        <v>1940</v>
      </c>
      <c r="I1378" s="2">
        <v>9</v>
      </c>
      <c r="J1378" s="2">
        <v>2</v>
      </c>
      <c r="K1378" t="s">
        <v>46</v>
      </c>
      <c r="L1378" s="2">
        <v>1</v>
      </c>
      <c r="M1378" s="2">
        <v>4</v>
      </c>
      <c r="N1378" t="s">
        <v>52</v>
      </c>
      <c r="O1378" s="2">
        <v>4771</v>
      </c>
      <c r="P1378" s="2">
        <v>14293</v>
      </c>
      <c r="Q1378" s="2">
        <v>2</v>
      </c>
      <c r="R1378" t="s">
        <v>43</v>
      </c>
      <c r="S1378" s="2">
        <v>3</v>
      </c>
      <c r="T1378" s="2">
        <v>4</v>
      </c>
      <c r="U1378">
        <v>80</v>
      </c>
      <c r="V1378" s="2">
        <v>10</v>
      </c>
      <c r="W1378">
        <v>0</v>
      </c>
      <c r="X1378">
        <v>4</v>
      </c>
      <c r="Y1378">
        <v>5</v>
      </c>
      <c r="Z1378">
        <v>2</v>
      </c>
      <c r="AA1378">
        <v>0</v>
      </c>
      <c r="AB1378">
        <v>3</v>
      </c>
    </row>
    <row r="1379" spans="1:28" x14ac:dyDescent="0.35">
      <c r="A1379" s="2">
        <v>49</v>
      </c>
      <c r="B1379" s="2" t="str" cm="1">
        <f t="array" ref="B1379">_xlfn.IFS(HR_table[[#This Row],[Age]]&lt;=20, "Under 20yrs",HR_table[[#This Row],[Age]]&lt;=30,"(21-30)yrs",HR_table[[#This Row],[Age]]&lt;=40,"(31-40)yrs",HR_table[[#This Row],[Age]]&lt;=50,"(41-50)yrs",HR_table[[#This Row],[Age]]&lt;=60,"(51-60)yrs")</f>
        <v>(41-50)yrs</v>
      </c>
      <c r="C1379" t="s">
        <v>43</v>
      </c>
      <c r="D1379" t="s">
        <v>44</v>
      </c>
      <c r="E1379" t="s">
        <v>45</v>
      </c>
      <c r="F1379" t="s">
        <v>38</v>
      </c>
      <c r="G1379" t="s">
        <v>58</v>
      </c>
      <c r="H1379">
        <v>1941</v>
      </c>
      <c r="I1379" s="2">
        <v>2</v>
      </c>
      <c r="J1379" s="2">
        <v>2</v>
      </c>
      <c r="K1379" t="s">
        <v>46</v>
      </c>
      <c r="L1379" s="2">
        <v>5</v>
      </c>
      <c r="M1379" s="2">
        <v>4</v>
      </c>
      <c r="N1379" t="s">
        <v>48</v>
      </c>
      <c r="O1379" s="2">
        <v>19161</v>
      </c>
      <c r="P1379" s="2">
        <v>13738</v>
      </c>
      <c r="Q1379" s="2">
        <v>3</v>
      </c>
      <c r="R1379" t="s">
        <v>43</v>
      </c>
      <c r="S1379" s="2">
        <v>3</v>
      </c>
      <c r="T1379" s="2">
        <v>4</v>
      </c>
      <c r="U1379">
        <v>80</v>
      </c>
      <c r="V1379" s="2">
        <v>28</v>
      </c>
      <c r="W1379">
        <v>3</v>
      </c>
      <c r="X1379">
        <v>3</v>
      </c>
      <c r="Y1379">
        <v>5</v>
      </c>
      <c r="Z1379">
        <v>4</v>
      </c>
      <c r="AA1379">
        <v>4</v>
      </c>
      <c r="AB1379">
        <v>3</v>
      </c>
    </row>
    <row r="1380" spans="1:28" x14ac:dyDescent="0.35">
      <c r="A1380" s="2">
        <v>42</v>
      </c>
      <c r="B1380" s="2" t="str" cm="1">
        <f t="array" ref="B1380">_xlfn.IFS(HR_table[[#This Row],[Age]]&lt;=20, "Under 20yrs",HR_table[[#This Row],[Age]]&lt;=30,"(21-30)yrs",HR_table[[#This Row],[Age]]&lt;=40,"(31-40)yrs",HR_table[[#This Row],[Age]]&lt;=50,"(41-50)yrs",HR_table[[#This Row],[Age]]&lt;=60,"(51-60)yrs")</f>
        <v>(41-50)yrs</v>
      </c>
      <c r="C1380" t="s">
        <v>43</v>
      </c>
      <c r="D1380" t="s">
        <v>36</v>
      </c>
      <c r="E1380" t="s">
        <v>37</v>
      </c>
      <c r="F1380" t="s">
        <v>59</v>
      </c>
      <c r="G1380" t="s">
        <v>40</v>
      </c>
      <c r="H1380">
        <v>1943</v>
      </c>
      <c r="I1380" s="2">
        <v>12</v>
      </c>
      <c r="J1380" s="2">
        <v>2</v>
      </c>
      <c r="K1380" t="s">
        <v>46</v>
      </c>
      <c r="L1380" s="2">
        <v>2</v>
      </c>
      <c r="M1380" s="2">
        <v>4</v>
      </c>
      <c r="N1380" t="s">
        <v>52</v>
      </c>
      <c r="O1380" s="2">
        <v>5087</v>
      </c>
      <c r="P1380" s="2">
        <v>2900</v>
      </c>
      <c r="Q1380" s="2">
        <v>3</v>
      </c>
      <c r="R1380" t="s">
        <v>35</v>
      </c>
      <c r="S1380" s="2">
        <v>3</v>
      </c>
      <c r="T1380" s="2">
        <v>3</v>
      </c>
      <c r="U1380">
        <v>80</v>
      </c>
      <c r="V1380" s="2">
        <v>14</v>
      </c>
      <c r="W1380">
        <v>4</v>
      </c>
      <c r="X1380">
        <v>3</v>
      </c>
      <c r="Y1380">
        <v>0</v>
      </c>
      <c r="Z1380">
        <v>0</v>
      </c>
      <c r="AA1380">
        <v>0</v>
      </c>
      <c r="AB1380">
        <v>0</v>
      </c>
    </row>
    <row r="1381" spans="1:28" x14ac:dyDescent="0.35">
      <c r="A1381" s="2">
        <v>27</v>
      </c>
      <c r="B1381" s="2" t="str" cm="1">
        <f t="array" ref="B1381">_xlfn.IFS(HR_table[[#This Row],[Age]]&lt;=20, "Under 20yrs",HR_table[[#This Row],[Age]]&lt;=30,"(21-30)yrs",HR_table[[#This Row],[Age]]&lt;=40,"(31-40)yrs",HR_table[[#This Row],[Age]]&lt;=50,"(41-50)yrs",HR_table[[#This Row],[Age]]&lt;=60,"(51-60)yrs")</f>
        <v>(21-30)yrs</v>
      </c>
      <c r="C1381" t="s">
        <v>35</v>
      </c>
      <c r="D1381" t="s">
        <v>44</v>
      </c>
      <c r="E1381" t="s">
        <v>61</v>
      </c>
      <c r="F1381" t="s">
        <v>61</v>
      </c>
      <c r="G1381" t="s">
        <v>61</v>
      </c>
      <c r="H1381">
        <v>1944</v>
      </c>
      <c r="I1381" s="2">
        <v>22</v>
      </c>
      <c r="J1381" s="2">
        <v>1</v>
      </c>
      <c r="K1381" t="s">
        <v>39</v>
      </c>
      <c r="L1381" s="2">
        <v>1</v>
      </c>
      <c r="M1381" s="2">
        <v>2</v>
      </c>
      <c r="N1381" t="s">
        <v>48</v>
      </c>
      <c r="O1381" s="2">
        <v>2863</v>
      </c>
      <c r="P1381" s="2">
        <v>19555</v>
      </c>
      <c r="Q1381" s="2">
        <v>1</v>
      </c>
      <c r="R1381" t="s">
        <v>43</v>
      </c>
      <c r="S1381" s="2">
        <v>3</v>
      </c>
      <c r="T1381" s="2">
        <v>1</v>
      </c>
      <c r="U1381">
        <v>80</v>
      </c>
      <c r="V1381" s="2">
        <v>1</v>
      </c>
      <c r="W1381">
        <v>2</v>
      </c>
      <c r="X1381">
        <v>3</v>
      </c>
      <c r="Y1381">
        <v>1</v>
      </c>
      <c r="Z1381">
        <v>0</v>
      </c>
      <c r="AA1381">
        <v>0</v>
      </c>
      <c r="AB1381">
        <v>0</v>
      </c>
    </row>
    <row r="1382" spans="1:28" x14ac:dyDescent="0.35">
      <c r="A1382" s="2">
        <v>35</v>
      </c>
      <c r="B1382" s="2" t="str" cm="1">
        <f t="array" ref="B1382">_xlfn.IFS(HR_table[[#This Row],[Age]]&lt;=20, "Under 20yrs",HR_table[[#This Row],[Age]]&lt;=30,"(21-30)yrs",HR_table[[#This Row],[Age]]&lt;=40,"(31-40)yrs",HR_table[[#This Row],[Age]]&lt;=50,"(41-50)yrs",HR_table[[#This Row],[Age]]&lt;=60,"(51-60)yrs")</f>
        <v>(31-40)yrs</v>
      </c>
      <c r="C1382" t="s">
        <v>43</v>
      </c>
      <c r="D1382" t="s">
        <v>36</v>
      </c>
      <c r="E1382" t="s">
        <v>37</v>
      </c>
      <c r="F1382" t="s">
        <v>51</v>
      </c>
      <c r="G1382" t="s">
        <v>40</v>
      </c>
      <c r="H1382">
        <v>1945</v>
      </c>
      <c r="I1382" s="2">
        <v>18</v>
      </c>
      <c r="J1382" s="2">
        <v>2</v>
      </c>
      <c r="K1382" t="s">
        <v>46</v>
      </c>
      <c r="L1382" s="2">
        <v>2</v>
      </c>
      <c r="M1382" s="2">
        <v>1</v>
      </c>
      <c r="N1382" t="s">
        <v>48</v>
      </c>
      <c r="O1382" s="2">
        <v>5561</v>
      </c>
      <c r="P1382" s="2">
        <v>15975</v>
      </c>
      <c r="Q1382" s="2">
        <v>0</v>
      </c>
      <c r="R1382" t="s">
        <v>43</v>
      </c>
      <c r="S1382" s="2">
        <v>3</v>
      </c>
      <c r="T1382" s="2">
        <v>4</v>
      </c>
      <c r="U1382">
        <v>80</v>
      </c>
      <c r="V1382" s="2">
        <v>6</v>
      </c>
      <c r="W1382">
        <v>2</v>
      </c>
      <c r="X1382">
        <v>1</v>
      </c>
      <c r="Y1382">
        <v>5</v>
      </c>
      <c r="Z1382">
        <v>3</v>
      </c>
      <c r="AA1382">
        <v>0</v>
      </c>
      <c r="AB1382">
        <v>4</v>
      </c>
    </row>
    <row r="1383" spans="1:28" x14ac:dyDescent="0.35">
      <c r="A1383" s="2">
        <v>28</v>
      </c>
      <c r="B1383" s="2" t="str" cm="1">
        <f t="array" ref="B1383">_xlfn.IFS(HR_table[[#This Row],[Age]]&lt;=20, "Under 20yrs",HR_table[[#This Row],[Age]]&lt;=30,"(21-30)yrs",HR_table[[#This Row],[Age]]&lt;=40,"(31-40)yrs",HR_table[[#This Row],[Age]]&lt;=50,"(41-50)yrs",HR_table[[#This Row],[Age]]&lt;=60,"(51-60)yrs")</f>
        <v>(21-30)yrs</v>
      </c>
      <c r="C1383" t="s">
        <v>43</v>
      </c>
      <c r="D1383" t="s">
        <v>55</v>
      </c>
      <c r="E1383" t="s">
        <v>45</v>
      </c>
      <c r="F1383" t="s">
        <v>51</v>
      </c>
      <c r="G1383" t="s">
        <v>47</v>
      </c>
      <c r="H1383">
        <v>1947</v>
      </c>
      <c r="I1383" s="2">
        <v>16</v>
      </c>
      <c r="J1383" s="2">
        <v>3</v>
      </c>
      <c r="K1383" t="s">
        <v>46</v>
      </c>
      <c r="L1383" s="2">
        <v>1</v>
      </c>
      <c r="M1383" s="2">
        <v>3</v>
      </c>
      <c r="N1383" t="s">
        <v>41</v>
      </c>
      <c r="O1383" s="2">
        <v>2144</v>
      </c>
      <c r="P1383" s="2">
        <v>2122</v>
      </c>
      <c r="Q1383" s="2">
        <v>1</v>
      </c>
      <c r="R1383" t="s">
        <v>43</v>
      </c>
      <c r="S1383" s="2">
        <v>3</v>
      </c>
      <c r="T1383" s="2">
        <v>3</v>
      </c>
      <c r="U1383">
        <v>80</v>
      </c>
      <c r="V1383" s="2">
        <v>5</v>
      </c>
      <c r="W1383">
        <v>3</v>
      </c>
      <c r="X1383">
        <v>2</v>
      </c>
      <c r="Y1383">
        <v>5</v>
      </c>
      <c r="Z1383">
        <v>3</v>
      </c>
      <c r="AA1383">
        <v>1</v>
      </c>
      <c r="AB1383">
        <v>4</v>
      </c>
    </row>
    <row r="1384" spans="1:28" x14ac:dyDescent="0.35">
      <c r="A1384" s="2">
        <v>31</v>
      </c>
      <c r="B1384" s="2" t="str" cm="1">
        <f t="array" ref="B1384">_xlfn.IFS(HR_table[[#This Row],[Age]]&lt;=20, "Under 20yrs",HR_table[[#This Row],[Age]]&lt;=30,"(21-30)yrs",HR_table[[#This Row],[Age]]&lt;=40,"(31-40)yrs",HR_table[[#This Row],[Age]]&lt;=50,"(41-50)yrs",HR_table[[#This Row],[Age]]&lt;=60,"(51-60)yrs")</f>
        <v>(31-40)yrs</v>
      </c>
      <c r="C1384" t="s">
        <v>43</v>
      </c>
      <c r="D1384" t="s">
        <v>55</v>
      </c>
      <c r="E1384" t="s">
        <v>45</v>
      </c>
      <c r="F1384" t="s">
        <v>51</v>
      </c>
      <c r="G1384" t="s">
        <v>47</v>
      </c>
      <c r="H1384">
        <v>1948</v>
      </c>
      <c r="I1384" s="2">
        <v>3</v>
      </c>
      <c r="J1384" s="2">
        <v>3</v>
      </c>
      <c r="K1384" t="s">
        <v>46</v>
      </c>
      <c r="L1384" s="2">
        <v>1</v>
      </c>
      <c r="M1384" s="2">
        <v>1</v>
      </c>
      <c r="N1384" t="s">
        <v>52</v>
      </c>
      <c r="O1384" s="2">
        <v>3065</v>
      </c>
      <c r="P1384" s="2">
        <v>3995</v>
      </c>
      <c r="Q1384" s="2">
        <v>1</v>
      </c>
      <c r="R1384" t="s">
        <v>35</v>
      </c>
      <c r="S1384" s="2">
        <v>3</v>
      </c>
      <c r="T1384" s="2">
        <v>4</v>
      </c>
      <c r="U1384">
        <v>80</v>
      </c>
      <c r="V1384" s="2">
        <v>4</v>
      </c>
      <c r="W1384">
        <v>3</v>
      </c>
      <c r="X1384">
        <v>4</v>
      </c>
      <c r="Y1384">
        <v>4</v>
      </c>
      <c r="Z1384">
        <v>2</v>
      </c>
      <c r="AA1384">
        <v>2</v>
      </c>
      <c r="AB1384">
        <v>3</v>
      </c>
    </row>
    <row r="1385" spans="1:28" x14ac:dyDescent="0.35">
      <c r="A1385" s="2">
        <v>36</v>
      </c>
      <c r="B1385" s="2" t="str" cm="1">
        <f t="array" ref="B1385">_xlfn.IFS(HR_table[[#This Row],[Age]]&lt;=20, "Under 20yrs",HR_table[[#This Row],[Age]]&lt;=30,"(21-30)yrs",HR_table[[#This Row],[Age]]&lt;=40,"(31-40)yrs",HR_table[[#This Row],[Age]]&lt;=50,"(41-50)yrs",HR_table[[#This Row],[Age]]&lt;=60,"(51-60)yrs")</f>
        <v>(31-40)yrs</v>
      </c>
      <c r="C1385" t="s">
        <v>43</v>
      </c>
      <c r="D1385" t="s">
        <v>55</v>
      </c>
      <c r="E1385" t="s">
        <v>45</v>
      </c>
      <c r="F1385" t="s">
        <v>38</v>
      </c>
      <c r="G1385" t="s">
        <v>50</v>
      </c>
      <c r="H1385">
        <v>1949</v>
      </c>
      <c r="I1385" s="2">
        <v>9</v>
      </c>
      <c r="J1385" s="2">
        <v>1</v>
      </c>
      <c r="K1385" t="s">
        <v>46</v>
      </c>
      <c r="L1385" s="2">
        <v>1</v>
      </c>
      <c r="M1385" s="2">
        <v>2</v>
      </c>
      <c r="N1385" t="s">
        <v>48</v>
      </c>
      <c r="O1385" s="2">
        <v>2810</v>
      </c>
      <c r="P1385" s="2">
        <v>9238</v>
      </c>
      <c r="Q1385" s="2">
        <v>1</v>
      </c>
      <c r="R1385" t="s">
        <v>43</v>
      </c>
      <c r="S1385" s="2">
        <v>4</v>
      </c>
      <c r="T1385" s="2">
        <v>2</v>
      </c>
      <c r="U1385">
        <v>80</v>
      </c>
      <c r="V1385" s="2">
        <v>5</v>
      </c>
      <c r="W1385">
        <v>3</v>
      </c>
      <c r="X1385">
        <v>3</v>
      </c>
      <c r="Y1385">
        <v>5</v>
      </c>
      <c r="Z1385">
        <v>4</v>
      </c>
      <c r="AA1385">
        <v>0</v>
      </c>
      <c r="AB1385">
        <v>2</v>
      </c>
    </row>
    <row r="1386" spans="1:28" x14ac:dyDescent="0.35">
      <c r="A1386" s="2">
        <v>34</v>
      </c>
      <c r="B1386" s="2" t="str" cm="1">
        <f t="array" ref="B1386">_xlfn.IFS(HR_table[[#This Row],[Age]]&lt;=20, "Under 20yrs",HR_table[[#This Row],[Age]]&lt;=30,"(21-30)yrs",HR_table[[#This Row],[Age]]&lt;=40,"(31-40)yrs",HR_table[[#This Row],[Age]]&lt;=50,"(41-50)yrs",HR_table[[#This Row],[Age]]&lt;=60,"(51-60)yrs")</f>
        <v>(31-40)yrs</v>
      </c>
      <c r="C1386" t="s">
        <v>43</v>
      </c>
      <c r="D1386" t="s">
        <v>36</v>
      </c>
      <c r="E1386" t="s">
        <v>37</v>
      </c>
      <c r="F1386" t="s">
        <v>59</v>
      </c>
      <c r="G1386" t="s">
        <v>40</v>
      </c>
      <c r="H1386">
        <v>1950</v>
      </c>
      <c r="I1386" s="2">
        <v>1</v>
      </c>
      <c r="J1386" s="2">
        <v>1</v>
      </c>
      <c r="K1386" t="s">
        <v>46</v>
      </c>
      <c r="L1386" s="2">
        <v>3</v>
      </c>
      <c r="M1386" s="2">
        <v>4</v>
      </c>
      <c r="N1386" t="s">
        <v>41</v>
      </c>
      <c r="O1386" s="2">
        <v>9888</v>
      </c>
      <c r="P1386" s="2">
        <v>6770</v>
      </c>
      <c r="Q1386" s="2">
        <v>1</v>
      </c>
      <c r="R1386" t="s">
        <v>43</v>
      </c>
      <c r="S1386" s="2">
        <v>4</v>
      </c>
      <c r="T1386" s="2">
        <v>1</v>
      </c>
      <c r="U1386">
        <v>80</v>
      </c>
      <c r="V1386" s="2">
        <v>14</v>
      </c>
      <c r="W1386">
        <v>3</v>
      </c>
      <c r="X1386">
        <v>2</v>
      </c>
      <c r="Y1386">
        <v>14</v>
      </c>
      <c r="Z1386">
        <v>8</v>
      </c>
      <c r="AA1386">
        <v>2</v>
      </c>
      <c r="AB1386">
        <v>1</v>
      </c>
    </row>
    <row r="1387" spans="1:28" x14ac:dyDescent="0.35">
      <c r="A1387" s="2">
        <v>34</v>
      </c>
      <c r="B1387" s="2" t="str" cm="1">
        <f t="array" ref="B1387">_xlfn.IFS(HR_table[[#This Row],[Age]]&lt;=20, "Under 20yrs",HR_table[[#This Row],[Age]]&lt;=30,"(21-30)yrs",HR_table[[#This Row],[Age]]&lt;=40,"(31-40)yrs",HR_table[[#This Row],[Age]]&lt;=50,"(41-50)yrs",HR_table[[#This Row],[Age]]&lt;=60,"(51-60)yrs")</f>
        <v>(31-40)yrs</v>
      </c>
      <c r="C1387" t="s">
        <v>43</v>
      </c>
      <c r="D1387" t="s">
        <v>36</v>
      </c>
      <c r="E1387" t="s">
        <v>37</v>
      </c>
      <c r="F1387" t="s">
        <v>51</v>
      </c>
      <c r="G1387" t="s">
        <v>40</v>
      </c>
      <c r="H1387">
        <v>1951</v>
      </c>
      <c r="I1387" s="2">
        <v>13</v>
      </c>
      <c r="J1387" s="2">
        <v>4</v>
      </c>
      <c r="K1387" t="s">
        <v>46</v>
      </c>
      <c r="L1387" s="2">
        <v>3</v>
      </c>
      <c r="M1387" s="2">
        <v>3</v>
      </c>
      <c r="N1387" t="s">
        <v>52</v>
      </c>
      <c r="O1387" s="2">
        <v>8628</v>
      </c>
      <c r="P1387" s="2">
        <v>22914</v>
      </c>
      <c r="Q1387" s="2">
        <v>1</v>
      </c>
      <c r="R1387" t="s">
        <v>43</v>
      </c>
      <c r="S1387" s="2">
        <v>3</v>
      </c>
      <c r="T1387" s="2">
        <v>3</v>
      </c>
      <c r="U1387">
        <v>80</v>
      </c>
      <c r="V1387" s="2">
        <v>9</v>
      </c>
      <c r="W1387">
        <v>2</v>
      </c>
      <c r="X1387">
        <v>2</v>
      </c>
      <c r="Y1387">
        <v>8</v>
      </c>
      <c r="Z1387">
        <v>7</v>
      </c>
      <c r="AA1387">
        <v>1</v>
      </c>
      <c r="AB1387">
        <v>1</v>
      </c>
    </row>
    <row r="1388" spans="1:28" x14ac:dyDescent="0.35">
      <c r="A1388" s="2">
        <v>26</v>
      </c>
      <c r="B1388" s="2" t="str" cm="1">
        <f t="array" ref="B1388">_xlfn.IFS(HR_table[[#This Row],[Age]]&lt;=20, "Under 20yrs",HR_table[[#This Row],[Age]]&lt;=30,"(21-30)yrs",HR_table[[#This Row],[Age]]&lt;=40,"(31-40)yrs",HR_table[[#This Row],[Age]]&lt;=50,"(41-50)yrs",HR_table[[#This Row],[Age]]&lt;=60,"(51-60)yrs")</f>
        <v>(21-30)yrs</v>
      </c>
      <c r="C1388" t="s">
        <v>43</v>
      </c>
      <c r="D1388" t="s">
        <v>36</v>
      </c>
      <c r="E1388" t="s">
        <v>45</v>
      </c>
      <c r="F1388" t="s">
        <v>51</v>
      </c>
      <c r="G1388" t="s">
        <v>50</v>
      </c>
      <c r="H1388">
        <v>1952</v>
      </c>
      <c r="I1388" s="2">
        <v>1</v>
      </c>
      <c r="J1388" s="2">
        <v>3</v>
      </c>
      <c r="K1388" t="s">
        <v>46</v>
      </c>
      <c r="L1388" s="2">
        <v>1</v>
      </c>
      <c r="M1388" s="2">
        <v>1</v>
      </c>
      <c r="N1388" t="s">
        <v>41</v>
      </c>
      <c r="O1388" s="2">
        <v>2867</v>
      </c>
      <c r="P1388" s="2">
        <v>20006</v>
      </c>
      <c r="Q1388" s="2">
        <v>0</v>
      </c>
      <c r="R1388" t="s">
        <v>43</v>
      </c>
      <c r="S1388" s="2">
        <v>3</v>
      </c>
      <c r="T1388" s="2">
        <v>4</v>
      </c>
      <c r="U1388">
        <v>80</v>
      </c>
      <c r="V1388" s="2">
        <v>8</v>
      </c>
      <c r="W1388">
        <v>6</v>
      </c>
      <c r="X1388">
        <v>2</v>
      </c>
      <c r="Y1388">
        <v>7</v>
      </c>
      <c r="Z1388">
        <v>7</v>
      </c>
      <c r="AA1388">
        <v>7</v>
      </c>
      <c r="AB1388">
        <v>6</v>
      </c>
    </row>
    <row r="1389" spans="1:28" x14ac:dyDescent="0.35">
      <c r="A1389" s="2">
        <v>29</v>
      </c>
      <c r="B1389" s="2" t="str" cm="1">
        <f t="array" ref="B1389">_xlfn.IFS(HR_table[[#This Row],[Age]]&lt;=20, "Under 20yrs",HR_table[[#This Row],[Age]]&lt;=30,"(21-30)yrs",HR_table[[#This Row],[Age]]&lt;=40,"(31-40)yrs",HR_table[[#This Row],[Age]]&lt;=50,"(41-50)yrs",HR_table[[#This Row],[Age]]&lt;=60,"(51-60)yrs")</f>
        <v>(21-30)yrs</v>
      </c>
      <c r="C1389" t="s">
        <v>43</v>
      </c>
      <c r="D1389" t="s">
        <v>36</v>
      </c>
      <c r="E1389" t="s">
        <v>45</v>
      </c>
      <c r="F1389" t="s">
        <v>38</v>
      </c>
      <c r="G1389" t="s">
        <v>54</v>
      </c>
      <c r="H1389">
        <v>1954</v>
      </c>
      <c r="I1389" s="2">
        <v>1</v>
      </c>
      <c r="J1389" s="2">
        <v>1</v>
      </c>
      <c r="K1389" t="s">
        <v>46</v>
      </c>
      <c r="L1389" s="2">
        <v>2</v>
      </c>
      <c r="M1389" s="2">
        <v>1</v>
      </c>
      <c r="N1389" t="s">
        <v>48</v>
      </c>
      <c r="O1389" s="2">
        <v>5373</v>
      </c>
      <c r="P1389" s="2">
        <v>6225</v>
      </c>
      <c r="Q1389" s="2">
        <v>0</v>
      </c>
      <c r="R1389" t="s">
        <v>43</v>
      </c>
      <c r="S1389" s="2">
        <v>3</v>
      </c>
      <c r="T1389" s="2">
        <v>1</v>
      </c>
      <c r="U1389">
        <v>80</v>
      </c>
      <c r="V1389" s="2">
        <v>6</v>
      </c>
      <c r="W1389">
        <v>5</v>
      </c>
      <c r="X1389">
        <v>2</v>
      </c>
      <c r="Y1389">
        <v>5</v>
      </c>
      <c r="Z1389">
        <v>3</v>
      </c>
      <c r="AA1389">
        <v>0</v>
      </c>
      <c r="AB1389">
        <v>2</v>
      </c>
    </row>
    <row r="1390" spans="1:28" x14ac:dyDescent="0.35">
      <c r="A1390" s="2">
        <v>32</v>
      </c>
      <c r="B1390" s="2" t="str" cm="1">
        <f t="array" ref="B1390">_xlfn.IFS(HR_table[[#This Row],[Age]]&lt;=20, "Under 20yrs",HR_table[[#This Row],[Age]]&lt;=30,"(21-30)yrs",HR_table[[#This Row],[Age]]&lt;=40,"(31-40)yrs",HR_table[[#This Row],[Age]]&lt;=50,"(41-50)yrs",HR_table[[#This Row],[Age]]&lt;=60,"(51-60)yrs")</f>
        <v>(31-40)yrs</v>
      </c>
      <c r="C1390" t="s">
        <v>43</v>
      </c>
      <c r="D1390" t="s">
        <v>55</v>
      </c>
      <c r="E1390" t="s">
        <v>45</v>
      </c>
      <c r="F1390" t="s">
        <v>51</v>
      </c>
      <c r="G1390" t="s">
        <v>54</v>
      </c>
      <c r="H1390">
        <v>1955</v>
      </c>
      <c r="I1390" s="2">
        <v>15</v>
      </c>
      <c r="J1390" s="2">
        <v>3</v>
      </c>
      <c r="K1390" t="s">
        <v>39</v>
      </c>
      <c r="L1390" s="2">
        <v>2</v>
      </c>
      <c r="M1390" s="2">
        <v>4</v>
      </c>
      <c r="N1390" t="s">
        <v>52</v>
      </c>
      <c r="O1390" s="2">
        <v>6667</v>
      </c>
      <c r="P1390" s="2">
        <v>16542</v>
      </c>
      <c r="Q1390" s="2">
        <v>5</v>
      </c>
      <c r="R1390" t="s">
        <v>43</v>
      </c>
      <c r="S1390" s="2">
        <v>3</v>
      </c>
      <c r="T1390" s="2">
        <v>2</v>
      </c>
      <c r="U1390">
        <v>80</v>
      </c>
      <c r="V1390" s="2">
        <v>9</v>
      </c>
      <c r="W1390">
        <v>6</v>
      </c>
      <c r="X1390">
        <v>3</v>
      </c>
      <c r="Y1390">
        <v>5</v>
      </c>
      <c r="Z1390">
        <v>1</v>
      </c>
      <c r="AA1390">
        <v>1</v>
      </c>
      <c r="AB1390">
        <v>2</v>
      </c>
    </row>
    <row r="1391" spans="1:28" x14ac:dyDescent="0.35">
      <c r="A1391" s="2">
        <v>31</v>
      </c>
      <c r="B1391" s="2" t="str" cm="1">
        <f t="array" ref="B1391">_xlfn.IFS(HR_table[[#This Row],[Age]]&lt;=20, "Under 20yrs",HR_table[[#This Row],[Age]]&lt;=30,"(21-30)yrs",HR_table[[#This Row],[Age]]&lt;=40,"(31-40)yrs",HR_table[[#This Row],[Age]]&lt;=50,"(41-50)yrs",HR_table[[#This Row],[Age]]&lt;=60,"(51-60)yrs")</f>
        <v>(31-40)yrs</v>
      </c>
      <c r="C1391" t="s">
        <v>43</v>
      </c>
      <c r="D1391" t="s">
        <v>44</v>
      </c>
      <c r="E1391" t="s">
        <v>45</v>
      </c>
      <c r="F1391" t="s">
        <v>38</v>
      </c>
      <c r="G1391" t="s">
        <v>47</v>
      </c>
      <c r="H1391">
        <v>1956</v>
      </c>
      <c r="I1391" s="2">
        <v>1</v>
      </c>
      <c r="J1391" s="2">
        <v>4</v>
      </c>
      <c r="K1391" t="s">
        <v>46</v>
      </c>
      <c r="L1391" s="2">
        <v>2</v>
      </c>
      <c r="M1391" s="2">
        <v>1</v>
      </c>
      <c r="N1391" t="s">
        <v>48</v>
      </c>
      <c r="O1391" s="2">
        <v>5003</v>
      </c>
      <c r="P1391" s="2">
        <v>5771</v>
      </c>
      <c r="Q1391" s="2">
        <v>1</v>
      </c>
      <c r="R1391" t="s">
        <v>43</v>
      </c>
      <c r="S1391" s="2">
        <v>4</v>
      </c>
      <c r="T1391" s="2">
        <v>2</v>
      </c>
      <c r="U1391">
        <v>80</v>
      </c>
      <c r="V1391" s="2">
        <v>10</v>
      </c>
      <c r="W1391">
        <v>6</v>
      </c>
      <c r="X1391">
        <v>3</v>
      </c>
      <c r="Y1391">
        <v>10</v>
      </c>
      <c r="Z1391">
        <v>8</v>
      </c>
      <c r="AA1391">
        <v>8</v>
      </c>
      <c r="AB1391">
        <v>7</v>
      </c>
    </row>
    <row r="1392" spans="1:28" x14ac:dyDescent="0.35">
      <c r="A1392" s="2">
        <v>28</v>
      </c>
      <c r="B1392" s="2" t="str" cm="1">
        <f t="array" ref="B1392">_xlfn.IFS(HR_table[[#This Row],[Age]]&lt;=20, "Under 20yrs",HR_table[[#This Row],[Age]]&lt;=30,"(21-30)yrs",HR_table[[#This Row],[Age]]&lt;=40,"(31-40)yrs",HR_table[[#This Row],[Age]]&lt;=50,"(41-50)yrs",HR_table[[#This Row],[Age]]&lt;=60,"(51-60)yrs")</f>
        <v>(21-30)yrs</v>
      </c>
      <c r="C1392" t="s">
        <v>35</v>
      </c>
      <c r="D1392" t="s">
        <v>36</v>
      </c>
      <c r="E1392" t="s">
        <v>45</v>
      </c>
      <c r="F1392" t="s">
        <v>60</v>
      </c>
      <c r="G1392" t="s">
        <v>50</v>
      </c>
      <c r="H1392">
        <v>1960</v>
      </c>
      <c r="I1392" s="2">
        <v>17</v>
      </c>
      <c r="J1392" s="2">
        <v>3</v>
      </c>
      <c r="K1392" t="s">
        <v>46</v>
      </c>
      <c r="L1392" s="2">
        <v>1</v>
      </c>
      <c r="M1392" s="2">
        <v>4</v>
      </c>
      <c r="N1392" t="s">
        <v>52</v>
      </c>
      <c r="O1392" s="2">
        <v>2367</v>
      </c>
      <c r="P1392" s="2">
        <v>18779</v>
      </c>
      <c r="Q1392" s="2">
        <v>5</v>
      </c>
      <c r="R1392" t="s">
        <v>43</v>
      </c>
      <c r="S1392" s="2">
        <v>3</v>
      </c>
      <c r="T1392" s="2">
        <v>1</v>
      </c>
      <c r="U1392">
        <v>80</v>
      </c>
      <c r="V1392" s="2">
        <v>6</v>
      </c>
      <c r="W1392">
        <v>2</v>
      </c>
      <c r="X1392">
        <v>2</v>
      </c>
      <c r="Y1392">
        <v>4</v>
      </c>
      <c r="Z1392">
        <v>1</v>
      </c>
      <c r="AA1392">
        <v>0</v>
      </c>
      <c r="AB1392">
        <v>3</v>
      </c>
    </row>
    <row r="1393" spans="1:28" x14ac:dyDescent="0.35">
      <c r="A1393" s="2">
        <v>38</v>
      </c>
      <c r="B1393" s="2" t="str" cm="1">
        <f t="array" ref="B1393">_xlfn.IFS(HR_table[[#This Row],[Age]]&lt;=20, "Under 20yrs",HR_table[[#This Row],[Age]]&lt;=30,"(21-30)yrs",HR_table[[#This Row],[Age]]&lt;=40,"(31-40)yrs",HR_table[[#This Row],[Age]]&lt;=50,"(41-50)yrs",HR_table[[#This Row],[Age]]&lt;=60,"(51-60)yrs")</f>
        <v>(31-40)yrs</v>
      </c>
      <c r="C1393" t="s">
        <v>43</v>
      </c>
      <c r="D1393" t="s">
        <v>36</v>
      </c>
      <c r="E1393" t="s">
        <v>37</v>
      </c>
      <c r="F1393" t="s">
        <v>38</v>
      </c>
      <c r="G1393" t="s">
        <v>57</v>
      </c>
      <c r="H1393">
        <v>1961</v>
      </c>
      <c r="I1393" s="2">
        <v>1</v>
      </c>
      <c r="J1393" s="2">
        <v>1</v>
      </c>
      <c r="K1393" t="s">
        <v>46</v>
      </c>
      <c r="L1393" s="2">
        <v>1</v>
      </c>
      <c r="M1393" s="2">
        <v>1</v>
      </c>
      <c r="N1393" t="s">
        <v>41</v>
      </c>
      <c r="O1393" s="2">
        <v>2858</v>
      </c>
      <c r="P1393" s="2">
        <v>11473</v>
      </c>
      <c r="Q1393" s="2">
        <v>4</v>
      </c>
      <c r="R1393" t="s">
        <v>43</v>
      </c>
      <c r="S1393" s="2">
        <v>3</v>
      </c>
      <c r="T1393" s="2">
        <v>1</v>
      </c>
      <c r="U1393">
        <v>80</v>
      </c>
      <c r="V1393" s="2">
        <v>20</v>
      </c>
      <c r="W1393">
        <v>3</v>
      </c>
      <c r="X1393">
        <v>2</v>
      </c>
      <c r="Y1393">
        <v>1</v>
      </c>
      <c r="Z1393">
        <v>0</v>
      </c>
      <c r="AA1393">
        <v>0</v>
      </c>
      <c r="AB1393">
        <v>0</v>
      </c>
    </row>
    <row r="1394" spans="1:28" x14ac:dyDescent="0.35">
      <c r="A1394" s="2">
        <v>35</v>
      </c>
      <c r="B1394" s="2" t="str" cm="1">
        <f t="array" ref="B1394">_xlfn.IFS(HR_table[[#This Row],[Age]]&lt;=20, "Under 20yrs",HR_table[[#This Row],[Age]]&lt;=30,"(21-30)yrs",HR_table[[#This Row],[Age]]&lt;=40,"(31-40)yrs",HR_table[[#This Row],[Age]]&lt;=50,"(41-50)yrs",HR_table[[#This Row],[Age]]&lt;=60,"(51-60)yrs")</f>
        <v>(31-40)yrs</v>
      </c>
      <c r="C1394" t="s">
        <v>43</v>
      </c>
      <c r="D1394" t="s">
        <v>36</v>
      </c>
      <c r="E1394" t="s">
        <v>37</v>
      </c>
      <c r="F1394" t="s">
        <v>38</v>
      </c>
      <c r="G1394" t="s">
        <v>40</v>
      </c>
      <c r="H1394">
        <v>1962</v>
      </c>
      <c r="I1394" s="2">
        <v>7</v>
      </c>
      <c r="J1394" s="2">
        <v>3</v>
      </c>
      <c r="K1394" t="s">
        <v>39</v>
      </c>
      <c r="L1394" s="2">
        <v>2</v>
      </c>
      <c r="M1394" s="2">
        <v>4</v>
      </c>
      <c r="N1394" t="s">
        <v>48</v>
      </c>
      <c r="O1394" s="2">
        <v>5204</v>
      </c>
      <c r="P1394" s="2">
        <v>13586</v>
      </c>
      <c r="Q1394" s="2">
        <v>1</v>
      </c>
      <c r="R1394" t="s">
        <v>35</v>
      </c>
      <c r="S1394" s="2">
        <v>3</v>
      </c>
      <c r="T1394" s="2">
        <v>4</v>
      </c>
      <c r="U1394">
        <v>80</v>
      </c>
      <c r="V1394" s="2">
        <v>10</v>
      </c>
      <c r="W1394">
        <v>2</v>
      </c>
      <c r="X1394">
        <v>3</v>
      </c>
      <c r="Y1394">
        <v>10</v>
      </c>
      <c r="Z1394">
        <v>8</v>
      </c>
      <c r="AA1394">
        <v>0</v>
      </c>
      <c r="AB1394">
        <v>9</v>
      </c>
    </row>
    <row r="1395" spans="1:28" x14ac:dyDescent="0.35">
      <c r="A1395" s="2">
        <v>27</v>
      </c>
      <c r="B1395" s="2" t="str" cm="1">
        <f t="array" ref="B1395">_xlfn.IFS(HR_table[[#This Row],[Age]]&lt;=20, "Under 20yrs",HR_table[[#This Row],[Age]]&lt;=30,"(21-30)yrs",HR_table[[#This Row],[Age]]&lt;=40,"(31-40)yrs",HR_table[[#This Row],[Age]]&lt;=50,"(41-50)yrs",HR_table[[#This Row],[Age]]&lt;=60,"(51-60)yrs")</f>
        <v>(21-30)yrs</v>
      </c>
      <c r="C1395" t="s">
        <v>43</v>
      </c>
      <c r="D1395" t="s">
        <v>36</v>
      </c>
      <c r="E1395" t="s">
        <v>37</v>
      </c>
      <c r="F1395" t="s">
        <v>59</v>
      </c>
      <c r="G1395" t="s">
        <v>40</v>
      </c>
      <c r="H1395">
        <v>1965</v>
      </c>
      <c r="I1395" s="2">
        <v>9</v>
      </c>
      <c r="J1395" s="2">
        <v>4</v>
      </c>
      <c r="K1395" t="s">
        <v>46</v>
      </c>
      <c r="L1395" s="2">
        <v>2</v>
      </c>
      <c r="M1395" s="2">
        <v>4</v>
      </c>
      <c r="N1395" t="s">
        <v>41</v>
      </c>
      <c r="O1395" s="2">
        <v>4105</v>
      </c>
      <c r="P1395" s="2">
        <v>5099</v>
      </c>
      <c r="Q1395" s="2">
        <v>1</v>
      </c>
      <c r="R1395" t="s">
        <v>43</v>
      </c>
      <c r="S1395" s="2">
        <v>3</v>
      </c>
      <c r="T1395" s="2">
        <v>1</v>
      </c>
      <c r="U1395">
        <v>80</v>
      </c>
      <c r="V1395" s="2">
        <v>7</v>
      </c>
      <c r="W1395">
        <v>5</v>
      </c>
      <c r="X1395">
        <v>3</v>
      </c>
      <c r="Y1395">
        <v>7</v>
      </c>
      <c r="Z1395">
        <v>7</v>
      </c>
      <c r="AA1395">
        <v>0</v>
      </c>
      <c r="AB1395">
        <v>7</v>
      </c>
    </row>
    <row r="1396" spans="1:28" x14ac:dyDescent="0.35">
      <c r="A1396" s="2">
        <v>32</v>
      </c>
      <c r="B1396" s="2" t="str" cm="1">
        <f t="array" ref="B1396">_xlfn.IFS(HR_table[[#This Row],[Age]]&lt;=20, "Under 20yrs",HR_table[[#This Row],[Age]]&lt;=30,"(21-30)yrs",HR_table[[#This Row],[Age]]&lt;=40,"(31-40)yrs",HR_table[[#This Row],[Age]]&lt;=50,"(41-50)yrs",HR_table[[#This Row],[Age]]&lt;=60,"(51-60)yrs")</f>
        <v>(31-40)yrs</v>
      </c>
      <c r="C1396" t="s">
        <v>43</v>
      </c>
      <c r="D1396" t="s">
        <v>36</v>
      </c>
      <c r="E1396" t="s">
        <v>45</v>
      </c>
      <c r="F1396" t="s">
        <v>38</v>
      </c>
      <c r="G1396" t="s">
        <v>53</v>
      </c>
      <c r="H1396">
        <v>1966</v>
      </c>
      <c r="I1396" s="2">
        <v>5</v>
      </c>
      <c r="J1396" s="2">
        <v>4</v>
      </c>
      <c r="K1396" t="s">
        <v>46</v>
      </c>
      <c r="L1396" s="2">
        <v>2</v>
      </c>
      <c r="M1396" s="2">
        <v>4</v>
      </c>
      <c r="N1396" t="s">
        <v>41</v>
      </c>
      <c r="O1396" s="2">
        <v>9679</v>
      </c>
      <c r="P1396" s="2">
        <v>10138</v>
      </c>
      <c r="Q1396" s="2">
        <v>8</v>
      </c>
      <c r="R1396" t="s">
        <v>43</v>
      </c>
      <c r="S1396" s="2">
        <v>4</v>
      </c>
      <c r="T1396" s="2">
        <v>2</v>
      </c>
      <c r="U1396">
        <v>80</v>
      </c>
      <c r="V1396" s="2">
        <v>8</v>
      </c>
      <c r="W1396">
        <v>1</v>
      </c>
      <c r="X1396">
        <v>3</v>
      </c>
      <c r="Y1396">
        <v>1</v>
      </c>
      <c r="Z1396">
        <v>0</v>
      </c>
      <c r="AA1396">
        <v>0</v>
      </c>
      <c r="AB1396">
        <v>0</v>
      </c>
    </row>
    <row r="1397" spans="1:28" x14ac:dyDescent="0.35">
      <c r="A1397" s="2">
        <v>31</v>
      </c>
      <c r="B1397" s="2" t="str" cm="1">
        <f t="array" ref="B1397">_xlfn.IFS(HR_table[[#This Row],[Age]]&lt;=20, "Under 20yrs",HR_table[[#This Row],[Age]]&lt;=30,"(21-30)yrs",HR_table[[#This Row],[Age]]&lt;=40,"(31-40)yrs",HR_table[[#This Row],[Age]]&lt;=50,"(41-50)yrs",HR_table[[#This Row],[Age]]&lt;=60,"(51-60)yrs")</f>
        <v>(31-40)yrs</v>
      </c>
      <c r="C1397" t="s">
        <v>35</v>
      </c>
      <c r="D1397" t="s">
        <v>44</v>
      </c>
      <c r="E1397" t="s">
        <v>37</v>
      </c>
      <c r="F1397" t="s">
        <v>59</v>
      </c>
      <c r="G1397" t="s">
        <v>40</v>
      </c>
      <c r="H1397">
        <v>1967</v>
      </c>
      <c r="I1397" s="2">
        <v>26</v>
      </c>
      <c r="J1397" s="2">
        <v>1</v>
      </c>
      <c r="K1397" t="s">
        <v>46</v>
      </c>
      <c r="L1397" s="2">
        <v>2</v>
      </c>
      <c r="M1397" s="2">
        <v>4</v>
      </c>
      <c r="N1397" t="s">
        <v>48</v>
      </c>
      <c r="O1397" s="2">
        <v>5617</v>
      </c>
      <c r="P1397" s="2">
        <v>21075</v>
      </c>
      <c r="Q1397" s="2">
        <v>1</v>
      </c>
      <c r="R1397" t="s">
        <v>35</v>
      </c>
      <c r="S1397" s="2">
        <v>3</v>
      </c>
      <c r="T1397" s="2">
        <v>3</v>
      </c>
      <c r="U1397">
        <v>80</v>
      </c>
      <c r="V1397" s="2">
        <v>10</v>
      </c>
      <c r="W1397">
        <v>4</v>
      </c>
      <c r="X1397">
        <v>3</v>
      </c>
      <c r="Y1397">
        <v>10</v>
      </c>
      <c r="Z1397">
        <v>7</v>
      </c>
      <c r="AA1397">
        <v>0</v>
      </c>
      <c r="AB1397">
        <v>8</v>
      </c>
    </row>
    <row r="1398" spans="1:28" x14ac:dyDescent="0.35">
      <c r="A1398" s="2">
        <v>53</v>
      </c>
      <c r="B1398" s="2" t="str" cm="1">
        <f t="array" ref="B1398">_xlfn.IFS(HR_table[[#This Row],[Age]]&lt;=20, "Under 20yrs",HR_table[[#This Row],[Age]]&lt;=30,"(21-30)yrs",HR_table[[#This Row],[Age]]&lt;=40,"(31-40)yrs",HR_table[[#This Row],[Age]]&lt;=50,"(41-50)yrs",HR_table[[#This Row],[Age]]&lt;=60,"(51-60)yrs")</f>
        <v>(51-60)yrs</v>
      </c>
      <c r="C1398" t="s">
        <v>35</v>
      </c>
      <c r="D1398" t="s">
        <v>36</v>
      </c>
      <c r="E1398" t="s">
        <v>37</v>
      </c>
      <c r="F1398" t="s">
        <v>38</v>
      </c>
      <c r="G1398" t="s">
        <v>40</v>
      </c>
      <c r="H1398">
        <v>1968</v>
      </c>
      <c r="I1398" s="2">
        <v>24</v>
      </c>
      <c r="J1398" s="2">
        <v>1</v>
      </c>
      <c r="K1398" t="s">
        <v>46</v>
      </c>
      <c r="L1398" s="2">
        <v>3</v>
      </c>
      <c r="M1398" s="2">
        <v>1</v>
      </c>
      <c r="N1398" t="s">
        <v>41</v>
      </c>
      <c r="O1398" s="2">
        <v>10448</v>
      </c>
      <c r="P1398" s="2">
        <v>5843</v>
      </c>
      <c r="Q1398" s="2">
        <v>6</v>
      </c>
      <c r="R1398" t="s">
        <v>35</v>
      </c>
      <c r="S1398" s="2">
        <v>3</v>
      </c>
      <c r="T1398" s="2">
        <v>2</v>
      </c>
      <c r="U1398">
        <v>80</v>
      </c>
      <c r="V1398" s="2">
        <v>15</v>
      </c>
      <c r="W1398">
        <v>2</v>
      </c>
      <c r="X1398">
        <v>2</v>
      </c>
      <c r="Y1398">
        <v>2</v>
      </c>
      <c r="Z1398">
        <v>2</v>
      </c>
      <c r="AA1398">
        <v>2</v>
      </c>
      <c r="AB1398">
        <v>2</v>
      </c>
    </row>
    <row r="1399" spans="1:28" x14ac:dyDescent="0.35">
      <c r="A1399" s="2">
        <v>54</v>
      </c>
      <c r="B1399" s="2" t="str" cm="1">
        <f t="array" ref="B1399">_xlfn.IFS(HR_table[[#This Row],[Age]]&lt;=20, "Under 20yrs",HR_table[[#This Row],[Age]]&lt;=30,"(21-30)yrs",HR_table[[#This Row],[Age]]&lt;=40,"(31-40)yrs",HR_table[[#This Row],[Age]]&lt;=50,"(41-50)yrs",HR_table[[#This Row],[Age]]&lt;=60,"(51-60)yrs")</f>
        <v>(51-60)yrs</v>
      </c>
      <c r="C1399" t="s">
        <v>43</v>
      </c>
      <c r="D1399" t="s">
        <v>36</v>
      </c>
      <c r="E1399" t="s">
        <v>45</v>
      </c>
      <c r="F1399" t="s">
        <v>38</v>
      </c>
      <c r="G1399" t="s">
        <v>47</v>
      </c>
      <c r="H1399">
        <v>1969</v>
      </c>
      <c r="I1399" s="2">
        <v>9</v>
      </c>
      <c r="J1399" s="2">
        <v>1</v>
      </c>
      <c r="K1399" t="s">
        <v>39</v>
      </c>
      <c r="L1399" s="2">
        <v>2</v>
      </c>
      <c r="M1399" s="2">
        <v>3</v>
      </c>
      <c r="N1399" t="s">
        <v>48</v>
      </c>
      <c r="O1399" s="2">
        <v>2897</v>
      </c>
      <c r="P1399" s="2">
        <v>22474</v>
      </c>
      <c r="Q1399" s="2">
        <v>3</v>
      </c>
      <c r="R1399" t="s">
        <v>43</v>
      </c>
      <c r="S1399" s="2">
        <v>3</v>
      </c>
      <c r="T1399" s="2">
        <v>3</v>
      </c>
      <c r="U1399">
        <v>80</v>
      </c>
      <c r="V1399" s="2">
        <v>9</v>
      </c>
      <c r="W1399">
        <v>6</v>
      </c>
      <c r="X1399">
        <v>2</v>
      </c>
      <c r="Y1399">
        <v>4</v>
      </c>
      <c r="Z1399">
        <v>3</v>
      </c>
      <c r="AA1399">
        <v>2</v>
      </c>
      <c r="AB1399">
        <v>3</v>
      </c>
    </row>
    <row r="1400" spans="1:28" x14ac:dyDescent="0.35">
      <c r="A1400" s="2">
        <v>33</v>
      </c>
      <c r="B1400" s="2" t="str" cm="1">
        <f t="array" ref="B1400">_xlfn.IFS(HR_table[[#This Row],[Age]]&lt;=20, "Under 20yrs",HR_table[[#This Row],[Age]]&lt;=30,"(21-30)yrs",HR_table[[#This Row],[Age]]&lt;=40,"(31-40)yrs",HR_table[[#This Row],[Age]]&lt;=50,"(41-50)yrs",HR_table[[#This Row],[Age]]&lt;=60,"(51-60)yrs")</f>
        <v>(31-40)yrs</v>
      </c>
      <c r="C1400" t="s">
        <v>43</v>
      </c>
      <c r="D1400" t="s">
        <v>44</v>
      </c>
      <c r="E1400" t="s">
        <v>45</v>
      </c>
      <c r="F1400" t="s">
        <v>38</v>
      </c>
      <c r="G1400" t="s">
        <v>54</v>
      </c>
      <c r="H1400">
        <v>1970</v>
      </c>
      <c r="I1400" s="2">
        <v>7</v>
      </c>
      <c r="J1400" s="2">
        <v>4</v>
      </c>
      <c r="K1400" t="s">
        <v>46</v>
      </c>
      <c r="L1400" s="2">
        <v>2</v>
      </c>
      <c r="M1400" s="2">
        <v>3</v>
      </c>
      <c r="N1400" t="s">
        <v>52</v>
      </c>
      <c r="O1400" s="2">
        <v>5968</v>
      </c>
      <c r="P1400" s="2">
        <v>18079</v>
      </c>
      <c r="Q1400" s="2">
        <v>1</v>
      </c>
      <c r="R1400" t="s">
        <v>43</v>
      </c>
      <c r="S1400" s="2">
        <v>4</v>
      </c>
      <c r="T1400" s="2">
        <v>3</v>
      </c>
      <c r="U1400">
        <v>80</v>
      </c>
      <c r="V1400" s="2">
        <v>9</v>
      </c>
      <c r="W1400">
        <v>2</v>
      </c>
      <c r="X1400">
        <v>3</v>
      </c>
      <c r="Y1400">
        <v>9</v>
      </c>
      <c r="Z1400">
        <v>7</v>
      </c>
      <c r="AA1400">
        <v>2</v>
      </c>
      <c r="AB1400">
        <v>8</v>
      </c>
    </row>
    <row r="1401" spans="1:28" x14ac:dyDescent="0.35">
      <c r="A1401" s="2">
        <v>43</v>
      </c>
      <c r="B1401" s="2" t="str" cm="1">
        <f t="array" ref="B1401">_xlfn.IFS(HR_table[[#This Row],[Age]]&lt;=20, "Under 20yrs",HR_table[[#This Row],[Age]]&lt;=30,"(21-30)yrs",HR_table[[#This Row],[Age]]&lt;=40,"(31-40)yrs",HR_table[[#This Row],[Age]]&lt;=50,"(41-50)yrs",HR_table[[#This Row],[Age]]&lt;=60,"(51-60)yrs")</f>
        <v>(41-50)yrs</v>
      </c>
      <c r="C1401" t="s">
        <v>43</v>
      </c>
      <c r="D1401" t="s">
        <v>36</v>
      </c>
      <c r="E1401" t="s">
        <v>45</v>
      </c>
      <c r="F1401" t="s">
        <v>38</v>
      </c>
      <c r="G1401" t="s">
        <v>54</v>
      </c>
      <c r="H1401">
        <v>1971</v>
      </c>
      <c r="I1401" s="2">
        <v>11</v>
      </c>
      <c r="J1401" s="2">
        <v>1</v>
      </c>
      <c r="K1401" t="s">
        <v>46</v>
      </c>
      <c r="L1401" s="2">
        <v>3</v>
      </c>
      <c r="M1401" s="2">
        <v>3</v>
      </c>
      <c r="N1401" t="s">
        <v>48</v>
      </c>
      <c r="O1401" s="2">
        <v>7510</v>
      </c>
      <c r="P1401" s="2">
        <v>16873</v>
      </c>
      <c r="Q1401" s="2">
        <v>1</v>
      </c>
      <c r="R1401" t="s">
        <v>43</v>
      </c>
      <c r="S1401" s="2">
        <v>3</v>
      </c>
      <c r="T1401" s="2">
        <v>2</v>
      </c>
      <c r="U1401">
        <v>80</v>
      </c>
      <c r="V1401" s="2">
        <v>10</v>
      </c>
      <c r="W1401">
        <v>1</v>
      </c>
      <c r="X1401">
        <v>3</v>
      </c>
      <c r="Y1401">
        <v>10</v>
      </c>
      <c r="Z1401">
        <v>9</v>
      </c>
      <c r="AA1401">
        <v>0</v>
      </c>
      <c r="AB1401">
        <v>9</v>
      </c>
    </row>
    <row r="1402" spans="1:28" x14ac:dyDescent="0.35">
      <c r="A1402" s="2">
        <v>38</v>
      </c>
      <c r="B1402" s="2" t="str" cm="1">
        <f t="array" ref="B1402">_xlfn.IFS(HR_table[[#This Row],[Age]]&lt;=20, "Under 20yrs",HR_table[[#This Row],[Age]]&lt;=30,"(21-30)yrs",HR_table[[#This Row],[Age]]&lt;=40,"(31-40)yrs",HR_table[[#This Row],[Age]]&lt;=50,"(41-50)yrs",HR_table[[#This Row],[Age]]&lt;=60,"(51-60)yrs")</f>
        <v>(31-40)yrs</v>
      </c>
      <c r="C1402" t="s">
        <v>43</v>
      </c>
      <c r="D1402" t="s">
        <v>44</v>
      </c>
      <c r="E1402" t="s">
        <v>61</v>
      </c>
      <c r="F1402" t="s">
        <v>49</v>
      </c>
      <c r="G1402" t="s">
        <v>61</v>
      </c>
      <c r="H1402">
        <v>1972</v>
      </c>
      <c r="I1402" s="2">
        <v>1</v>
      </c>
      <c r="J1402" s="2">
        <v>4</v>
      </c>
      <c r="K1402" t="s">
        <v>46</v>
      </c>
      <c r="L1402" s="2">
        <v>1</v>
      </c>
      <c r="M1402" s="2">
        <v>2</v>
      </c>
      <c r="N1402" t="s">
        <v>48</v>
      </c>
      <c r="O1402" s="2">
        <v>2991</v>
      </c>
      <c r="P1402" s="2">
        <v>5224</v>
      </c>
      <c r="Q1402" s="2">
        <v>0</v>
      </c>
      <c r="R1402" t="s">
        <v>35</v>
      </c>
      <c r="S1402" s="2">
        <v>3</v>
      </c>
      <c r="T1402" s="2">
        <v>2</v>
      </c>
      <c r="U1402">
        <v>80</v>
      </c>
      <c r="V1402" s="2">
        <v>7</v>
      </c>
      <c r="W1402">
        <v>2</v>
      </c>
      <c r="X1402">
        <v>3</v>
      </c>
      <c r="Y1402">
        <v>6</v>
      </c>
      <c r="Z1402">
        <v>2</v>
      </c>
      <c r="AA1402">
        <v>1</v>
      </c>
      <c r="AB1402">
        <v>2</v>
      </c>
    </row>
    <row r="1403" spans="1:28" x14ac:dyDescent="0.35">
      <c r="A1403" s="2">
        <v>55</v>
      </c>
      <c r="B1403" s="2" t="str" cm="1">
        <f t="array" ref="B1403">_xlfn.IFS(HR_table[[#This Row],[Age]]&lt;=20, "Under 20yrs",HR_table[[#This Row],[Age]]&lt;=30,"(21-30)yrs",HR_table[[#This Row],[Age]]&lt;=40,"(31-40)yrs",HR_table[[#This Row],[Age]]&lt;=50,"(41-50)yrs",HR_table[[#This Row],[Age]]&lt;=60,"(51-60)yrs")</f>
        <v>(51-60)yrs</v>
      </c>
      <c r="C1403" t="s">
        <v>43</v>
      </c>
      <c r="D1403" t="s">
        <v>36</v>
      </c>
      <c r="E1403" t="s">
        <v>61</v>
      </c>
      <c r="F1403" t="s">
        <v>61</v>
      </c>
      <c r="G1403" t="s">
        <v>56</v>
      </c>
      <c r="H1403">
        <v>1973</v>
      </c>
      <c r="I1403" s="2">
        <v>26</v>
      </c>
      <c r="J1403" s="2">
        <v>3</v>
      </c>
      <c r="K1403" t="s">
        <v>46</v>
      </c>
      <c r="L1403" s="2">
        <v>5</v>
      </c>
      <c r="M1403" s="2">
        <v>2</v>
      </c>
      <c r="N1403" t="s">
        <v>48</v>
      </c>
      <c r="O1403" s="2">
        <v>19636</v>
      </c>
      <c r="P1403" s="2">
        <v>25811</v>
      </c>
      <c r="Q1403" s="2">
        <v>4</v>
      </c>
      <c r="R1403" t="s">
        <v>35</v>
      </c>
      <c r="S1403" s="2">
        <v>3</v>
      </c>
      <c r="T1403" s="2">
        <v>1</v>
      </c>
      <c r="U1403">
        <v>80</v>
      </c>
      <c r="V1403" s="2">
        <v>35</v>
      </c>
      <c r="W1403">
        <v>0</v>
      </c>
      <c r="X1403">
        <v>3</v>
      </c>
      <c r="Y1403">
        <v>10</v>
      </c>
      <c r="Z1403">
        <v>9</v>
      </c>
      <c r="AA1403">
        <v>1</v>
      </c>
      <c r="AB1403">
        <v>4</v>
      </c>
    </row>
    <row r="1404" spans="1:28" x14ac:dyDescent="0.35">
      <c r="A1404" s="2">
        <v>31</v>
      </c>
      <c r="B1404" s="2" t="str" cm="1">
        <f t="array" ref="B1404">_xlfn.IFS(HR_table[[#This Row],[Age]]&lt;=20, "Under 20yrs",HR_table[[#This Row],[Age]]&lt;=30,"(21-30)yrs",HR_table[[#This Row],[Age]]&lt;=40,"(31-40)yrs",HR_table[[#This Row],[Age]]&lt;=50,"(41-50)yrs",HR_table[[#This Row],[Age]]&lt;=60,"(51-60)yrs")</f>
        <v>(31-40)yrs</v>
      </c>
      <c r="C1404" t="s">
        <v>43</v>
      </c>
      <c r="D1404" t="s">
        <v>36</v>
      </c>
      <c r="E1404" t="s">
        <v>45</v>
      </c>
      <c r="F1404" t="s">
        <v>51</v>
      </c>
      <c r="G1404" t="s">
        <v>50</v>
      </c>
      <c r="H1404">
        <v>1974</v>
      </c>
      <c r="I1404" s="2">
        <v>2</v>
      </c>
      <c r="J1404" s="2">
        <v>4</v>
      </c>
      <c r="K1404" t="s">
        <v>39</v>
      </c>
      <c r="L1404" s="2">
        <v>1</v>
      </c>
      <c r="M1404" s="2">
        <v>4</v>
      </c>
      <c r="N1404" t="s">
        <v>52</v>
      </c>
      <c r="O1404" s="2">
        <v>1129</v>
      </c>
      <c r="P1404" s="2">
        <v>17536</v>
      </c>
      <c r="Q1404" s="2">
        <v>1</v>
      </c>
      <c r="R1404" t="s">
        <v>35</v>
      </c>
      <c r="S1404" s="2">
        <v>3</v>
      </c>
      <c r="T1404" s="2">
        <v>3</v>
      </c>
      <c r="U1404">
        <v>80</v>
      </c>
      <c r="V1404" s="2">
        <v>1</v>
      </c>
      <c r="W1404">
        <v>4</v>
      </c>
      <c r="X1404">
        <v>3</v>
      </c>
      <c r="Y1404">
        <v>1</v>
      </c>
      <c r="Z1404">
        <v>0</v>
      </c>
      <c r="AA1404">
        <v>0</v>
      </c>
      <c r="AB1404">
        <v>0</v>
      </c>
    </row>
    <row r="1405" spans="1:28" x14ac:dyDescent="0.35">
      <c r="A1405" s="2">
        <v>39</v>
      </c>
      <c r="B1405" s="2" t="str" cm="1">
        <f t="array" ref="B1405">_xlfn.IFS(HR_table[[#This Row],[Age]]&lt;=20, "Under 20yrs",HR_table[[#This Row],[Age]]&lt;=30,"(21-30)yrs",HR_table[[#This Row],[Age]]&lt;=40,"(31-40)yrs",HR_table[[#This Row],[Age]]&lt;=50,"(41-50)yrs",HR_table[[#This Row],[Age]]&lt;=60,"(51-60)yrs")</f>
        <v>(31-40)yrs</v>
      </c>
      <c r="C1405" t="s">
        <v>43</v>
      </c>
      <c r="D1405" t="s">
        <v>36</v>
      </c>
      <c r="E1405" t="s">
        <v>37</v>
      </c>
      <c r="F1405" t="s">
        <v>59</v>
      </c>
      <c r="G1405" t="s">
        <v>40</v>
      </c>
      <c r="H1405">
        <v>1975</v>
      </c>
      <c r="I1405" s="2">
        <v>15</v>
      </c>
      <c r="J1405" s="2">
        <v>2</v>
      </c>
      <c r="K1405" t="s">
        <v>46</v>
      </c>
      <c r="L1405" s="2">
        <v>4</v>
      </c>
      <c r="M1405" s="2">
        <v>1</v>
      </c>
      <c r="N1405" t="s">
        <v>41</v>
      </c>
      <c r="O1405" s="2">
        <v>13341</v>
      </c>
      <c r="P1405" s="2">
        <v>25098</v>
      </c>
      <c r="Q1405" s="2">
        <v>0</v>
      </c>
      <c r="R1405" t="s">
        <v>43</v>
      </c>
      <c r="S1405" s="2">
        <v>3</v>
      </c>
      <c r="T1405" s="2">
        <v>1</v>
      </c>
      <c r="U1405">
        <v>80</v>
      </c>
      <c r="V1405" s="2">
        <v>21</v>
      </c>
      <c r="W1405">
        <v>3</v>
      </c>
      <c r="X1405">
        <v>3</v>
      </c>
      <c r="Y1405">
        <v>20</v>
      </c>
      <c r="Z1405">
        <v>8</v>
      </c>
      <c r="AA1405">
        <v>11</v>
      </c>
      <c r="AB1405">
        <v>10</v>
      </c>
    </row>
    <row r="1406" spans="1:28" x14ac:dyDescent="0.35">
      <c r="A1406" s="2">
        <v>42</v>
      </c>
      <c r="B1406" s="2" t="str" cm="1">
        <f t="array" ref="B1406">_xlfn.IFS(HR_table[[#This Row],[Age]]&lt;=20, "Under 20yrs",HR_table[[#This Row],[Age]]&lt;=30,"(21-30)yrs",HR_table[[#This Row],[Age]]&lt;=40,"(31-40)yrs",HR_table[[#This Row],[Age]]&lt;=50,"(41-50)yrs",HR_table[[#This Row],[Age]]&lt;=60,"(51-60)yrs")</f>
        <v>(41-50)yrs</v>
      </c>
      <c r="C1406" t="s">
        <v>43</v>
      </c>
      <c r="D1406" t="s">
        <v>55</v>
      </c>
      <c r="E1406" t="s">
        <v>45</v>
      </c>
      <c r="F1406" t="s">
        <v>38</v>
      </c>
      <c r="G1406" t="s">
        <v>47</v>
      </c>
      <c r="H1406">
        <v>1976</v>
      </c>
      <c r="I1406" s="2">
        <v>23</v>
      </c>
      <c r="J1406" s="2">
        <v>4</v>
      </c>
      <c r="K1406" t="s">
        <v>46</v>
      </c>
      <c r="L1406" s="2">
        <v>2</v>
      </c>
      <c r="M1406" s="2">
        <v>3</v>
      </c>
      <c r="N1406" t="s">
        <v>41</v>
      </c>
      <c r="O1406" s="2">
        <v>4332</v>
      </c>
      <c r="P1406" s="2">
        <v>14811</v>
      </c>
      <c r="Q1406" s="2">
        <v>1</v>
      </c>
      <c r="R1406" t="s">
        <v>43</v>
      </c>
      <c r="S1406" s="2">
        <v>3</v>
      </c>
      <c r="T1406" s="2">
        <v>4</v>
      </c>
      <c r="U1406">
        <v>80</v>
      </c>
      <c r="V1406" s="2">
        <v>20</v>
      </c>
      <c r="W1406">
        <v>2</v>
      </c>
      <c r="X1406">
        <v>3</v>
      </c>
      <c r="Y1406">
        <v>20</v>
      </c>
      <c r="Z1406">
        <v>9</v>
      </c>
      <c r="AA1406">
        <v>3</v>
      </c>
      <c r="AB1406">
        <v>7</v>
      </c>
    </row>
    <row r="1407" spans="1:28" x14ac:dyDescent="0.35">
      <c r="A1407" s="2">
        <v>31</v>
      </c>
      <c r="B1407" s="2" t="str" cm="1">
        <f t="array" ref="B1407">_xlfn.IFS(HR_table[[#This Row],[Age]]&lt;=20, "Under 20yrs",HR_table[[#This Row],[Age]]&lt;=30,"(21-30)yrs",HR_table[[#This Row],[Age]]&lt;=40,"(31-40)yrs",HR_table[[#This Row],[Age]]&lt;=50,"(41-50)yrs",HR_table[[#This Row],[Age]]&lt;=60,"(51-60)yrs")</f>
        <v>(31-40)yrs</v>
      </c>
      <c r="C1407" t="s">
        <v>43</v>
      </c>
      <c r="D1407" t="s">
        <v>55</v>
      </c>
      <c r="E1407" t="s">
        <v>45</v>
      </c>
      <c r="F1407" t="s">
        <v>51</v>
      </c>
      <c r="G1407" t="s">
        <v>58</v>
      </c>
      <c r="H1407">
        <v>1979</v>
      </c>
      <c r="I1407" s="2">
        <v>10</v>
      </c>
      <c r="J1407" s="2">
        <v>3</v>
      </c>
      <c r="K1407" t="s">
        <v>39</v>
      </c>
      <c r="L1407" s="2">
        <v>3</v>
      </c>
      <c r="M1407" s="2">
        <v>3</v>
      </c>
      <c r="N1407" t="s">
        <v>48</v>
      </c>
      <c r="O1407" s="2">
        <v>11031</v>
      </c>
      <c r="P1407" s="2">
        <v>26862</v>
      </c>
      <c r="Q1407" s="2">
        <v>4</v>
      </c>
      <c r="R1407" t="s">
        <v>43</v>
      </c>
      <c r="S1407" s="2">
        <v>4</v>
      </c>
      <c r="T1407" s="2">
        <v>3</v>
      </c>
      <c r="U1407">
        <v>80</v>
      </c>
      <c r="V1407" s="2">
        <v>13</v>
      </c>
      <c r="W1407">
        <v>2</v>
      </c>
      <c r="X1407">
        <v>4</v>
      </c>
      <c r="Y1407">
        <v>11</v>
      </c>
      <c r="Z1407">
        <v>7</v>
      </c>
      <c r="AA1407">
        <v>4</v>
      </c>
      <c r="AB1407">
        <v>8</v>
      </c>
    </row>
    <row r="1408" spans="1:28" x14ac:dyDescent="0.35">
      <c r="A1408" s="2">
        <v>54</v>
      </c>
      <c r="B1408" s="2" t="str" cm="1">
        <f t="array" ref="B1408">_xlfn.IFS(HR_table[[#This Row],[Age]]&lt;=20, "Under 20yrs",HR_table[[#This Row],[Age]]&lt;=30,"(21-30)yrs",HR_table[[#This Row],[Age]]&lt;=40,"(31-40)yrs",HR_table[[#This Row],[Age]]&lt;=50,"(41-50)yrs",HR_table[[#This Row],[Age]]&lt;=60,"(51-60)yrs")</f>
        <v>(51-60)yrs</v>
      </c>
      <c r="C1408" t="s">
        <v>43</v>
      </c>
      <c r="D1408" t="s">
        <v>36</v>
      </c>
      <c r="E1408" t="s">
        <v>45</v>
      </c>
      <c r="F1408" t="s">
        <v>51</v>
      </c>
      <c r="G1408" t="s">
        <v>53</v>
      </c>
      <c r="H1408">
        <v>1980</v>
      </c>
      <c r="I1408" s="2">
        <v>10</v>
      </c>
      <c r="J1408" s="2">
        <v>3</v>
      </c>
      <c r="K1408" t="s">
        <v>39</v>
      </c>
      <c r="L1408" s="2">
        <v>2</v>
      </c>
      <c r="M1408" s="2">
        <v>1</v>
      </c>
      <c r="N1408" t="s">
        <v>41</v>
      </c>
      <c r="O1408" s="2">
        <v>4440</v>
      </c>
      <c r="P1408" s="2">
        <v>25198</v>
      </c>
      <c r="Q1408" s="2">
        <v>6</v>
      </c>
      <c r="R1408" t="s">
        <v>35</v>
      </c>
      <c r="S1408" s="2">
        <v>3</v>
      </c>
      <c r="T1408" s="2">
        <v>4</v>
      </c>
      <c r="U1408">
        <v>80</v>
      </c>
      <c r="V1408" s="2">
        <v>9</v>
      </c>
      <c r="W1408">
        <v>3</v>
      </c>
      <c r="X1408">
        <v>3</v>
      </c>
      <c r="Y1408">
        <v>5</v>
      </c>
      <c r="Z1408">
        <v>2</v>
      </c>
      <c r="AA1408">
        <v>1</v>
      </c>
      <c r="AB1408">
        <v>4</v>
      </c>
    </row>
    <row r="1409" spans="1:28" x14ac:dyDescent="0.35">
      <c r="A1409" s="2">
        <v>24</v>
      </c>
      <c r="B1409" s="2" t="str" cm="1">
        <f t="array" ref="B1409">_xlfn.IFS(HR_table[[#This Row],[Age]]&lt;=20, "Under 20yrs",HR_table[[#This Row],[Age]]&lt;=30,"(21-30)yrs",HR_table[[#This Row],[Age]]&lt;=40,"(31-40)yrs",HR_table[[#This Row],[Age]]&lt;=50,"(41-50)yrs",HR_table[[#This Row],[Age]]&lt;=60,"(51-60)yrs")</f>
        <v>(21-30)yrs</v>
      </c>
      <c r="C1409" t="s">
        <v>43</v>
      </c>
      <c r="D1409" t="s">
        <v>36</v>
      </c>
      <c r="E1409" t="s">
        <v>45</v>
      </c>
      <c r="F1409" t="s">
        <v>38</v>
      </c>
      <c r="G1409" t="s">
        <v>54</v>
      </c>
      <c r="H1409">
        <v>1981</v>
      </c>
      <c r="I1409" s="2">
        <v>1</v>
      </c>
      <c r="J1409" s="2">
        <v>2</v>
      </c>
      <c r="K1409" t="s">
        <v>46</v>
      </c>
      <c r="L1409" s="2">
        <v>2</v>
      </c>
      <c r="M1409" s="2">
        <v>3</v>
      </c>
      <c r="N1409" t="s">
        <v>41</v>
      </c>
      <c r="O1409" s="2">
        <v>4617</v>
      </c>
      <c r="P1409" s="2">
        <v>14120</v>
      </c>
      <c r="Q1409" s="2">
        <v>1</v>
      </c>
      <c r="R1409" t="s">
        <v>43</v>
      </c>
      <c r="S1409" s="2">
        <v>3</v>
      </c>
      <c r="T1409" s="2">
        <v>2</v>
      </c>
      <c r="U1409">
        <v>80</v>
      </c>
      <c r="V1409" s="2">
        <v>4</v>
      </c>
      <c r="W1409">
        <v>2</v>
      </c>
      <c r="X1409">
        <v>2</v>
      </c>
      <c r="Y1409">
        <v>4</v>
      </c>
      <c r="Z1409">
        <v>3</v>
      </c>
      <c r="AA1409">
        <v>1</v>
      </c>
      <c r="AB1409">
        <v>2</v>
      </c>
    </row>
    <row r="1410" spans="1:28" x14ac:dyDescent="0.35">
      <c r="A1410" s="2">
        <v>23</v>
      </c>
      <c r="B1410" s="2" t="str" cm="1">
        <f t="array" ref="B1410">_xlfn.IFS(HR_table[[#This Row],[Age]]&lt;=20, "Under 20yrs",HR_table[[#This Row],[Age]]&lt;=30,"(21-30)yrs",HR_table[[#This Row],[Age]]&lt;=40,"(31-40)yrs",HR_table[[#This Row],[Age]]&lt;=50,"(41-50)yrs",HR_table[[#This Row],[Age]]&lt;=60,"(51-60)yrs")</f>
        <v>(21-30)yrs</v>
      </c>
      <c r="C1410" t="s">
        <v>43</v>
      </c>
      <c r="D1410" t="s">
        <v>36</v>
      </c>
      <c r="E1410" t="s">
        <v>45</v>
      </c>
      <c r="F1410" t="s">
        <v>49</v>
      </c>
      <c r="G1410" t="s">
        <v>50</v>
      </c>
      <c r="H1410">
        <v>1982</v>
      </c>
      <c r="I1410" s="2">
        <v>12</v>
      </c>
      <c r="J1410" s="2">
        <v>4</v>
      </c>
      <c r="K1410" t="s">
        <v>46</v>
      </c>
      <c r="L1410" s="2">
        <v>1</v>
      </c>
      <c r="M1410" s="2">
        <v>4</v>
      </c>
      <c r="N1410" t="s">
        <v>41</v>
      </c>
      <c r="O1410" s="2">
        <v>2647</v>
      </c>
      <c r="P1410" s="2">
        <v>13672</v>
      </c>
      <c r="Q1410" s="2">
        <v>1</v>
      </c>
      <c r="R1410" t="s">
        <v>43</v>
      </c>
      <c r="S1410" s="2">
        <v>3</v>
      </c>
      <c r="T1410" s="2">
        <v>3</v>
      </c>
      <c r="U1410">
        <v>80</v>
      </c>
      <c r="V1410" s="2">
        <v>5</v>
      </c>
      <c r="W1410">
        <v>6</v>
      </c>
      <c r="X1410">
        <v>4</v>
      </c>
      <c r="Y1410">
        <v>5</v>
      </c>
      <c r="Z1410">
        <v>2</v>
      </c>
      <c r="AA1410">
        <v>1</v>
      </c>
      <c r="AB1410">
        <v>4</v>
      </c>
    </row>
    <row r="1411" spans="1:28" x14ac:dyDescent="0.35">
      <c r="A1411" s="2">
        <v>40</v>
      </c>
      <c r="B1411" s="2" t="str" cm="1">
        <f t="array" ref="B1411">_xlfn.IFS(HR_table[[#This Row],[Age]]&lt;=20, "Under 20yrs",HR_table[[#This Row],[Age]]&lt;=30,"(21-30)yrs",HR_table[[#This Row],[Age]]&lt;=40,"(31-40)yrs",HR_table[[#This Row],[Age]]&lt;=50,"(41-50)yrs",HR_table[[#This Row],[Age]]&lt;=60,"(51-60)yrs")</f>
        <v>(31-40)yrs</v>
      </c>
      <c r="C1411" t="s">
        <v>43</v>
      </c>
      <c r="D1411" t="s">
        <v>44</v>
      </c>
      <c r="E1411" t="s">
        <v>45</v>
      </c>
      <c r="F1411" t="s">
        <v>60</v>
      </c>
      <c r="G1411" t="s">
        <v>50</v>
      </c>
      <c r="H1411">
        <v>1985</v>
      </c>
      <c r="I1411" s="2">
        <v>11</v>
      </c>
      <c r="J1411" s="2">
        <v>4</v>
      </c>
      <c r="K1411" t="s">
        <v>39</v>
      </c>
      <c r="L1411" s="2">
        <v>2</v>
      </c>
      <c r="M1411" s="2">
        <v>3</v>
      </c>
      <c r="N1411" t="s">
        <v>48</v>
      </c>
      <c r="O1411" s="2">
        <v>6323</v>
      </c>
      <c r="P1411" s="2">
        <v>26849</v>
      </c>
      <c r="Q1411" s="2">
        <v>1</v>
      </c>
      <c r="R1411" t="s">
        <v>43</v>
      </c>
      <c r="S1411" s="2">
        <v>3</v>
      </c>
      <c r="T1411" s="2">
        <v>1</v>
      </c>
      <c r="U1411">
        <v>80</v>
      </c>
      <c r="V1411" s="2">
        <v>10</v>
      </c>
      <c r="W1411">
        <v>2</v>
      </c>
      <c r="X1411">
        <v>4</v>
      </c>
      <c r="Y1411">
        <v>10</v>
      </c>
      <c r="Z1411">
        <v>9</v>
      </c>
      <c r="AA1411">
        <v>9</v>
      </c>
      <c r="AB1411">
        <v>4</v>
      </c>
    </row>
    <row r="1412" spans="1:28" x14ac:dyDescent="0.35">
      <c r="A1412" s="2">
        <v>40</v>
      </c>
      <c r="B1412" s="2" t="str" cm="1">
        <f t="array" ref="B1412">_xlfn.IFS(HR_table[[#This Row],[Age]]&lt;=20, "Under 20yrs",HR_table[[#This Row],[Age]]&lt;=30,"(21-30)yrs",HR_table[[#This Row],[Age]]&lt;=40,"(31-40)yrs",HR_table[[#This Row],[Age]]&lt;=50,"(41-50)yrs",HR_table[[#This Row],[Age]]&lt;=60,"(51-60)yrs")</f>
        <v>(31-40)yrs</v>
      </c>
      <c r="C1412" t="s">
        <v>43</v>
      </c>
      <c r="D1412" t="s">
        <v>36</v>
      </c>
      <c r="E1412" t="s">
        <v>37</v>
      </c>
      <c r="F1412" t="s">
        <v>59</v>
      </c>
      <c r="G1412" t="s">
        <v>40</v>
      </c>
      <c r="H1412">
        <v>1986</v>
      </c>
      <c r="I1412" s="2">
        <v>2</v>
      </c>
      <c r="J1412" s="2">
        <v>2</v>
      </c>
      <c r="K1412" t="s">
        <v>39</v>
      </c>
      <c r="L1412" s="2">
        <v>2</v>
      </c>
      <c r="M1412" s="2">
        <v>2</v>
      </c>
      <c r="N1412" t="s">
        <v>48</v>
      </c>
      <c r="O1412" s="2">
        <v>5677</v>
      </c>
      <c r="P1412" s="2">
        <v>4258</v>
      </c>
      <c r="Q1412" s="2">
        <v>3</v>
      </c>
      <c r="R1412" t="s">
        <v>43</v>
      </c>
      <c r="S1412" s="2">
        <v>3</v>
      </c>
      <c r="T1412" s="2">
        <v>3</v>
      </c>
      <c r="U1412">
        <v>80</v>
      </c>
      <c r="V1412" s="2">
        <v>15</v>
      </c>
      <c r="W1412">
        <v>4</v>
      </c>
      <c r="X1412">
        <v>3</v>
      </c>
      <c r="Y1412">
        <v>11</v>
      </c>
      <c r="Z1412">
        <v>8</v>
      </c>
      <c r="AA1412">
        <v>5</v>
      </c>
      <c r="AB1412">
        <v>10</v>
      </c>
    </row>
    <row r="1413" spans="1:28" x14ac:dyDescent="0.35">
      <c r="A1413" s="2">
        <v>25</v>
      </c>
      <c r="B1413" s="2" t="str" cm="1">
        <f t="array" ref="B1413">_xlfn.IFS(HR_table[[#This Row],[Age]]&lt;=20, "Under 20yrs",HR_table[[#This Row],[Age]]&lt;=30,"(21-30)yrs",HR_table[[#This Row],[Age]]&lt;=40,"(31-40)yrs",HR_table[[#This Row],[Age]]&lt;=50,"(41-50)yrs",HR_table[[#This Row],[Age]]&lt;=60,"(51-60)yrs")</f>
        <v>(21-30)yrs</v>
      </c>
      <c r="C1413" t="s">
        <v>43</v>
      </c>
      <c r="D1413" t="s">
        <v>36</v>
      </c>
      <c r="E1413" t="s">
        <v>61</v>
      </c>
      <c r="F1413" t="s">
        <v>61</v>
      </c>
      <c r="G1413" t="s">
        <v>61</v>
      </c>
      <c r="H1413">
        <v>1987</v>
      </c>
      <c r="I1413" s="2">
        <v>2</v>
      </c>
      <c r="J1413" s="2">
        <v>3</v>
      </c>
      <c r="K1413" t="s">
        <v>39</v>
      </c>
      <c r="L1413" s="2">
        <v>1</v>
      </c>
      <c r="M1413" s="2">
        <v>2</v>
      </c>
      <c r="N1413" t="s">
        <v>48</v>
      </c>
      <c r="O1413" s="2">
        <v>2187</v>
      </c>
      <c r="P1413" s="2">
        <v>19655</v>
      </c>
      <c r="Q1413" s="2">
        <v>4</v>
      </c>
      <c r="R1413" t="s">
        <v>43</v>
      </c>
      <c r="S1413" s="2">
        <v>3</v>
      </c>
      <c r="T1413" s="2">
        <v>3</v>
      </c>
      <c r="U1413">
        <v>80</v>
      </c>
      <c r="V1413" s="2">
        <v>6</v>
      </c>
      <c r="W1413">
        <v>3</v>
      </c>
      <c r="X1413">
        <v>3</v>
      </c>
      <c r="Y1413">
        <v>2</v>
      </c>
      <c r="Z1413">
        <v>0</v>
      </c>
      <c r="AA1413">
        <v>1</v>
      </c>
      <c r="AB1413">
        <v>2</v>
      </c>
    </row>
    <row r="1414" spans="1:28" x14ac:dyDescent="0.35">
      <c r="A1414" s="2">
        <v>30</v>
      </c>
      <c r="B1414" s="2" t="str" cm="1">
        <f t="array" ref="B1414">_xlfn.IFS(HR_table[[#This Row],[Age]]&lt;=20, "Under 20yrs",HR_table[[#This Row],[Age]]&lt;=30,"(21-30)yrs",HR_table[[#This Row],[Age]]&lt;=40,"(31-40)yrs",HR_table[[#This Row],[Age]]&lt;=50,"(41-50)yrs",HR_table[[#This Row],[Age]]&lt;=60,"(51-60)yrs")</f>
        <v>(21-30)yrs</v>
      </c>
      <c r="C1414" t="s">
        <v>43</v>
      </c>
      <c r="D1414" t="s">
        <v>36</v>
      </c>
      <c r="E1414" t="s">
        <v>45</v>
      </c>
      <c r="F1414" t="s">
        <v>51</v>
      </c>
      <c r="G1414" t="s">
        <v>50</v>
      </c>
      <c r="H1414">
        <v>1989</v>
      </c>
      <c r="I1414" s="2">
        <v>1</v>
      </c>
      <c r="J1414" s="2">
        <v>4</v>
      </c>
      <c r="K1414" t="s">
        <v>46</v>
      </c>
      <c r="L1414" s="2">
        <v>1</v>
      </c>
      <c r="M1414" s="2">
        <v>2</v>
      </c>
      <c r="N1414" t="s">
        <v>48</v>
      </c>
      <c r="O1414" s="2">
        <v>3748</v>
      </c>
      <c r="P1414" s="2">
        <v>4077</v>
      </c>
      <c r="Q1414" s="2">
        <v>1</v>
      </c>
      <c r="R1414" t="s">
        <v>43</v>
      </c>
      <c r="S1414" s="2">
        <v>3</v>
      </c>
      <c r="T1414" s="2">
        <v>3</v>
      </c>
      <c r="U1414">
        <v>80</v>
      </c>
      <c r="V1414" s="2">
        <v>12</v>
      </c>
      <c r="W1414">
        <v>6</v>
      </c>
      <c r="X1414">
        <v>2</v>
      </c>
      <c r="Y1414">
        <v>12</v>
      </c>
      <c r="Z1414">
        <v>8</v>
      </c>
      <c r="AA1414">
        <v>1</v>
      </c>
      <c r="AB1414">
        <v>7</v>
      </c>
    </row>
    <row r="1415" spans="1:28" x14ac:dyDescent="0.35">
      <c r="A1415" s="2">
        <v>25</v>
      </c>
      <c r="B1415" s="2" t="str" cm="1">
        <f t="array" ref="B1415">_xlfn.IFS(HR_table[[#This Row],[Age]]&lt;=20, "Under 20yrs",HR_table[[#This Row],[Age]]&lt;=30,"(21-30)yrs",HR_table[[#This Row],[Age]]&lt;=40,"(31-40)yrs",HR_table[[#This Row],[Age]]&lt;=50,"(41-50)yrs",HR_table[[#This Row],[Age]]&lt;=60,"(51-60)yrs")</f>
        <v>(21-30)yrs</v>
      </c>
      <c r="C1415" t="s">
        <v>43</v>
      </c>
      <c r="D1415" t="s">
        <v>36</v>
      </c>
      <c r="E1415" t="s">
        <v>45</v>
      </c>
      <c r="F1415" t="s">
        <v>49</v>
      </c>
      <c r="G1415" t="s">
        <v>50</v>
      </c>
      <c r="H1415">
        <v>1992</v>
      </c>
      <c r="I1415" s="2">
        <v>2</v>
      </c>
      <c r="J1415" s="2">
        <v>4</v>
      </c>
      <c r="K1415" t="s">
        <v>46</v>
      </c>
      <c r="L1415" s="2">
        <v>1</v>
      </c>
      <c r="M1415" s="2">
        <v>3</v>
      </c>
      <c r="N1415" t="s">
        <v>52</v>
      </c>
      <c r="O1415" s="2">
        <v>3977</v>
      </c>
      <c r="P1415" s="2">
        <v>7298</v>
      </c>
      <c r="Q1415" s="2">
        <v>6</v>
      </c>
      <c r="R1415" t="s">
        <v>35</v>
      </c>
      <c r="S1415" s="2">
        <v>3</v>
      </c>
      <c r="T1415" s="2">
        <v>3</v>
      </c>
      <c r="U1415">
        <v>80</v>
      </c>
      <c r="V1415" s="2">
        <v>7</v>
      </c>
      <c r="W1415">
        <v>2</v>
      </c>
      <c r="X1415">
        <v>2</v>
      </c>
      <c r="Y1415">
        <v>2</v>
      </c>
      <c r="Z1415">
        <v>2</v>
      </c>
      <c r="AA1415">
        <v>0</v>
      </c>
      <c r="AB1415">
        <v>2</v>
      </c>
    </row>
    <row r="1416" spans="1:28" x14ac:dyDescent="0.35">
      <c r="A1416" s="2">
        <v>47</v>
      </c>
      <c r="B1416" s="2" t="str" cm="1">
        <f t="array" ref="B1416">_xlfn.IFS(HR_table[[#This Row],[Age]]&lt;=20, "Under 20yrs",HR_table[[#This Row],[Age]]&lt;=30,"(21-30)yrs",HR_table[[#This Row],[Age]]&lt;=40,"(31-40)yrs",HR_table[[#This Row],[Age]]&lt;=50,"(41-50)yrs",HR_table[[#This Row],[Age]]&lt;=60,"(51-60)yrs")</f>
        <v>(41-50)yrs</v>
      </c>
      <c r="C1416" t="s">
        <v>43</v>
      </c>
      <c r="D1416" t="s">
        <v>36</v>
      </c>
      <c r="E1416" t="s">
        <v>45</v>
      </c>
      <c r="F1416" t="s">
        <v>51</v>
      </c>
      <c r="G1416" t="s">
        <v>54</v>
      </c>
      <c r="H1416">
        <v>1993</v>
      </c>
      <c r="I1416" s="2">
        <v>25</v>
      </c>
      <c r="J1416" s="2">
        <v>1</v>
      </c>
      <c r="K1416" t="s">
        <v>46</v>
      </c>
      <c r="L1416" s="2">
        <v>3</v>
      </c>
      <c r="M1416" s="2">
        <v>3</v>
      </c>
      <c r="N1416" t="s">
        <v>41</v>
      </c>
      <c r="O1416" s="2">
        <v>8633</v>
      </c>
      <c r="P1416" s="2">
        <v>13084</v>
      </c>
      <c r="Q1416" s="2">
        <v>2</v>
      </c>
      <c r="R1416" t="s">
        <v>43</v>
      </c>
      <c r="S1416" s="2">
        <v>4</v>
      </c>
      <c r="T1416" s="2">
        <v>2</v>
      </c>
      <c r="U1416">
        <v>80</v>
      </c>
      <c r="V1416" s="2">
        <v>25</v>
      </c>
      <c r="W1416">
        <v>3</v>
      </c>
      <c r="X1416">
        <v>3</v>
      </c>
      <c r="Y1416">
        <v>17</v>
      </c>
      <c r="Z1416">
        <v>14</v>
      </c>
      <c r="AA1416">
        <v>12</v>
      </c>
      <c r="AB1416">
        <v>11</v>
      </c>
    </row>
    <row r="1417" spans="1:28" x14ac:dyDescent="0.35">
      <c r="A1417" s="2">
        <v>33</v>
      </c>
      <c r="B1417" s="2" t="str" cm="1">
        <f t="array" ref="B1417">_xlfn.IFS(HR_table[[#This Row],[Age]]&lt;=20, "Under 20yrs",HR_table[[#This Row],[Age]]&lt;=30,"(21-30)yrs",HR_table[[#This Row],[Age]]&lt;=40,"(31-40)yrs",HR_table[[#This Row],[Age]]&lt;=50,"(41-50)yrs",HR_table[[#This Row],[Age]]&lt;=60,"(51-60)yrs")</f>
        <v>(31-40)yrs</v>
      </c>
      <c r="C1417" t="s">
        <v>43</v>
      </c>
      <c r="D1417" t="s">
        <v>55</v>
      </c>
      <c r="E1417" t="s">
        <v>45</v>
      </c>
      <c r="F1417" t="s">
        <v>51</v>
      </c>
      <c r="G1417" t="s">
        <v>50</v>
      </c>
      <c r="H1417">
        <v>1994</v>
      </c>
      <c r="I1417" s="2">
        <v>1</v>
      </c>
      <c r="J1417" s="2">
        <v>2</v>
      </c>
      <c r="K1417" t="s">
        <v>46</v>
      </c>
      <c r="L1417" s="2">
        <v>1</v>
      </c>
      <c r="M1417" s="2">
        <v>3</v>
      </c>
      <c r="N1417" t="s">
        <v>52</v>
      </c>
      <c r="O1417" s="2">
        <v>2008</v>
      </c>
      <c r="P1417" s="2">
        <v>20439</v>
      </c>
      <c r="Q1417" s="2">
        <v>1</v>
      </c>
      <c r="R1417" t="s">
        <v>43</v>
      </c>
      <c r="S1417" s="2">
        <v>3</v>
      </c>
      <c r="T1417" s="2">
        <v>3</v>
      </c>
      <c r="U1417">
        <v>80</v>
      </c>
      <c r="V1417" s="2">
        <v>1</v>
      </c>
      <c r="W1417">
        <v>2</v>
      </c>
      <c r="X1417">
        <v>2</v>
      </c>
      <c r="Y1417">
        <v>1</v>
      </c>
      <c r="Z1417">
        <v>1</v>
      </c>
      <c r="AA1417">
        <v>0</v>
      </c>
      <c r="AB1417">
        <v>0</v>
      </c>
    </row>
    <row r="1418" spans="1:28" x14ac:dyDescent="0.35">
      <c r="A1418" s="2">
        <v>38</v>
      </c>
      <c r="B1418" s="2" t="str" cm="1">
        <f t="array" ref="B1418">_xlfn.IFS(HR_table[[#This Row],[Age]]&lt;=20, "Under 20yrs",HR_table[[#This Row],[Age]]&lt;=30,"(21-30)yrs",HR_table[[#This Row],[Age]]&lt;=40,"(31-40)yrs",HR_table[[#This Row],[Age]]&lt;=50,"(41-50)yrs",HR_table[[#This Row],[Age]]&lt;=60,"(51-60)yrs")</f>
        <v>(31-40)yrs</v>
      </c>
      <c r="C1418" t="s">
        <v>43</v>
      </c>
      <c r="D1418" t="s">
        <v>36</v>
      </c>
      <c r="E1418" t="s">
        <v>37</v>
      </c>
      <c r="F1418" t="s">
        <v>38</v>
      </c>
      <c r="G1418" t="s">
        <v>40</v>
      </c>
      <c r="H1418">
        <v>1995</v>
      </c>
      <c r="I1418" s="2">
        <v>1</v>
      </c>
      <c r="J1418" s="2">
        <v>4</v>
      </c>
      <c r="K1418" t="s">
        <v>46</v>
      </c>
      <c r="L1418" s="2">
        <v>2</v>
      </c>
      <c r="M1418" s="2">
        <v>2</v>
      </c>
      <c r="N1418" t="s">
        <v>48</v>
      </c>
      <c r="O1418" s="2">
        <v>4440</v>
      </c>
      <c r="P1418" s="2">
        <v>7636</v>
      </c>
      <c r="Q1418" s="2">
        <v>0</v>
      </c>
      <c r="R1418" t="s">
        <v>43</v>
      </c>
      <c r="S1418" s="2">
        <v>3</v>
      </c>
      <c r="T1418" s="2">
        <v>1</v>
      </c>
      <c r="U1418">
        <v>80</v>
      </c>
      <c r="V1418" s="2">
        <v>16</v>
      </c>
      <c r="W1418">
        <v>3</v>
      </c>
      <c r="X1418">
        <v>3</v>
      </c>
      <c r="Y1418">
        <v>15</v>
      </c>
      <c r="Z1418">
        <v>13</v>
      </c>
      <c r="AA1418">
        <v>5</v>
      </c>
      <c r="AB1418">
        <v>8</v>
      </c>
    </row>
    <row r="1419" spans="1:28" x14ac:dyDescent="0.35">
      <c r="A1419" s="2">
        <v>31</v>
      </c>
      <c r="B1419" s="2" t="str" cm="1">
        <f t="array" ref="B1419">_xlfn.IFS(HR_table[[#This Row],[Age]]&lt;=20, "Under 20yrs",HR_table[[#This Row],[Age]]&lt;=30,"(21-30)yrs",HR_table[[#This Row],[Age]]&lt;=40,"(31-40)yrs",HR_table[[#This Row],[Age]]&lt;=50,"(41-50)yrs",HR_table[[#This Row],[Age]]&lt;=60,"(51-60)yrs")</f>
        <v>(31-40)yrs</v>
      </c>
      <c r="C1419" t="s">
        <v>43</v>
      </c>
      <c r="D1419" t="s">
        <v>36</v>
      </c>
      <c r="E1419" t="s">
        <v>37</v>
      </c>
      <c r="F1419" t="s">
        <v>38</v>
      </c>
      <c r="G1419" t="s">
        <v>57</v>
      </c>
      <c r="H1419">
        <v>1996</v>
      </c>
      <c r="I1419" s="2">
        <v>2</v>
      </c>
      <c r="J1419" s="2">
        <v>1</v>
      </c>
      <c r="K1419" t="s">
        <v>46</v>
      </c>
      <c r="L1419" s="2">
        <v>1</v>
      </c>
      <c r="M1419" s="2">
        <v>3</v>
      </c>
      <c r="N1419" t="s">
        <v>48</v>
      </c>
      <c r="O1419" s="2">
        <v>3067</v>
      </c>
      <c r="P1419" s="2">
        <v>6393</v>
      </c>
      <c r="Q1419" s="2">
        <v>0</v>
      </c>
      <c r="R1419" t="s">
        <v>43</v>
      </c>
      <c r="S1419" s="2">
        <v>3</v>
      </c>
      <c r="T1419" s="2">
        <v>3</v>
      </c>
      <c r="U1419">
        <v>80</v>
      </c>
      <c r="V1419" s="2">
        <v>3</v>
      </c>
      <c r="W1419">
        <v>1</v>
      </c>
      <c r="X1419">
        <v>3</v>
      </c>
      <c r="Y1419">
        <v>2</v>
      </c>
      <c r="Z1419">
        <v>2</v>
      </c>
      <c r="AA1419">
        <v>1</v>
      </c>
      <c r="AB1419">
        <v>2</v>
      </c>
    </row>
    <row r="1420" spans="1:28" x14ac:dyDescent="0.35">
      <c r="A1420" s="2">
        <v>38</v>
      </c>
      <c r="B1420" s="2" t="str" cm="1">
        <f t="array" ref="B1420">_xlfn.IFS(HR_table[[#This Row],[Age]]&lt;=20, "Under 20yrs",HR_table[[#This Row],[Age]]&lt;=30,"(21-30)yrs",HR_table[[#This Row],[Age]]&lt;=40,"(31-40)yrs",HR_table[[#This Row],[Age]]&lt;=50,"(41-50)yrs",HR_table[[#This Row],[Age]]&lt;=60,"(51-60)yrs")</f>
        <v>(31-40)yrs</v>
      </c>
      <c r="C1420" t="s">
        <v>43</v>
      </c>
      <c r="D1420" t="s">
        <v>44</v>
      </c>
      <c r="E1420" t="s">
        <v>45</v>
      </c>
      <c r="F1420" t="s">
        <v>38</v>
      </c>
      <c r="G1420" t="s">
        <v>53</v>
      </c>
      <c r="H1420">
        <v>1997</v>
      </c>
      <c r="I1420" s="2">
        <v>6</v>
      </c>
      <c r="J1420" s="2">
        <v>1</v>
      </c>
      <c r="K1420" t="s">
        <v>46</v>
      </c>
      <c r="L1420" s="2">
        <v>2</v>
      </c>
      <c r="M1420" s="2">
        <v>3</v>
      </c>
      <c r="N1420" t="s">
        <v>48</v>
      </c>
      <c r="O1420" s="2">
        <v>5321</v>
      </c>
      <c r="P1420" s="2">
        <v>14284</v>
      </c>
      <c r="Q1420" s="2">
        <v>2</v>
      </c>
      <c r="R1420" t="s">
        <v>43</v>
      </c>
      <c r="S1420" s="2">
        <v>3</v>
      </c>
      <c r="T1420" s="2">
        <v>4</v>
      </c>
      <c r="U1420">
        <v>80</v>
      </c>
      <c r="V1420" s="2">
        <v>10</v>
      </c>
      <c r="W1420">
        <v>1</v>
      </c>
      <c r="X1420">
        <v>3</v>
      </c>
      <c r="Y1420">
        <v>8</v>
      </c>
      <c r="Z1420">
        <v>3</v>
      </c>
      <c r="AA1420">
        <v>7</v>
      </c>
      <c r="AB1420">
        <v>7</v>
      </c>
    </row>
    <row r="1421" spans="1:28" x14ac:dyDescent="0.35">
      <c r="A1421" s="2">
        <v>42</v>
      </c>
      <c r="B1421" s="2" t="str" cm="1">
        <f t="array" ref="B1421">_xlfn.IFS(HR_table[[#This Row],[Age]]&lt;=20, "Under 20yrs",HR_table[[#This Row],[Age]]&lt;=30,"(21-30)yrs",HR_table[[#This Row],[Age]]&lt;=40,"(31-40)yrs",HR_table[[#This Row],[Age]]&lt;=50,"(41-50)yrs",HR_table[[#This Row],[Age]]&lt;=60,"(51-60)yrs")</f>
        <v>(41-50)yrs</v>
      </c>
      <c r="C1421" t="s">
        <v>43</v>
      </c>
      <c r="D1421" t="s">
        <v>36</v>
      </c>
      <c r="E1421" t="s">
        <v>45</v>
      </c>
      <c r="F1421" t="s">
        <v>38</v>
      </c>
      <c r="G1421" t="s">
        <v>47</v>
      </c>
      <c r="H1421">
        <v>1998</v>
      </c>
      <c r="I1421" s="2">
        <v>18</v>
      </c>
      <c r="J1421" s="2">
        <v>4</v>
      </c>
      <c r="K1421" t="s">
        <v>46</v>
      </c>
      <c r="L1421" s="2">
        <v>2</v>
      </c>
      <c r="M1421" s="2">
        <v>1</v>
      </c>
      <c r="N1421" t="s">
        <v>52</v>
      </c>
      <c r="O1421" s="2">
        <v>5410</v>
      </c>
      <c r="P1421" s="2">
        <v>11189</v>
      </c>
      <c r="Q1421" s="2">
        <v>6</v>
      </c>
      <c r="R1421" t="s">
        <v>35</v>
      </c>
      <c r="S1421" s="2">
        <v>3</v>
      </c>
      <c r="T1421" s="2">
        <v>3</v>
      </c>
      <c r="U1421">
        <v>80</v>
      </c>
      <c r="V1421" s="2">
        <v>9</v>
      </c>
      <c r="W1421">
        <v>3</v>
      </c>
      <c r="X1421">
        <v>2</v>
      </c>
      <c r="Y1421">
        <v>4</v>
      </c>
      <c r="Z1421">
        <v>3</v>
      </c>
      <c r="AA1421">
        <v>1</v>
      </c>
      <c r="AB1421">
        <v>2</v>
      </c>
    </row>
    <row r="1422" spans="1:28" x14ac:dyDescent="0.35">
      <c r="A1422" s="2">
        <v>41</v>
      </c>
      <c r="B1422" s="2" t="str" cm="1">
        <f t="array" ref="B1422">_xlfn.IFS(HR_table[[#This Row],[Age]]&lt;=20, "Under 20yrs",HR_table[[#This Row],[Age]]&lt;=30,"(21-30)yrs",HR_table[[#This Row],[Age]]&lt;=40,"(31-40)yrs",HR_table[[#This Row],[Age]]&lt;=50,"(41-50)yrs",HR_table[[#This Row],[Age]]&lt;=60,"(51-60)yrs")</f>
        <v>(41-50)yrs</v>
      </c>
      <c r="C1422" t="s">
        <v>43</v>
      </c>
      <c r="D1422" t="s">
        <v>36</v>
      </c>
      <c r="E1422" t="s">
        <v>45</v>
      </c>
      <c r="F1422" t="s">
        <v>38</v>
      </c>
      <c r="G1422" t="s">
        <v>47</v>
      </c>
      <c r="H1422">
        <v>1999</v>
      </c>
      <c r="I1422" s="2">
        <v>1</v>
      </c>
      <c r="J1422" s="2">
        <v>4</v>
      </c>
      <c r="K1422" t="s">
        <v>46</v>
      </c>
      <c r="L1422" s="2">
        <v>1</v>
      </c>
      <c r="M1422" s="2">
        <v>4</v>
      </c>
      <c r="N1422" t="s">
        <v>48</v>
      </c>
      <c r="O1422" s="2">
        <v>2782</v>
      </c>
      <c r="P1422" s="2">
        <v>21412</v>
      </c>
      <c r="Q1422" s="2">
        <v>3</v>
      </c>
      <c r="R1422" t="s">
        <v>43</v>
      </c>
      <c r="S1422" s="2">
        <v>4</v>
      </c>
      <c r="T1422" s="2">
        <v>1</v>
      </c>
      <c r="U1422">
        <v>80</v>
      </c>
      <c r="V1422" s="2">
        <v>12</v>
      </c>
      <c r="W1422">
        <v>3</v>
      </c>
      <c r="X1422">
        <v>3</v>
      </c>
      <c r="Y1422">
        <v>5</v>
      </c>
      <c r="Z1422">
        <v>3</v>
      </c>
      <c r="AA1422">
        <v>1</v>
      </c>
      <c r="AB1422">
        <v>0</v>
      </c>
    </row>
    <row r="1423" spans="1:28" x14ac:dyDescent="0.35">
      <c r="A1423" s="2">
        <v>47</v>
      </c>
      <c r="B1423" s="2" t="str" cm="1">
        <f t="array" ref="B1423">_xlfn.IFS(HR_table[[#This Row],[Age]]&lt;=20, "Under 20yrs",HR_table[[#This Row],[Age]]&lt;=30,"(21-30)yrs",HR_table[[#This Row],[Age]]&lt;=40,"(31-40)yrs",HR_table[[#This Row],[Age]]&lt;=50,"(41-50)yrs",HR_table[[#This Row],[Age]]&lt;=60,"(51-60)yrs")</f>
        <v>(41-50)yrs</v>
      </c>
      <c r="C1423" t="s">
        <v>43</v>
      </c>
      <c r="D1423" t="s">
        <v>55</v>
      </c>
      <c r="E1423" t="s">
        <v>45</v>
      </c>
      <c r="F1423" t="s">
        <v>51</v>
      </c>
      <c r="G1423" t="s">
        <v>58</v>
      </c>
      <c r="H1423">
        <v>2000</v>
      </c>
      <c r="I1423" s="2">
        <v>1</v>
      </c>
      <c r="J1423" s="2">
        <v>3</v>
      </c>
      <c r="K1423" t="s">
        <v>39</v>
      </c>
      <c r="L1423" s="2">
        <v>3</v>
      </c>
      <c r="M1423" s="2">
        <v>2</v>
      </c>
      <c r="N1423" t="s">
        <v>48</v>
      </c>
      <c r="O1423" s="2">
        <v>11957</v>
      </c>
      <c r="P1423" s="2">
        <v>17231</v>
      </c>
      <c r="Q1423" s="2">
        <v>0</v>
      </c>
      <c r="R1423" t="s">
        <v>43</v>
      </c>
      <c r="S1423" s="2">
        <v>3</v>
      </c>
      <c r="T1423" s="2">
        <v>1</v>
      </c>
      <c r="U1423">
        <v>80</v>
      </c>
      <c r="V1423" s="2">
        <v>14</v>
      </c>
      <c r="W1423">
        <v>3</v>
      </c>
      <c r="X1423">
        <v>1</v>
      </c>
      <c r="Y1423">
        <v>13</v>
      </c>
      <c r="Z1423">
        <v>8</v>
      </c>
      <c r="AA1423">
        <v>5</v>
      </c>
      <c r="AB1423">
        <v>12</v>
      </c>
    </row>
    <row r="1424" spans="1:28" x14ac:dyDescent="0.35">
      <c r="A1424" s="2">
        <v>35</v>
      </c>
      <c r="B1424" s="2" t="str" cm="1">
        <f t="array" ref="B1424">_xlfn.IFS(HR_table[[#This Row],[Age]]&lt;=20, "Under 20yrs",HR_table[[#This Row],[Age]]&lt;=30,"(21-30)yrs",HR_table[[#This Row],[Age]]&lt;=40,"(31-40)yrs",HR_table[[#This Row],[Age]]&lt;=50,"(41-50)yrs",HR_table[[#This Row],[Age]]&lt;=60,"(51-60)yrs")</f>
        <v>(31-40)yrs</v>
      </c>
      <c r="C1424" t="s">
        <v>43</v>
      </c>
      <c r="D1424" t="s">
        <v>36</v>
      </c>
      <c r="E1424" t="s">
        <v>45</v>
      </c>
      <c r="F1424" t="s">
        <v>51</v>
      </c>
      <c r="G1424" t="s">
        <v>50</v>
      </c>
      <c r="H1424">
        <v>2003</v>
      </c>
      <c r="I1424" s="2">
        <v>11</v>
      </c>
      <c r="J1424" s="2">
        <v>4</v>
      </c>
      <c r="K1424" t="s">
        <v>46</v>
      </c>
      <c r="L1424" s="2">
        <v>1</v>
      </c>
      <c r="M1424" s="2">
        <v>3</v>
      </c>
      <c r="N1424" t="s">
        <v>48</v>
      </c>
      <c r="O1424" s="2">
        <v>2660</v>
      </c>
      <c r="P1424" s="2">
        <v>20232</v>
      </c>
      <c r="Q1424" s="2">
        <v>7</v>
      </c>
      <c r="R1424" t="s">
        <v>35</v>
      </c>
      <c r="S1424" s="2">
        <v>3</v>
      </c>
      <c r="T1424" s="2">
        <v>3</v>
      </c>
      <c r="U1424">
        <v>80</v>
      </c>
      <c r="V1424" s="2">
        <v>5</v>
      </c>
      <c r="W1424">
        <v>3</v>
      </c>
      <c r="X1424">
        <v>3</v>
      </c>
      <c r="Y1424">
        <v>2</v>
      </c>
      <c r="Z1424">
        <v>2</v>
      </c>
      <c r="AA1424">
        <v>2</v>
      </c>
      <c r="AB1424">
        <v>2</v>
      </c>
    </row>
    <row r="1425" spans="1:28" x14ac:dyDescent="0.35">
      <c r="A1425" s="2">
        <v>22</v>
      </c>
      <c r="B1425" s="2" t="str" cm="1">
        <f t="array" ref="B1425">_xlfn.IFS(HR_table[[#This Row],[Age]]&lt;=20, "Under 20yrs",HR_table[[#This Row],[Age]]&lt;=30,"(21-30)yrs",HR_table[[#This Row],[Age]]&lt;=40,"(31-40)yrs",HR_table[[#This Row],[Age]]&lt;=50,"(41-50)yrs",HR_table[[#This Row],[Age]]&lt;=60,"(51-60)yrs")</f>
        <v>(21-30)yrs</v>
      </c>
      <c r="C1425" t="s">
        <v>43</v>
      </c>
      <c r="D1425" t="s">
        <v>36</v>
      </c>
      <c r="E1425" t="s">
        <v>45</v>
      </c>
      <c r="F1425" t="s">
        <v>38</v>
      </c>
      <c r="G1425" t="s">
        <v>47</v>
      </c>
      <c r="H1425">
        <v>2007</v>
      </c>
      <c r="I1425" s="2">
        <v>1</v>
      </c>
      <c r="J1425" s="2">
        <v>4</v>
      </c>
      <c r="K1425" t="s">
        <v>46</v>
      </c>
      <c r="L1425" s="2">
        <v>1</v>
      </c>
      <c r="M1425" s="2">
        <v>3</v>
      </c>
      <c r="N1425" t="s">
        <v>41</v>
      </c>
      <c r="O1425" s="2">
        <v>3375</v>
      </c>
      <c r="P1425" s="2">
        <v>17624</v>
      </c>
      <c r="Q1425" s="2">
        <v>0</v>
      </c>
      <c r="R1425" t="s">
        <v>43</v>
      </c>
      <c r="S1425" s="2">
        <v>3</v>
      </c>
      <c r="T1425" s="2">
        <v>4</v>
      </c>
      <c r="U1425">
        <v>80</v>
      </c>
      <c r="V1425" s="2">
        <v>4</v>
      </c>
      <c r="W1425">
        <v>2</v>
      </c>
      <c r="X1425">
        <v>4</v>
      </c>
      <c r="Y1425">
        <v>3</v>
      </c>
      <c r="Z1425">
        <v>2</v>
      </c>
      <c r="AA1425">
        <v>1</v>
      </c>
      <c r="AB1425">
        <v>2</v>
      </c>
    </row>
    <row r="1426" spans="1:28" x14ac:dyDescent="0.35">
      <c r="A1426" s="2">
        <v>35</v>
      </c>
      <c r="B1426" s="2" t="str" cm="1">
        <f t="array" ref="B1426">_xlfn.IFS(HR_table[[#This Row],[Age]]&lt;=20, "Under 20yrs",HR_table[[#This Row],[Age]]&lt;=30,"(21-30)yrs",HR_table[[#This Row],[Age]]&lt;=40,"(31-40)yrs",HR_table[[#This Row],[Age]]&lt;=50,"(41-50)yrs",HR_table[[#This Row],[Age]]&lt;=60,"(51-60)yrs")</f>
        <v>(31-40)yrs</v>
      </c>
      <c r="C1426" t="s">
        <v>43</v>
      </c>
      <c r="D1426" t="s">
        <v>36</v>
      </c>
      <c r="E1426" t="s">
        <v>45</v>
      </c>
      <c r="F1426" t="s">
        <v>51</v>
      </c>
      <c r="G1426" t="s">
        <v>47</v>
      </c>
      <c r="H1426">
        <v>2008</v>
      </c>
      <c r="I1426" s="2">
        <v>9</v>
      </c>
      <c r="J1426" s="2">
        <v>2</v>
      </c>
      <c r="K1426" t="s">
        <v>46</v>
      </c>
      <c r="L1426" s="2">
        <v>2</v>
      </c>
      <c r="M1426" s="2">
        <v>3</v>
      </c>
      <c r="N1426" t="s">
        <v>41</v>
      </c>
      <c r="O1426" s="2">
        <v>5098</v>
      </c>
      <c r="P1426" s="2">
        <v>18698</v>
      </c>
      <c r="Q1426" s="2">
        <v>1</v>
      </c>
      <c r="R1426" t="s">
        <v>43</v>
      </c>
      <c r="S1426" s="2">
        <v>3</v>
      </c>
      <c r="T1426" s="2">
        <v>2</v>
      </c>
      <c r="U1426">
        <v>80</v>
      </c>
      <c r="V1426" s="2">
        <v>10</v>
      </c>
      <c r="W1426">
        <v>5</v>
      </c>
      <c r="X1426">
        <v>3</v>
      </c>
      <c r="Y1426">
        <v>10</v>
      </c>
      <c r="Z1426">
        <v>7</v>
      </c>
      <c r="AA1426">
        <v>0</v>
      </c>
      <c r="AB1426">
        <v>8</v>
      </c>
    </row>
    <row r="1427" spans="1:28" x14ac:dyDescent="0.35">
      <c r="A1427" s="2">
        <v>33</v>
      </c>
      <c r="B1427" s="2" t="str" cm="1">
        <f t="array" ref="B1427">_xlfn.IFS(HR_table[[#This Row],[Age]]&lt;=20, "Under 20yrs",HR_table[[#This Row],[Age]]&lt;=30,"(21-30)yrs",HR_table[[#This Row],[Age]]&lt;=40,"(31-40)yrs",HR_table[[#This Row],[Age]]&lt;=50,"(41-50)yrs",HR_table[[#This Row],[Age]]&lt;=60,"(51-60)yrs")</f>
        <v>(31-40)yrs</v>
      </c>
      <c r="C1427" t="s">
        <v>43</v>
      </c>
      <c r="D1427" t="s">
        <v>36</v>
      </c>
      <c r="E1427" t="s">
        <v>45</v>
      </c>
      <c r="F1427" t="s">
        <v>51</v>
      </c>
      <c r="G1427" t="s">
        <v>54</v>
      </c>
      <c r="H1427">
        <v>2009</v>
      </c>
      <c r="I1427" s="2">
        <v>15</v>
      </c>
      <c r="J1427" s="2">
        <v>2</v>
      </c>
      <c r="K1427" t="s">
        <v>39</v>
      </c>
      <c r="L1427" s="2">
        <v>2</v>
      </c>
      <c r="M1427" s="2">
        <v>4</v>
      </c>
      <c r="N1427" t="s">
        <v>48</v>
      </c>
      <c r="O1427" s="2">
        <v>4878</v>
      </c>
      <c r="P1427" s="2">
        <v>21653</v>
      </c>
      <c r="Q1427" s="2">
        <v>0</v>
      </c>
      <c r="R1427" t="s">
        <v>35</v>
      </c>
      <c r="S1427" s="2">
        <v>3</v>
      </c>
      <c r="T1427" s="2">
        <v>1</v>
      </c>
      <c r="U1427">
        <v>80</v>
      </c>
      <c r="V1427" s="2">
        <v>10</v>
      </c>
      <c r="W1427">
        <v>6</v>
      </c>
      <c r="X1427">
        <v>3</v>
      </c>
      <c r="Y1427">
        <v>9</v>
      </c>
      <c r="Z1427">
        <v>7</v>
      </c>
      <c r="AA1427">
        <v>8</v>
      </c>
      <c r="AB1427">
        <v>1</v>
      </c>
    </row>
    <row r="1428" spans="1:28" x14ac:dyDescent="0.35">
      <c r="A1428" s="2">
        <v>32</v>
      </c>
      <c r="B1428" s="2" t="str" cm="1">
        <f t="array" ref="B1428">_xlfn.IFS(HR_table[[#This Row],[Age]]&lt;=20, "Under 20yrs",HR_table[[#This Row],[Age]]&lt;=30,"(21-30)yrs",HR_table[[#This Row],[Age]]&lt;=40,"(31-40)yrs",HR_table[[#This Row],[Age]]&lt;=50,"(41-50)yrs",HR_table[[#This Row],[Age]]&lt;=60,"(51-60)yrs")</f>
        <v>(31-40)yrs</v>
      </c>
      <c r="C1428" t="s">
        <v>43</v>
      </c>
      <c r="D1428" t="s">
        <v>36</v>
      </c>
      <c r="E1428" t="s">
        <v>45</v>
      </c>
      <c r="F1428" t="s">
        <v>38</v>
      </c>
      <c r="G1428" t="s">
        <v>50</v>
      </c>
      <c r="H1428">
        <v>2010</v>
      </c>
      <c r="I1428" s="2">
        <v>29</v>
      </c>
      <c r="J1428" s="2">
        <v>3</v>
      </c>
      <c r="K1428" t="s">
        <v>39</v>
      </c>
      <c r="L1428" s="2">
        <v>1</v>
      </c>
      <c r="M1428" s="2">
        <v>2</v>
      </c>
      <c r="N1428" t="s">
        <v>41</v>
      </c>
      <c r="O1428" s="2">
        <v>2837</v>
      </c>
      <c r="P1428" s="2">
        <v>15919</v>
      </c>
      <c r="Q1428" s="2">
        <v>1</v>
      </c>
      <c r="R1428" t="s">
        <v>43</v>
      </c>
      <c r="S1428" s="2">
        <v>3</v>
      </c>
      <c r="T1428" s="2">
        <v>3</v>
      </c>
      <c r="U1428">
        <v>80</v>
      </c>
      <c r="V1428" s="2">
        <v>6</v>
      </c>
      <c r="W1428">
        <v>3</v>
      </c>
      <c r="X1428">
        <v>3</v>
      </c>
      <c r="Y1428">
        <v>6</v>
      </c>
      <c r="Z1428">
        <v>2</v>
      </c>
      <c r="AA1428">
        <v>4</v>
      </c>
      <c r="AB1428">
        <v>1</v>
      </c>
    </row>
    <row r="1429" spans="1:28" x14ac:dyDescent="0.35">
      <c r="A1429" s="2">
        <v>40</v>
      </c>
      <c r="B1429" s="2" t="str" cm="1">
        <f t="array" ref="B1429">_xlfn.IFS(HR_table[[#This Row],[Age]]&lt;=20, "Under 20yrs",HR_table[[#This Row],[Age]]&lt;=30,"(21-30)yrs",HR_table[[#This Row],[Age]]&lt;=40,"(31-40)yrs",HR_table[[#This Row],[Age]]&lt;=50,"(41-50)yrs",HR_table[[#This Row],[Age]]&lt;=60,"(51-60)yrs")</f>
        <v>(31-40)yrs</v>
      </c>
      <c r="C1429" t="s">
        <v>43</v>
      </c>
      <c r="D1429" t="s">
        <v>36</v>
      </c>
      <c r="E1429" t="s">
        <v>45</v>
      </c>
      <c r="F1429" t="s">
        <v>38</v>
      </c>
      <c r="G1429" t="s">
        <v>50</v>
      </c>
      <c r="H1429">
        <v>2012</v>
      </c>
      <c r="I1429" s="2">
        <v>1</v>
      </c>
      <c r="J1429" s="2">
        <v>1</v>
      </c>
      <c r="K1429" t="s">
        <v>46</v>
      </c>
      <c r="L1429" s="2">
        <v>1</v>
      </c>
      <c r="M1429" s="2">
        <v>4</v>
      </c>
      <c r="N1429" t="s">
        <v>48</v>
      </c>
      <c r="O1429" s="2">
        <v>2406</v>
      </c>
      <c r="P1429" s="2">
        <v>4060</v>
      </c>
      <c r="Q1429" s="2">
        <v>8</v>
      </c>
      <c r="R1429" t="s">
        <v>43</v>
      </c>
      <c r="S1429" s="2">
        <v>3</v>
      </c>
      <c r="T1429" s="2">
        <v>3</v>
      </c>
      <c r="U1429">
        <v>80</v>
      </c>
      <c r="V1429" s="2">
        <v>8</v>
      </c>
      <c r="W1429">
        <v>3</v>
      </c>
      <c r="X1429">
        <v>2</v>
      </c>
      <c r="Y1429">
        <v>1</v>
      </c>
      <c r="Z1429">
        <v>0</v>
      </c>
      <c r="AA1429">
        <v>0</v>
      </c>
      <c r="AB1429">
        <v>0</v>
      </c>
    </row>
    <row r="1430" spans="1:28" x14ac:dyDescent="0.35">
      <c r="A1430" s="2">
        <v>32</v>
      </c>
      <c r="B1430" s="2" t="str" cm="1">
        <f t="array" ref="B1430">_xlfn.IFS(HR_table[[#This Row],[Age]]&lt;=20, "Under 20yrs",HR_table[[#This Row],[Age]]&lt;=30,"(21-30)yrs",HR_table[[#This Row],[Age]]&lt;=40,"(31-40)yrs",HR_table[[#This Row],[Age]]&lt;=50,"(41-50)yrs",HR_table[[#This Row],[Age]]&lt;=60,"(51-60)yrs")</f>
        <v>(31-40)yrs</v>
      </c>
      <c r="C1430" t="s">
        <v>43</v>
      </c>
      <c r="D1430" t="s">
        <v>36</v>
      </c>
      <c r="E1430" t="s">
        <v>37</v>
      </c>
      <c r="F1430" t="s">
        <v>51</v>
      </c>
      <c r="G1430" t="s">
        <v>57</v>
      </c>
      <c r="H1430">
        <v>2013</v>
      </c>
      <c r="I1430" s="2">
        <v>1</v>
      </c>
      <c r="J1430" s="2">
        <v>2</v>
      </c>
      <c r="K1430" t="s">
        <v>46</v>
      </c>
      <c r="L1430" s="2">
        <v>1</v>
      </c>
      <c r="M1430" s="2">
        <v>2</v>
      </c>
      <c r="N1430" t="s">
        <v>48</v>
      </c>
      <c r="O1430" s="2">
        <v>2269</v>
      </c>
      <c r="P1430" s="2">
        <v>18024</v>
      </c>
      <c r="Q1430" s="2">
        <v>0</v>
      </c>
      <c r="R1430" t="s">
        <v>43</v>
      </c>
      <c r="S1430" s="2">
        <v>3</v>
      </c>
      <c r="T1430" s="2">
        <v>2</v>
      </c>
      <c r="U1430">
        <v>80</v>
      </c>
      <c r="V1430" s="2">
        <v>3</v>
      </c>
      <c r="W1430">
        <v>2</v>
      </c>
      <c r="X1430">
        <v>3</v>
      </c>
      <c r="Y1430">
        <v>2</v>
      </c>
      <c r="Z1430">
        <v>2</v>
      </c>
      <c r="AA1430">
        <v>2</v>
      </c>
      <c r="AB1430">
        <v>2</v>
      </c>
    </row>
    <row r="1431" spans="1:28" x14ac:dyDescent="0.35">
      <c r="A1431" s="2">
        <v>39</v>
      </c>
      <c r="B1431" s="2" t="str" cm="1">
        <f t="array" ref="B1431">_xlfn.IFS(HR_table[[#This Row],[Age]]&lt;=20, "Under 20yrs",HR_table[[#This Row],[Age]]&lt;=30,"(21-30)yrs",HR_table[[#This Row],[Age]]&lt;=40,"(31-40)yrs",HR_table[[#This Row],[Age]]&lt;=50,"(41-50)yrs",HR_table[[#This Row],[Age]]&lt;=60,"(51-60)yrs")</f>
        <v>(31-40)yrs</v>
      </c>
      <c r="C1431" t="s">
        <v>43</v>
      </c>
      <c r="D1431" t="s">
        <v>36</v>
      </c>
      <c r="E1431" t="s">
        <v>45</v>
      </c>
      <c r="F1431" t="s">
        <v>38</v>
      </c>
      <c r="G1431" t="s">
        <v>47</v>
      </c>
      <c r="H1431">
        <v>2014</v>
      </c>
      <c r="I1431" s="2">
        <v>24</v>
      </c>
      <c r="J1431" s="2">
        <v>1</v>
      </c>
      <c r="K1431" t="s">
        <v>46</v>
      </c>
      <c r="L1431" s="2">
        <v>2</v>
      </c>
      <c r="M1431" s="2">
        <v>4</v>
      </c>
      <c r="N1431" t="s">
        <v>41</v>
      </c>
      <c r="O1431" s="2">
        <v>4108</v>
      </c>
      <c r="P1431" s="2">
        <v>5340</v>
      </c>
      <c r="Q1431" s="2">
        <v>7</v>
      </c>
      <c r="R1431" t="s">
        <v>43</v>
      </c>
      <c r="S1431" s="2">
        <v>3</v>
      </c>
      <c r="T1431" s="2">
        <v>1</v>
      </c>
      <c r="U1431">
        <v>80</v>
      </c>
      <c r="V1431" s="2">
        <v>18</v>
      </c>
      <c r="W1431">
        <v>2</v>
      </c>
      <c r="X1431">
        <v>3</v>
      </c>
      <c r="Y1431">
        <v>7</v>
      </c>
      <c r="Z1431">
        <v>7</v>
      </c>
      <c r="AA1431">
        <v>1</v>
      </c>
      <c r="AB1431">
        <v>7</v>
      </c>
    </row>
    <row r="1432" spans="1:28" x14ac:dyDescent="0.35">
      <c r="A1432" s="2">
        <v>38</v>
      </c>
      <c r="B1432" s="2" t="str" cm="1">
        <f t="array" ref="B1432">_xlfn.IFS(HR_table[[#This Row],[Age]]&lt;=20, "Under 20yrs",HR_table[[#This Row],[Age]]&lt;=30,"(21-30)yrs",HR_table[[#This Row],[Age]]&lt;=40,"(31-40)yrs",HR_table[[#This Row],[Age]]&lt;=50,"(41-50)yrs",HR_table[[#This Row],[Age]]&lt;=60,"(51-60)yrs")</f>
        <v>(31-40)yrs</v>
      </c>
      <c r="C1432" t="s">
        <v>43</v>
      </c>
      <c r="D1432" t="s">
        <v>36</v>
      </c>
      <c r="E1432" t="s">
        <v>45</v>
      </c>
      <c r="F1432" t="s">
        <v>51</v>
      </c>
      <c r="G1432" t="s">
        <v>58</v>
      </c>
      <c r="H1432">
        <v>2015</v>
      </c>
      <c r="I1432" s="2">
        <v>10</v>
      </c>
      <c r="J1432" s="2">
        <v>2</v>
      </c>
      <c r="K1432" t="s">
        <v>39</v>
      </c>
      <c r="L1432" s="2">
        <v>3</v>
      </c>
      <c r="M1432" s="2">
        <v>3</v>
      </c>
      <c r="N1432" t="s">
        <v>48</v>
      </c>
      <c r="O1432" s="2">
        <v>13206</v>
      </c>
      <c r="P1432" s="2">
        <v>3376</v>
      </c>
      <c r="Q1432" s="2">
        <v>3</v>
      </c>
      <c r="R1432" t="s">
        <v>43</v>
      </c>
      <c r="S1432" s="2">
        <v>3</v>
      </c>
      <c r="T1432" s="2">
        <v>1</v>
      </c>
      <c r="U1432">
        <v>80</v>
      </c>
      <c r="V1432" s="2">
        <v>20</v>
      </c>
      <c r="W1432">
        <v>3</v>
      </c>
      <c r="X1432">
        <v>3</v>
      </c>
      <c r="Y1432">
        <v>18</v>
      </c>
      <c r="Z1432">
        <v>16</v>
      </c>
      <c r="AA1432">
        <v>1</v>
      </c>
      <c r="AB1432">
        <v>11</v>
      </c>
    </row>
    <row r="1433" spans="1:28" x14ac:dyDescent="0.35">
      <c r="A1433" s="2">
        <v>32</v>
      </c>
      <c r="B1433" s="2" t="str" cm="1">
        <f t="array" ref="B1433">_xlfn.IFS(HR_table[[#This Row],[Age]]&lt;=20, "Under 20yrs",HR_table[[#This Row],[Age]]&lt;=30,"(21-30)yrs",HR_table[[#This Row],[Age]]&lt;=40,"(31-40)yrs",HR_table[[#This Row],[Age]]&lt;=50,"(41-50)yrs",HR_table[[#This Row],[Age]]&lt;=60,"(51-60)yrs")</f>
        <v>(31-40)yrs</v>
      </c>
      <c r="C1433" t="s">
        <v>43</v>
      </c>
      <c r="D1433" t="s">
        <v>36</v>
      </c>
      <c r="E1433" t="s">
        <v>37</v>
      </c>
      <c r="F1433" t="s">
        <v>59</v>
      </c>
      <c r="G1433" t="s">
        <v>40</v>
      </c>
      <c r="H1433">
        <v>2016</v>
      </c>
      <c r="I1433" s="2">
        <v>1</v>
      </c>
      <c r="J1433" s="2">
        <v>3</v>
      </c>
      <c r="K1433" t="s">
        <v>39</v>
      </c>
      <c r="L1433" s="2">
        <v>3</v>
      </c>
      <c r="M1433" s="2">
        <v>4</v>
      </c>
      <c r="N1433" t="s">
        <v>48</v>
      </c>
      <c r="O1433" s="2">
        <v>10422</v>
      </c>
      <c r="P1433" s="2">
        <v>24032</v>
      </c>
      <c r="Q1433" s="2">
        <v>1</v>
      </c>
      <c r="R1433" t="s">
        <v>43</v>
      </c>
      <c r="S1433" s="2">
        <v>3</v>
      </c>
      <c r="T1433" s="2">
        <v>3</v>
      </c>
      <c r="U1433">
        <v>80</v>
      </c>
      <c r="V1433" s="2">
        <v>14</v>
      </c>
      <c r="W1433">
        <v>3</v>
      </c>
      <c r="X1433">
        <v>3</v>
      </c>
      <c r="Y1433">
        <v>14</v>
      </c>
      <c r="Z1433">
        <v>10</v>
      </c>
      <c r="AA1433">
        <v>5</v>
      </c>
      <c r="AB1433">
        <v>7</v>
      </c>
    </row>
    <row r="1434" spans="1:28" x14ac:dyDescent="0.35">
      <c r="A1434" s="2">
        <v>37</v>
      </c>
      <c r="B1434" s="2" t="str" cm="1">
        <f t="array" ref="B1434">_xlfn.IFS(HR_table[[#This Row],[Age]]&lt;=20, "Under 20yrs",HR_table[[#This Row],[Age]]&lt;=30,"(21-30)yrs",HR_table[[#This Row],[Age]]&lt;=40,"(31-40)yrs",HR_table[[#This Row],[Age]]&lt;=50,"(41-50)yrs",HR_table[[#This Row],[Age]]&lt;=60,"(51-60)yrs")</f>
        <v>(31-40)yrs</v>
      </c>
      <c r="C1434" t="s">
        <v>43</v>
      </c>
      <c r="D1434" t="s">
        <v>36</v>
      </c>
      <c r="E1434" t="s">
        <v>45</v>
      </c>
      <c r="F1434" t="s">
        <v>38</v>
      </c>
      <c r="G1434" t="s">
        <v>58</v>
      </c>
      <c r="H1434">
        <v>2017</v>
      </c>
      <c r="I1434" s="2">
        <v>10</v>
      </c>
      <c r="J1434" s="2">
        <v>3</v>
      </c>
      <c r="K1434" t="s">
        <v>39</v>
      </c>
      <c r="L1434" s="2">
        <v>3</v>
      </c>
      <c r="M1434" s="2">
        <v>4</v>
      </c>
      <c r="N1434" t="s">
        <v>48</v>
      </c>
      <c r="O1434" s="2">
        <v>13744</v>
      </c>
      <c r="P1434" s="2">
        <v>15471</v>
      </c>
      <c r="Q1434" s="2">
        <v>1</v>
      </c>
      <c r="R1434" t="s">
        <v>35</v>
      </c>
      <c r="S1434" s="2">
        <v>4</v>
      </c>
      <c r="T1434" s="2">
        <v>1</v>
      </c>
      <c r="U1434">
        <v>80</v>
      </c>
      <c r="V1434" s="2">
        <v>16</v>
      </c>
      <c r="W1434">
        <v>2</v>
      </c>
      <c r="X1434">
        <v>3</v>
      </c>
      <c r="Y1434">
        <v>16</v>
      </c>
      <c r="Z1434">
        <v>11</v>
      </c>
      <c r="AA1434">
        <v>6</v>
      </c>
      <c r="AB1434">
        <v>8</v>
      </c>
    </row>
    <row r="1435" spans="1:28" x14ac:dyDescent="0.35">
      <c r="A1435" s="2">
        <v>25</v>
      </c>
      <c r="B1435" s="2" t="str" cm="1">
        <f t="array" ref="B1435">_xlfn.IFS(HR_table[[#This Row],[Age]]&lt;=20, "Under 20yrs",HR_table[[#This Row],[Age]]&lt;=30,"(21-30)yrs",HR_table[[#This Row],[Age]]&lt;=40,"(31-40)yrs",HR_table[[#This Row],[Age]]&lt;=50,"(41-50)yrs",HR_table[[#This Row],[Age]]&lt;=60,"(51-60)yrs")</f>
        <v>(21-30)yrs</v>
      </c>
      <c r="C1435" t="s">
        <v>43</v>
      </c>
      <c r="D1435" t="s">
        <v>36</v>
      </c>
      <c r="E1435" t="s">
        <v>37</v>
      </c>
      <c r="F1435" t="s">
        <v>49</v>
      </c>
      <c r="G1435" t="s">
        <v>40</v>
      </c>
      <c r="H1435">
        <v>2018</v>
      </c>
      <c r="I1435" s="2">
        <v>8</v>
      </c>
      <c r="J1435" s="2">
        <v>1</v>
      </c>
      <c r="K1435" t="s">
        <v>39</v>
      </c>
      <c r="L1435" s="2">
        <v>2</v>
      </c>
      <c r="M1435" s="2">
        <v>3</v>
      </c>
      <c r="N1435" t="s">
        <v>52</v>
      </c>
      <c r="O1435" s="2">
        <v>4907</v>
      </c>
      <c r="P1435" s="2">
        <v>13684</v>
      </c>
      <c r="Q1435" s="2">
        <v>0</v>
      </c>
      <c r="R1435" t="s">
        <v>35</v>
      </c>
      <c r="S1435" s="2">
        <v>4</v>
      </c>
      <c r="T1435" s="2">
        <v>2</v>
      </c>
      <c r="U1435">
        <v>80</v>
      </c>
      <c r="V1435" s="2">
        <v>6</v>
      </c>
      <c r="W1435">
        <v>3</v>
      </c>
      <c r="X1435">
        <v>2</v>
      </c>
      <c r="Y1435">
        <v>5</v>
      </c>
      <c r="Z1435">
        <v>3</v>
      </c>
      <c r="AA1435">
        <v>0</v>
      </c>
      <c r="AB1435">
        <v>4</v>
      </c>
    </row>
    <row r="1436" spans="1:28" x14ac:dyDescent="0.35">
      <c r="A1436" s="2">
        <v>52</v>
      </c>
      <c r="B1436" s="2" t="str" cm="1">
        <f t="array" ref="B1436">_xlfn.IFS(HR_table[[#This Row],[Age]]&lt;=20, "Under 20yrs",HR_table[[#This Row],[Age]]&lt;=30,"(21-30)yrs",HR_table[[#This Row],[Age]]&lt;=40,"(31-40)yrs",HR_table[[#This Row],[Age]]&lt;=50,"(41-50)yrs",HR_table[[#This Row],[Age]]&lt;=60,"(51-60)yrs")</f>
        <v>(51-60)yrs</v>
      </c>
      <c r="C1436" t="s">
        <v>43</v>
      </c>
      <c r="D1436" t="s">
        <v>55</v>
      </c>
      <c r="E1436" t="s">
        <v>37</v>
      </c>
      <c r="F1436" t="s">
        <v>38</v>
      </c>
      <c r="G1436" t="s">
        <v>57</v>
      </c>
      <c r="H1436">
        <v>2019</v>
      </c>
      <c r="I1436" s="2">
        <v>29</v>
      </c>
      <c r="J1436" s="2">
        <v>1</v>
      </c>
      <c r="K1436" t="s">
        <v>46</v>
      </c>
      <c r="L1436" s="2">
        <v>1</v>
      </c>
      <c r="M1436" s="2">
        <v>4</v>
      </c>
      <c r="N1436" t="s">
        <v>52</v>
      </c>
      <c r="O1436" s="2">
        <v>3482</v>
      </c>
      <c r="P1436" s="2">
        <v>19788</v>
      </c>
      <c r="Q1436" s="2">
        <v>2</v>
      </c>
      <c r="R1436" t="s">
        <v>43</v>
      </c>
      <c r="S1436" s="2">
        <v>3</v>
      </c>
      <c r="T1436" s="2">
        <v>2</v>
      </c>
      <c r="U1436">
        <v>80</v>
      </c>
      <c r="V1436" s="2">
        <v>16</v>
      </c>
      <c r="W1436">
        <v>3</v>
      </c>
      <c r="X1436">
        <v>2</v>
      </c>
      <c r="Y1436">
        <v>9</v>
      </c>
      <c r="Z1436">
        <v>8</v>
      </c>
      <c r="AA1436">
        <v>0</v>
      </c>
      <c r="AB1436">
        <v>0</v>
      </c>
    </row>
    <row r="1437" spans="1:28" x14ac:dyDescent="0.35">
      <c r="A1437" s="2">
        <v>44</v>
      </c>
      <c r="B1437" s="2" t="str" cm="1">
        <f t="array" ref="B1437">_xlfn.IFS(HR_table[[#This Row],[Age]]&lt;=20, "Under 20yrs",HR_table[[#This Row],[Age]]&lt;=30,"(21-30)yrs",HR_table[[#This Row],[Age]]&lt;=40,"(31-40)yrs",HR_table[[#This Row],[Age]]&lt;=50,"(41-50)yrs",HR_table[[#This Row],[Age]]&lt;=60,"(51-60)yrs")</f>
        <v>(41-50)yrs</v>
      </c>
      <c r="C1437" t="s">
        <v>43</v>
      </c>
      <c r="D1437" t="s">
        <v>36</v>
      </c>
      <c r="E1437" t="s">
        <v>45</v>
      </c>
      <c r="F1437" t="s">
        <v>51</v>
      </c>
      <c r="G1437" t="s">
        <v>47</v>
      </c>
      <c r="H1437">
        <v>2020</v>
      </c>
      <c r="I1437" s="2">
        <v>1</v>
      </c>
      <c r="J1437" s="2">
        <v>2</v>
      </c>
      <c r="K1437" t="s">
        <v>46</v>
      </c>
      <c r="L1437" s="2">
        <v>1</v>
      </c>
      <c r="M1437" s="2">
        <v>4</v>
      </c>
      <c r="N1437" t="s">
        <v>41</v>
      </c>
      <c r="O1437" s="2">
        <v>2436</v>
      </c>
      <c r="P1437" s="2">
        <v>13422</v>
      </c>
      <c r="Q1437" s="2">
        <v>6</v>
      </c>
      <c r="R1437" t="s">
        <v>35</v>
      </c>
      <c r="S1437" s="2">
        <v>3</v>
      </c>
      <c r="T1437" s="2">
        <v>3</v>
      </c>
      <c r="U1437">
        <v>80</v>
      </c>
      <c r="V1437" s="2">
        <v>6</v>
      </c>
      <c r="W1437">
        <v>2</v>
      </c>
      <c r="X1437">
        <v>3</v>
      </c>
      <c r="Y1437">
        <v>4</v>
      </c>
      <c r="Z1437">
        <v>3</v>
      </c>
      <c r="AA1437">
        <v>1</v>
      </c>
      <c r="AB1437">
        <v>2</v>
      </c>
    </row>
    <row r="1438" spans="1:28" x14ac:dyDescent="0.35">
      <c r="A1438" s="2">
        <v>21</v>
      </c>
      <c r="B1438" s="2" t="str" cm="1">
        <f t="array" ref="B1438">_xlfn.IFS(HR_table[[#This Row],[Age]]&lt;=20, "Under 20yrs",HR_table[[#This Row],[Age]]&lt;=30,"(21-30)yrs",HR_table[[#This Row],[Age]]&lt;=40,"(31-40)yrs",HR_table[[#This Row],[Age]]&lt;=50,"(41-50)yrs",HR_table[[#This Row],[Age]]&lt;=60,"(51-60)yrs")</f>
        <v>(21-30)yrs</v>
      </c>
      <c r="C1438" t="s">
        <v>43</v>
      </c>
      <c r="D1438" t="s">
        <v>36</v>
      </c>
      <c r="E1438" t="s">
        <v>37</v>
      </c>
      <c r="F1438" t="s">
        <v>51</v>
      </c>
      <c r="G1438" t="s">
        <v>57</v>
      </c>
      <c r="H1438">
        <v>2021</v>
      </c>
      <c r="I1438" s="2">
        <v>5</v>
      </c>
      <c r="J1438" s="2">
        <v>3</v>
      </c>
      <c r="K1438" t="s">
        <v>46</v>
      </c>
      <c r="L1438" s="2">
        <v>1</v>
      </c>
      <c r="M1438" s="2">
        <v>1</v>
      </c>
      <c r="N1438" t="s">
        <v>41</v>
      </c>
      <c r="O1438" s="2">
        <v>2380</v>
      </c>
      <c r="P1438" s="2">
        <v>25479</v>
      </c>
      <c r="Q1438" s="2">
        <v>1</v>
      </c>
      <c r="R1438" t="s">
        <v>35</v>
      </c>
      <c r="S1438" s="2">
        <v>3</v>
      </c>
      <c r="T1438" s="2">
        <v>4</v>
      </c>
      <c r="U1438">
        <v>80</v>
      </c>
      <c r="V1438" s="2">
        <v>2</v>
      </c>
      <c r="W1438">
        <v>6</v>
      </c>
      <c r="X1438">
        <v>3</v>
      </c>
      <c r="Y1438">
        <v>2</v>
      </c>
      <c r="Z1438">
        <v>2</v>
      </c>
      <c r="AA1438">
        <v>1</v>
      </c>
      <c r="AB1438">
        <v>2</v>
      </c>
    </row>
    <row r="1439" spans="1:28" x14ac:dyDescent="0.35">
      <c r="A1439" s="2">
        <v>39</v>
      </c>
      <c r="B1439" s="2" t="str" cm="1">
        <f t="array" ref="B1439">_xlfn.IFS(HR_table[[#This Row],[Age]]&lt;=20, "Under 20yrs",HR_table[[#This Row],[Age]]&lt;=30,"(21-30)yrs",HR_table[[#This Row],[Age]]&lt;=40,"(31-40)yrs",HR_table[[#This Row],[Age]]&lt;=50,"(41-50)yrs",HR_table[[#This Row],[Age]]&lt;=60,"(51-60)yrs")</f>
        <v>(31-40)yrs</v>
      </c>
      <c r="C1439" t="s">
        <v>43</v>
      </c>
      <c r="D1439" t="s">
        <v>55</v>
      </c>
      <c r="E1439" t="s">
        <v>45</v>
      </c>
      <c r="F1439" t="s">
        <v>38</v>
      </c>
      <c r="G1439" t="s">
        <v>56</v>
      </c>
      <c r="H1439">
        <v>2022</v>
      </c>
      <c r="I1439" s="2">
        <v>9</v>
      </c>
      <c r="J1439" s="2">
        <v>4</v>
      </c>
      <c r="K1439" t="s">
        <v>46</v>
      </c>
      <c r="L1439" s="2">
        <v>5</v>
      </c>
      <c r="M1439" s="2">
        <v>4</v>
      </c>
      <c r="N1439" t="s">
        <v>41</v>
      </c>
      <c r="O1439" s="2">
        <v>19431</v>
      </c>
      <c r="P1439" s="2">
        <v>15302</v>
      </c>
      <c r="Q1439" s="2">
        <v>2</v>
      </c>
      <c r="R1439" t="s">
        <v>43</v>
      </c>
      <c r="S1439" s="2">
        <v>3</v>
      </c>
      <c r="T1439" s="2">
        <v>3</v>
      </c>
      <c r="U1439">
        <v>80</v>
      </c>
      <c r="V1439" s="2">
        <v>21</v>
      </c>
      <c r="W1439">
        <v>3</v>
      </c>
      <c r="X1439">
        <v>2</v>
      </c>
      <c r="Y1439">
        <v>6</v>
      </c>
      <c r="Z1439">
        <v>0</v>
      </c>
      <c r="AA1439">
        <v>1</v>
      </c>
      <c r="AB1439">
        <v>3</v>
      </c>
    </row>
    <row r="1440" spans="1:28" x14ac:dyDescent="0.35">
      <c r="A1440" s="2">
        <v>23</v>
      </c>
      <c r="B1440" s="2" t="str" cm="1">
        <f t="array" ref="B1440">_xlfn.IFS(HR_table[[#This Row],[Age]]&lt;=20, "Under 20yrs",HR_table[[#This Row],[Age]]&lt;=30,"(21-30)yrs",HR_table[[#This Row],[Age]]&lt;=40,"(31-40)yrs",HR_table[[#This Row],[Age]]&lt;=50,"(41-50)yrs",HR_table[[#This Row],[Age]]&lt;=60,"(51-60)yrs")</f>
        <v>(21-30)yrs</v>
      </c>
      <c r="C1440" t="s">
        <v>35</v>
      </c>
      <c r="D1440" t="s">
        <v>44</v>
      </c>
      <c r="E1440" t="s">
        <v>37</v>
      </c>
      <c r="F1440" t="s">
        <v>59</v>
      </c>
      <c r="G1440" t="s">
        <v>57</v>
      </c>
      <c r="H1440">
        <v>2023</v>
      </c>
      <c r="I1440" s="2">
        <v>9</v>
      </c>
      <c r="J1440" s="2">
        <v>4</v>
      </c>
      <c r="K1440" t="s">
        <v>46</v>
      </c>
      <c r="L1440" s="2">
        <v>1</v>
      </c>
      <c r="M1440" s="2">
        <v>1</v>
      </c>
      <c r="N1440" t="s">
        <v>48</v>
      </c>
      <c r="O1440" s="2">
        <v>1790</v>
      </c>
      <c r="P1440" s="2">
        <v>26956</v>
      </c>
      <c r="Q1440" s="2">
        <v>1</v>
      </c>
      <c r="R1440" t="s">
        <v>43</v>
      </c>
      <c r="S1440" s="2">
        <v>3</v>
      </c>
      <c r="T1440" s="2">
        <v>1</v>
      </c>
      <c r="U1440">
        <v>80</v>
      </c>
      <c r="V1440" s="2">
        <v>1</v>
      </c>
      <c r="W1440">
        <v>3</v>
      </c>
      <c r="X1440">
        <v>2</v>
      </c>
      <c r="Y1440">
        <v>1</v>
      </c>
      <c r="Z1440">
        <v>0</v>
      </c>
      <c r="AA1440">
        <v>1</v>
      </c>
      <c r="AB1440">
        <v>0</v>
      </c>
    </row>
    <row r="1441" spans="1:28" x14ac:dyDescent="0.35">
      <c r="A1441" s="2">
        <v>36</v>
      </c>
      <c r="B1441" s="2" t="str" cm="1">
        <f t="array" ref="B1441">_xlfn.IFS(HR_table[[#This Row],[Age]]&lt;=20, "Under 20yrs",HR_table[[#This Row],[Age]]&lt;=30,"(21-30)yrs",HR_table[[#This Row],[Age]]&lt;=40,"(31-40)yrs",HR_table[[#This Row],[Age]]&lt;=50,"(41-50)yrs",HR_table[[#This Row],[Age]]&lt;=60,"(51-60)yrs")</f>
        <v>(31-40)yrs</v>
      </c>
      <c r="C1441" t="s">
        <v>43</v>
      </c>
      <c r="D1441" t="s">
        <v>36</v>
      </c>
      <c r="E1441" t="s">
        <v>37</v>
      </c>
      <c r="F1441" t="s">
        <v>51</v>
      </c>
      <c r="G1441" t="s">
        <v>40</v>
      </c>
      <c r="H1441">
        <v>2024</v>
      </c>
      <c r="I1441" s="2">
        <v>3</v>
      </c>
      <c r="J1441" s="2">
        <v>1</v>
      </c>
      <c r="K1441" t="s">
        <v>39</v>
      </c>
      <c r="L1441" s="2">
        <v>3</v>
      </c>
      <c r="M1441" s="2">
        <v>4</v>
      </c>
      <c r="N1441" t="s">
        <v>48</v>
      </c>
      <c r="O1441" s="2">
        <v>7644</v>
      </c>
      <c r="P1441" s="2">
        <v>12695</v>
      </c>
      <c r="Q1441" s="2">
        <v>0</v>
      </c>
      <c r="R1441" t="s">
        <v>43</v>
      </c>
      <c r="S1441" s="2">
        <v>3</v>
      </c>
      <c r="T1441" s="2">
        <v>3</v>
      </c>
      <c r="U1441">
        <v>80</v>
      </c>
      <c r="V1441" s="2">
        <v>10</v>
      </c>
      <c r="W1441">
        <v>2</v>
      </c>
      <c r="X1441">
        <v>3</v>
      </c>
      <c r="Y1441">
        <v>9</v>
      </c>
      <c r="Z1441">
        <v>7</v>
      </c>
      <c r="AA1441">
        <v>3</v>
      </c>
      <c r="AB1441">
        <v>4</v>
      </c>
    </row>
    <row r="1442" spans="1:28" x14ac:dyDescent="0.35">
      <c r="A1442" s="2">
        <v>36</v>
      </c>
      <c r="B1442" s="2" t="str" cm="1">
        <f t="array" ref="B1442">_xlfn.IFS(HR_table[[#This Row],[Age]]&lt;=20, "Under 20yrs",HR_table[[#This Row],[Age]]&lt;=30,"(21-30)yrs",HR_table[[#This Row],[Age]]&lt;=40,"(31-40)yrs",HR_table[[#This Row],[Age]]&lt;=50,"(41-50)yrs",HR_table[[#This Row],[Age]]&lt;=60,"(51-60)yrs")</f>
        <v>(31-40)yrs</v>
      </c>
      <c r="C1442" t="s">
        <v>43</v>
      </c>
      <c r="D1442" t="s">
        <v>44</v>
      </c>
      <c r="E1442" t="s">
        <v>45</v>
      </c>
      <c r="F1442" t="s">
        <v>38</v>
      </c>
      <c r="G1442" t="s">
        <v>53</v>
      </c>
      <c r="H1442">
        <v>2025</v>
      </c>
      <c r="I1442" s="2">
        <v>4</v>
      </c>
      <c r="J1442" s="2">
        <v>4</v>
      </c>
      <c r="K1442" t="s">
        <v>39</v>
      </c>
      <c r="L1442" s="2">
        <v>2</v>
      </c>
      <c r="M1442" s="2">
        <v>2</v>
      </c>
      <c r="N1442" t="s">
        <v>52</v>
      </c>
      <c r="O1442" s="2">
        <v>5131</v>
      </c>
      <c r="P1442" s="2">
        <v>9192</v>
      </c>
      <c r="Q1442" s="2">
        <v>7</v>
      </c>
      <c r="R1442" t="s">
        <v>43</v>
      </c>
      <c r="S1442" s="2">
        <v>3</v>
      </c>
      <c r="T1442" s="2">
        <v>2</v>
      </c>
      <c r="U1442">
        <v>80</v>
      </c>
      <c r="V1442" s="2">
        <v>18</v>
      </c>
      <c r="W1442">
        <v>3</v>
      </c>
      <c r="X1442">
        <v>3</v>
      </c>
      <c r="Y1442">
        <v>4</v>
      </c>
      <c r="Z1442">
        <v>2</v>
      </c>
      <c r="AA1442">
        <v>0</v>
      </c>
      <c r="AB1442">
        <v>2</v>
      </c>
    </row>
    <row r="1443" spans="1:28" x14ac:dyDescent="0.35">
      <c r="A1443" s="2">
        <v>56</v>
      </c>
      <c r="B1443" s="2" t="str" cm="1">
        <f t="array" ref="B1443">_xlfn.IFS(HR_table[[#This Row],[Age]]&lt;=20, "Under 20yrs",HR_table[[#This Row],[Age]]&lt;=30,"(21-30)yrs",HR_table[[#This Row],[Age]]&lt;=40,"(31-40)yrs",HR_table[[#This Row],[Age]]&lt;=50,"(41-50)yrs",HR_table[[#This Row],[Age]]&lt;=60,"(51-60)yrs")</f>
        <v>(51-60)yrs</v>
      </c>
      <c r="C1443" t="s">
        <v>43</v>
      </c>
      <c r="D1443" t="s">
        <v>55</v>
      </c>
      <c r="E1443" t="s">
        <v>45</v>
      </c>
      <c r="F1443" t="s">
        <v>38</v>
      </c>
      <c r="G1443" t="s">
        <v>54</v>
      </c>
      <c r="H1443">
        <v>2026</v>
      </c>
      <c r="I1443" s="2">
        <v>1</v>
      </c>
      <c r="J1443" s="2">
        <v>3</v>
      </c>
      <c r="K1443" t="s">
        <v>46</v>
      </c>
      <c r="L1443" s="2">
        <v>2</v>
      </c>
      <c r="M1443" s="2">
        <v>3</v>
      </c>
      <c r="N1443" t="s">
        <v>52</v>
      </c>
      <c r="O1443" s="2">
        <v>6306</v>
      </c>
      <c r="P1443" s="2">
        <v>26236</v>
      </c>
      <c r="Q1443" s="2">
        <v>1</v>
      </c>
      <c r="R1443" t="s">
        <v>43</v>
      </c>
      <c r="S1443" s="2">
        <v>4</v>
      </c>
      <c r="T1443" s="2">
        <v>1</v>
      </c>
      <c r="U1443">
        <v>80</v>
      </c>
      <c r="V1443" s="2">
        <v>13</v>
      </c>
      <c r="W1443">
        <v>2</v>
      </c>
      <c r="X1443">
        <v>2</v>
      </c>
      <c r="Y1443">
        <v>13</v>
      </c>
      <c r="Z1443">
        <v>12</v>
      </c>
      <c r="AA1443">
        <v>1</v>
      </c>
      <c r="AB1443">
        <v>9</v>
      </c>
    </row>
    <row r="1444" spans="1:28" x14ac:dyDescent="0.35">
      <c r="A1444" s="2">
        <v>29</v>
      </c>
      <c r="B1444" s="2" t="str" cm="1">
        <f t="array" ref="B1444">_xlfn.IFS(HR_table[[#This Row],[Age]]&lt;=20, "Under 20yrs",HR_table[[#This Row],[Age]]&lt;=30,"(21-30)yrs",HR_table[[#This Row],[Age]]&lt;=40,"(31-40)yrs",HR_table[[#This Row],[Age]]&lt;=50,"(41-50)yrs",HR_table[[#This Row],[Age]]&lt;=60,"(51-60)yrs")</f>
        <v>(21-30)yrs</v>
      </c>
      <c r="C1444" t="s">
        <v>35</v>
      </c>
      <c r="D1444" t="s">
        <v>36</v>
      </c>
      <c r="E1444" t="s">
        <v>45</v>
      </c>
      <c r="F1444" t="s">
        <v>51</v>
      </c>
      <c r="G1444" t="s">
        <v>47</v>
      </c>
      <c r="H1444">
        <v>2027</v>
      </c>
      <c r="I1444" s="2">
        <v>1</v>
      </c>
      <c r="J1444" s="2">
        <v>1</v>
      </c>
      <c r="K1444" t="s">
        <v>46</v>
      </c>
      <c r="L1444" s="2">
        <v>1</v>
      </c>
      <c r="M1444" s="2">
        <v>4</v>
      </c>
      <c r="N1444" t="s">
        <v>48</v>
      </c>
      <c r="O1444" s="2">
        <v>4787</v>
      </c>
      <c r="P1444" s="2">
        <v>26124</v>
      </c>
      <c r="Q1444" s="2">
        <v>9</v>
      </c>
      <c r="R1444" t="s">
        <v>35</v>
      </c>
      <c r="S1444" s="2">
        <v>3</v>
      </c>
      <c r="T1444" s="2">
        <v>2</v>
      </c>
      <c r="U1444">
        <v>80</v>
      </c>
      <c r="V1444" s="2">
        <v>4</v>
      </c>
      <c r="W1444">
        <v>3</v>
      </c>
      <c r="X1444">
        <v>4</v>
      </c>
      <c r="Y1444">
        <v>2</v>
      </c>
      <c r="Z1444">
        <v>2</v>
      </c>
      <c r="AA1444">
        <v>2</v>
      </c>
      <c r="AB1444">
        <v>2</v>
      </c>
    </row>
    <row r="1445" spans="1:28" x14ac:dyDescent="0.35">
      <c r="A1445" s="2">
        <v>42</v>
      </c>
      <c r="B1445" s="2" t="str" cm="1">
        <f t="array" ref="B1445">_xlfn.IFS(HR_table[[#This Row],[Age]]&lt;=20, "Under 20yrs",HR_table[[#This Row],[Age]]&lt;=30,"(21-30)yrs",HR_table[[#This Row],[Age]]&lt;=40,"(31-40)yrs",HR_table[[#This Row],[Age]]&lt;=50,"(41-50)yrs",HR_table[[#This Row],[Age]]&lt;=60,"(51-60)yrs")</f>
        <v>(41-50)yrs</v>
      </c>
      <c r="C1445" t="s">
        <v>43</v>
      </c>
      <c r="D1445" t="s">
        <v>36</v>
      </c>
      <c r="E1445" t="s">
        <v>45</v>
      </c>
      <c r="F1445" t="s">
        <v>38</v>
      </c>
      <c r="G1445" t="s">
        <v>56</v>
      </c>
      <c r="H1445">
        <v>2031</v>
      </c>
      <c r="I1445" s="2">
        <v>2</v>
      </c>
      <c r="J1445" s="2">
        <v>1</v>
      </c>
      <c r="K1445" t="s">
        <v>46</v>
      </c>
      <c r="L1445" s="2">
        <v>5</v>
      </c>
      <c r="M1445" s="2">
        <v>3</v>
      </c>
      <c r="N1445" t="s">
        <v>48</v>
      </c>
      <c r="O1445" s="2">
        <v>18880</v>
      </c>
      <c r="P1445" s="2">
        <v>17312</v>
      </c>
      <c r="Q1445" s="2">
        <v>5</v>
      </c>
      <c r="R1445" t="s">
        <v>43</v>
      </c>
      <c r="S1445" s="2">
        <v>3</v>
      </c>
      <c r="T1445" s="2">
        <v>1</v>
      </c>
      <c r="U1445">
        <v>80</v>
      </c>
      <c r="V1445" s="2">
        <v>24</v>
      </c>
      <c r="W1445">
        <v>2</v>
      </c>
      <c r="X1445">
        <v>2</v>
      </c>
      <c r="Y1445">
        <v>22</v>
      </c>
      <c r="Z1445">
        <v>6</v>
      </c>
      <c r="AA1445">
        <v>4</v>
      </c>
      <c r="AB1445">
        <v>14</v>
      </c>
    </row>
    <row r="1446" spans="1:28" x14ac:dyDescent="0.35">
      <c r="A1446" s="2">
        <v>56</v>
      </c>
      <c r="B1446" s="2" t="str" cm="1">
        <f t="array" ref="B1446">_xlfn.IFS(HR_table[[#This Row],[Age]]&lt;=20, "Under 20yrs",HR_table[[#This Row],[Age]]&lt;=30,"(21-30)yrs",HR_table[[#This Row],[Age]]&lt;=40,"(31-40)yrs",HR_table[[#This Row],[Age]]&lt;=50,"(41-50)yrs",HR_table[[#This Row],[Age]]&lt;=60,"(51-60)yrs")</f>
        <v>(51-60)yrs</v>
      </c>
      <c r="C1446" t="s">
        <v>35</v>
      </c>
      <c r="D1446" t="s">
        <v>36</v>
      </c>
      <c r="E1446" t="s">
        <v>45</v>
      </c>
      <c r="F1446" t="s">
        <v>60</v>
      </c>
      <c r="G1446" t="s">
        <v>50</v>
      </c>
      <c r="H1446">
        <v>2032</v>
      </c>
      <c r="I1446" s="2">
        <v>7</v>
      </c>
      <c r="J1446" s="2">
        <v>4</v>
      </c>
      <c r="K1446" t="s">
        <v>46</v>
      </c>
      <c r="L1446" s="2">
        <v>1</v>
      </c>
      <c r="M1446" s="2">
        <v>3</v>
      </c>
      <c r="N1446" t="s">
        <v>48</v>
      </c>
      <c r="O1446" s="2">
        <v>2339</v>
      </c>
      <c r="P1446" s="2">
        <v>3666</v>
      </c>
      <c r="Q1446" s="2">
        <v>8</v>
      </c>
      <c r="R1446" t="s">
        <v>43</v>
      </c>
      <c r="S1446" s="2">
        <v>3</v>
      </c>
      <c r="T1446" s="2">
        <v>4</v>
      </c>
      <c r="U1446">
        <v>80</v>
      </c>
      <c r="V1446" s="2">
        <v>14</v>
      </c>
      <c r="W1446">
        <v>4</v>
      </c>
      <c r="X1446">
        <v>1</v>
      </c>
      <c r="Y1446">
        <v>10</v>
      </c>
      <c r="Z1446">
        <v>9</v>
      </c>
      <c r="AA1446">
        <v>9</v>
      </c>
      <c r="AB1446">
        <v>8</v>
      </c>
    </row>
    <row r="1447" spans="1:28" x14ac:dyDescent="0.35">
      <c r="A1447" s="2">
        <v>41</v>
      </c>
      <c r="B1447" s="2" t="str" cm="1">
        <f t="array" ref="B1447">_xlfn.IFS(HR_table[[#This Row],[Age]]&lt;=20, "Under 20yrs",HR_table[[#This Row],[Age]]&lt;=30,"(21-30)yrs",HR_table[[#This Row],[Age]]&lt;=40,"(31-40)yrs",HR_table[[#This Row],[Age]]&lt;=50,"(41-50)yrs",HR_table[[#This Row],[Age]]&lt;=60,"(51-60)yrs")</f>
        <v>(41-50)yrs</v>
      </c>
      <c r="C1447" t="s">
        <v>43</v>
      </c>
      <c r="D1447" t="s">
        <v>36</v>
      </c>
      <c r="E1447" t="s">
        <v>45</v>
      </c>
      <c r="F1447" t="s">
        <v>38</v>
      </c>
      <c r="G1447" t="s">
        <v>53</v>
      </c>
      <c r="H1447">
        <v>2034</v>
      </c>
      <c r="I1447" s="2">
        <v>28</v>
      </c>
      <c r="J1447" s="2">
        <v>1</v>
      </c>
      <c r="K1447" t="s">
        <v>39</v>
      </c>
      <c r="L1447" s="2">
        <v>4</v>
      </c>
      <c r="M1447" s="2">
        <v>2</v>
      </c>
      <c r="N1447" t="s">
        <v>48</v>
      </c>
      <c r="O1447" s="2">
        <v>13570</v>
      </c>
      <c r="P1447" s="2">
        <v>5640</v>
      </c>
      <c r="Q1447" s="2">
        <v>0</v>
      </c>
      <c r="R1447" t="s">
        <v>43</v>
      </c>
      <c r="S1447" s="2">
        <v>4</v>
      </c>
      <c r="T1447" s="2">
        <v>3</v>
      </c>
      <c r="U1447">
        <v>80</v>
      </c>
      <c r="V1447" s="2">
        <v>21</v>
      </c>
      <c r="W1447">
        <v>3</v>
      </c>
      <c r="X1447">
        <v>3</v>
      </c>
      <c r="Y1447">
        <v>20</v>
      </c>
      <c r="Z1447">
        <v>7</v>
      </c>
      <c r="AA1447">
        <v>0</v>
      </c>
      <c r="AB1447">
        <v>10</v>
      </c>
    </row>
    <row r="1448" spans="1:28" x14ac:dyDescent="0.35">
      <c r="A1448" s="2">
        <v>34</v>
      </c>
      <c r="B1448" s="2" t="str" cm="1">
        <f t="array" ref="B1448">_xlfn.IFS(HR_table[[#This Row],[Age]]&lt;=20, "Under 20yrs",HR_table[[#This Row],[Age]]&lt;=30,"(21-30)yrs",HR_table[[#This Row],[Age]]&lt;=40,"(31-40)yrs",HR_table[[#This Row],[Age]]&lt;=50,"(41-50)yrs",HR_table[[#This Row],[Age]]&lt;=60,"(51-60)yrs")</f>
        <v>(31-40)yrs</v>
      </c>
      <c r="C1448" t="s">
        <v>43</v>
      </c>
      <c r="D1448" t="s">
        <v>36</v>
      </c>
      <c r="E1448" t="s">
        <v>37</v>
      </c>
      <c r="F1448" t="s">
        <v>59</v>
      </c>
      <c r="G1448" t="s">
        <v>40</v>
      </c>
      <c r="H1448">
        <v>2035</v>
      </c>
      <c r="I1448" s="2">
        <v>28</v>
      </c>
      <c r="J1448" s="2">
        <v>4</v>
      </c>
      <c r="K1448" t="s">
        <v>39</v>
      </c>
      <c r="L1448" s="2">
        <v>2</v>
      </c>
      <c r="M1448" s="2">
        <v>3</v>
      </c>
      <c r="N1448" t="s">
        <v>48</v>
      </c>
      <c r="O1448" s="2">
        <v>6712</v>
      </c>
      <c r="P1448" s="2">
        <v>8978</v>
      </c>
      <c r="Q1448" s="2">
        <v>1</v>
      </c>
      <c r="R1448" t="s">
        <v>43</v>
      </c>
      <c r="S1448" s="2">
        <v>4</v>
      </c>
      <c r="T1448" s="2">
        <v>4</v>
      </c>
      <c r="U1448">
        <v>80</v>
      </c>
      <c r="V1448" s="2">
        <v>8</v>
      </c>
      <c r="W1448">
        <v>2</v>
      </c>
      <c r="X1448">
        <v>3</v>
      </c>
      <c r="Y1448">
        <v>8</v>
      </c>
      <c r="Z1448">
        <v>7</v>
      </c>
      <c r="AA1448">
        <v>1</v>
      </c>
      <c r="AB1448">
        <v>7</v>
      </c>
    </row>
    <row r="1449" spans="1:28" x14ac:dyDescent="0.35">
      <c r="A1449" s="2">
        <v>36</v>
      </c>
      <c r="B1449" s="2" t="str" cm="1">
        <f t="array" ref="B1449">_xlfn.IFS(HR_table[[#This Row],[Age]]&lt;=20, "Under 20yrs",HR_table[[#This Row],[Age]]&lt;=30,"(21-30)yrs",HR_table[[#This Row],[Age]]&lt;=40,"(31-40)yrs",HR_table[[#This Row],[Age]]&lt;=50,"(41-50)yrs",HR_table[[#This Row],[Age]]&lt;=60,"(51-60)yrs")</f>
        <v>(31-40)yrs</v>
      </c>
      <c r="C1449" t="s">
        <v>43</v>
      </c>
      <c r="D1449" t="s">
        <v>55</v>
      </c>
      <c r="E1449" t="s">
        <v>37</v>
      </c>
      <c r="F1449" t="s">
        <v>59</v>
      </c>
      <c r="G1449" t="s">
        <v>40</v>
      </c>
      <c r="H1449">
        <v>2036</v>
      </c>
      <c r="I1449" s="2">
        <v>15</v>
      </c>
      <c r="J1449" s="2">
        <v>4</v>
      </c>
      <c r="K1449" t="s">
        <v>46</v>
      </c>
      <c r="L1449" s="2">
        <v>2</v>
      </c>
      <c r="M1449" s="2">
        <v>4</v>
      </c>
      <c r="N1449" t="s">
        <v>52</v>
      </c>
      <c r="O1449" s="2">
        <v>5406</v>
      </c>
      <c r="P1449" s="2">
        <v>10436</v>
      </c>
      <c r="Q1449" s="2">
        <v>1</v>
      </c>
      <c r="R1449" t="s">
        <v>43</v>
      </c>
      <c r="S1449" s="2">
        <v>4</v>
      </c>
      <c r="T1449" s="2">
        <v>1</v>
      </c>
      <c r="U1449">
        <v>80</v>
      </c>
      <c r="V1449" s="2">
        <v>15</v>
      </c>
      <c r="W1449">
        <v>4</v>
      </c>
      <c r="X1449">
        <v>2</v>
      </c>
      <c r="Y1449">
        <v>15</v>
      </c>
      <c r="Z1449">
        <v>12</v>
      </c>
      <c r="AA1449">
        <v>11</v>
      </c>
      <c r="AB1449">
        <v>11</v>
      </c>
    </row>
    <row r="1450" spans="1:28" x14ac:dyDescent="0.35">
      <c r="A1450" s="2">
        <v>41</v>
      </c>
      <c r="B1450" s="2" t="str" cm="1">
        <f t="array" ref="B1450">_xlfn.IFS(HR_table[[#This Row],[Age]]&lt;=20, "Under 20yrs",HR_table[[#This Row],[Age]]&lt;=30,"(21-30)yrs",HR_table[[#This Row],[Age]]&lt;=40,"(31-40)yrs",HR_table[[#This Row],[Age]]&lt;=50,"(41-50)yrs",HR_table[[#This Row],[Age]]&lt;=60,"(51-60)yrs")</f>
        <v>(41-50)yrs</v>
      </c>
      <c r="C1450" t="s">
        <v>43</v>
      </c>
      <c r="D1450" t="s">
        <v>36</v>
      </c>
      <c r="E1450" t="s">
        <v>37</v>
      </c>
      <c r="F1450" t="s">
        <v>38</v>
      </c>
      <c r="G1450" t="s">
        <v>40</v>
      </c>
      <c r="H1450">
        <v>2037</v>
      </c>
      <c r="I1450" s="2">
        <v>3</v>
      </c>
      <c r="J1450" s="2">
        <v>3</v>
      </c>
      <c r="K1450" t="s">
        <v>46</v>
      </c>
      <c r="L1450" s="2">
        <v>2</v>
      </c>
      <c r="M1450" s="2">
        <v>2</v>
      </c>
      <c r="N1450" t="s">
        <v>52</v>
      </c>
      <c r="O1450" s="2">
        <v>8938</v>
      </c>
      <c r="P1450" s="2">
        <v>12227</v>
      </c>
      <c r="Q1450" s="2">
        <v>2</v>
      </c>
      <c r="R1450" t="s">
        <v>43</v>
      </c>
      <c r="S1450" s="2">
        <v>3</v>
      </c>
      <c r="T1450" s="2">
        <v>3</v>
      </c>
      <c r="U1450">
        <v>80</v>
      </c>
      <c r="V1450" s="2">
        <v>14</v>
      </c>
      <c r="W1450">
        <v>5</v>
      </c>
      <c r="X1450">
        <v>3</v>
      </c>
      <c r="Y1450">
        <v>5</v>
      </c>
      <c r="Z1450">
        <v>4</v>
      </c>
      <c r="AA1450">
        <v>0</v>
      </c>
      <c r="AB1450">
        <v>4</v>
      </c>
    </row>
    <row r="1451" spans="1:28" x14ac:dyDescent="0.35">
      <c r="A1451" s="2">
        <v>32</v>
      </c>
      <c r="B1451" s="2" t="str" cm="1">
        <f t="array" ref="B1451">_xlfn.IFS(HR_table[[#This Row],[Age]]&lt;=20, "Under 20yrs",HR_table[[#This Row],[Age]]&lt;=30,"(21-30)yrs",HR_table[[#This Row],[Age]]&lt;=40,"(31-40)yrs",HR_table[[#This Row],[Age]]&lt;=50,"(41-50)yrs",HR_table[[#This Row],[Age]]&lt;=60,"(51-60)yrs")</f>
        <v>(31-40)yrs</v>
      </c>
      <c r="C1451" t="s">
        <v>43</v>
      </c>
      <c r="D1451" t="s">
        <v>36</v>
      </c>
      <c r="E1451" t="s">
        <v>45</v>
      </c>
      <c r="F1451" t="s">
        <v>60</v>
      </c>
      <c r="G1451" t="s">
        <v>47</v>
      </c>
      <c r="H1451">
        <v>2038</v>
      </c>
      <c r="I1451" s="2">
        <v>2</v>
      </c>
      <c r="J1451" s="2">
        <v>4</v>
      </c>
      <c r="K1451" t="s">
        <v>46</v>
      </c>
      <c r="L1451" s="2">
        <v>1</v>
      </c>
      <c r="M1451" s="2">
        <v>1</v>
      </c>
      <c r="N1451" t="s">
        <v>41</v>
      </c>
      <c r="O1451" s="2">
        <v>2439</v>
      </c>
      <c r="P1451" s="2">
        <v>11288</v>
      </c>
      <c r="Q1451" s="2">
        <v>1</v>
      </c>
      <c r="R1451" t="s">
        <v>43</v>
      </c>
      <c r="S1451" s="2">
        <v>3</v>
      </c>
      <c r="T1451" s="2">
        <v>4</v>
      </c>
      <c r="U1451">
        <v>80</v>
      </c>
      <c r="V1451" s="2">
        <v>4</v>
      </c>
      <c r="W1451">
        <v>4</v>
      </c>
      <c r="X1451">
        <v>3</v>
      </c>
      <c r="Y1451">
        <v>4</v>
      </c>
      <c r="Z1451">
        <v>2</v>
      </c>
      <c r="AA1451">
        <v>1</v>
      </c>
      <c r="AB1451">
        <v>2</v>
      </c>
    </row>
    <row r="1452" spans="1:28" x14ac:dyDescent="0.35">
      <c r="A1452" s="2">
        <v>35</v>
      </c>
      <c r="B1452" s="2" t="str" cm="1">
        <f t="array" ref="B1452">_xlfn.IFS(HR_table[[#This Row],[Age]]&lt;=20, "Under 20yrs",HR_table[[#This Row],[Age]]&lt;=30,"(21-30)yrs",HR_table[[#This Row],[Age]]&lt;=40,"(31-40)yrs",HR_table[[#This Row],[Age]]&lt;=50,"(41-50)yrs",HR_table[[#This Row],[Age]]&lt;=60,"(51-60)yrs")</f>
        <v>(31-40)yrs</v>
      </c>
      <c r="C1452" t="s">
        <v>43</v>
      </c>
      <c r="D1452" t="s">
        <v>36</v>
      </c>
      <c r="E1452" t="s">
        <v>61</v>
      </c>
      <c r="F1452" t="s">
        <v>38</v>
      </c>
      <c r="G1452" t="s">
        <v>61</v>
      </c>
      <c r="H1452">
        <v>2040</v>
      </c>
      <c r="I1452" s="2">
        <v>26</v>
      </c>
      <c r="J1452" s="2">
        <v>3</v>
      </c>
      <c r="K1452" t="s">
        <v>39</v>
      </c>
      <c r="L1452" s="2">
        <v>3</v>
      </c>
      <c r="M1452" s="2">
        <v>4</v>
      </c>
      <c r="N1452" t="s">
        <v>41</v>
      </c>
      <c r="O1452" s="2">
        <v>8837</v>
      </c>
      <c r="P1452" s="2">
        <v>16642</v>
      </c>
      <c r="Q1452" s="2">
        <v>1</v>
      </c>
      <c r="R1452" t="s">
        <v>35</v>
      </c>
      <c r="S1452" s="2">
        <v>3</v>
      </c>
      <c r="T1452" s="2">
        <v>3</v>
      </c>
      <c r="U1452">
        <v>80</v>
      </c>
      <c r="V1452" s="2">
        <v>9</v>
      </c>
      <c r="W1452">
        <v>2</v>
      </c>
      <c r="X1452">
        <v>3</v>
      </c>
      <c r="Y1452">
        <v>9</v>
      </c>
      <c r="Z1452">
        <v>0</v>
      </c>
      <c r="AA1452">
        <v>1</v>
      </c>
      <c r="AB1452">
        <v>7</v>
      </c>
    </row>
    <row r="1453" spans="1:28" x14ac:dyDescent="0.35">
      <c r="A1453" s="2">
        <v>38</v>
      </c>
      <c r="B1453" s="2" t="str" cm="1">
        <f t="array" ref="B1453">_xlfn.IFS(HR_table[[#This Row],[Age]]&lt;=20, "Under 20yrs",HR_table[[#This Row],[Age]]&lt;=30,"(21-30)yrs",HR_table[[#This Row],[Age]]&lt;=40,"(31-40)yrs",HR_table[[#This Row],[Age]]&lt;=50,"(41-50)yrs",HR_table[[#This Row],[Age]]&lt;=60,"(51-60)yrs")</f>
        <v>(31-40)yrs</v>
      </c>
      <c r="C1453" t="s">
        <v>43</v>
      </c>
      <c r="D1453" t="s">
        <v>36</v>
      </c>
      <c r="E1453" t="s">
        <v>37</v>
      </c>
      <c r="F1453" t="s">
        <v>38</v>
      </c>
      <c r="G1453" t="s">
        <v>40</v>
      </c>
      <c r="H1453">
        <v>2041</v>
      </c>
      <c r="I1453" s="2">
        <v>10</v>
      </c>
      <c r="J1453" s="2">
        <v>1</v>
      </c>
      <c r="K1453" t="s">
        <v>39</v>
      </c>
      <c r="L1453" s="2">
        <v>2</v>
      </c>
      <c r="M1453" s="2">
        <v>4</v>
      </c>
      <c r="N1453" t="s">
        <v>48</v>
      </c>
      <c r="O1453" s="2">
        <v>5343</v>
      </c>
      <c r="P1453" s="2">
        <v>5982</v>
      </c>
      <c r="Q1453" s="2">
        <v>1</v>
      </c>
      <c r="R1453" t="s">
        <v>43</v>
      </c>
      <c r="S1453" s="2">
        <v>3</v>
      </c>
      <c r="T1453" s="2">
        <v>3</v>
      </c>
      <c r="U1453">
        <v>80</v>
      </c>
      <c r="V1453" s="2">
        <v>10</v>
      </c>
      <c r="W1453">
        <v>1</v>
      </c>
      <c r="X1453">
        <v>3</v>
      </c>
      <c r="Y1453">
        <v>10</v>
      </c>
      <c r="Z1453">
        <v>7</v>
      </c>
      <c r="AA1453">
        <v>1</v>
      </c>
      <c r="AB1453">
        <v>9</v>
      </c>
    </row>
    <row r="1454" spans="1:28" x14ac:dyDescent="0.35">
      <c r="A1454" s="2">
        <v>50</v>
      </c>
      <c r="B1454" s="2" t="str" cm="1">
        <f t="array" ref="B1454">_xlfn.IFS(HR_table[[#This Row],[Age]]&lt;=20, "Under 20yrs",HR_table[[#This Row],[Age]]&lt;=30,"(21-30)yrs",HR_table[[#This Row],[Age]]&lt;=40,"(31-40)yrs",HR_table[[#This Row],[Age]]&lt;=50,"(41-50)yrs",HR_table[[#This Row],[Age]]&lt;=60,"(51-60)yrs")</f>
        <v>(41-50)yrs</v>
      </c>
      <c r="C1454" t="s">
        <v>35</v>
      </c>
      <c r="D1454" t="s">
        <v>44</v>
      </c>
      <c r="E1454" t="s">
        <v>37</v>
      </c>
      <c r="F1454" t="s">
        <v>38</v>
      </c>
      <c r="G1454" t="s">
        <v>40</v>
      </c>
      <c r="H1454">
        <v>2044</v>
      </c>
      <c r="I1454" s="2">
        <v>1</v>
      </c>
      <c r="J1454" s="2">
        <v>2</v>
      </c>
      <c r="K1454" t="s">
        <v>46</v>
      </c>
      <c r="L1454" s="2">
        <v>2</v>
      </c>
      <c r="M1454" s="2">
        <v>3</v>
      </c>
      <c r="N1454" t="s">
        <v>52</v>
      </c>
      <c r="O1454" s="2">
        <v>6728</v>
      </c>
      <c r="P1454" s="2">
        <v>14255</v>
      </c>
      <c r="Q1454" s="2">
        <v>7</v>
      </c>
      <c r="R1454" t="s">
        <v>43</v>
      </c>
      <c r="S1454" s="2">
        <v>3</v>
      </c>
      <c r="T1454" s="2">
        <v>4</v>
      </c>
      <c r="U1454">
        <v>80</v>
      </c>
      <c r="V1454" s="2">
        <v>12</v>
      </c>
      <c r="W1454">
        <v>3</v>
      </c>
      <c r="X1454">
        <v>3</v>
      </c>
      <c r="Y1454">
        <v>6</v>
      </c>
      <c r="Z1454">
        <v>3</v>
      </c>
      <c r="AA1454">
        <v>0</v>
      </c>
      <c r="AB1454">
        <v>1</v>
      </c>
    </row>
    <row r="1455" spans="1:28" x14ac:dyDescent="0.35">
      <c r="A1455" s="2">
        <v>36</v>
      </c>
      <c r="B1455" s="2" t="str" cm="1">
        <f t="array" ref="B1455">_xlfn.IFS(HR_table[[#This Row],[Age]]&lt;=20, "Under 20yrs",HR_table[[#This Row],[Age]]&lt;=30,"(21-30)yrs",HR_table[[#This Row],[Age]]&lt;=40,"(31-40)yrs",HR_table[[#This Row],[Age]]&lt;=50,"(41-50)yrs",HR_table[[#This Row],[Age]]&lt;=60,"(51-60)yrs")</f>
        <v>(31-40)yrs</v>
      </c>
      <c r="C1455" t="s">
        <v>43</v>
      </c>
      <c r="D1455" t="s">
        <v>36</v>
      </c>
      <c r="E1455" t="s">
        <v>37</v>
      </c>
      <c r="F1455" t="s">
        <v>59</v>
      </c>
      <c r="G1455" t="s">
        <v>40</v>
      </c>
      <c r="H1455">
        <v>2045</v>
      </c>
      <c r="I1455" s="2">
        <v>11</v>
      </c>
      <c r="J1455" s="2">
        <v>2</v>
      </c>
      <c r="K1455" t="s">
        <v>39</v>
      </c>
      <c r="L1455" s="2">
        <v>2</v>
      </c>
      <c r="M1455" s="2">
        <v>4</v>
      </c>
      <c r="N1455" t="s">
        <v>48</v>
      </c>
      <c r="O1455" s="2">
        <v>6652</v>
      </c>
      <c r="P1455" s="2">
        <v>14369</v>
      </c>
      <c r="Q1455" s="2">
        <v>4</v>
      </c>
      <c r="R1455" t="s">
        <v>43</v>
      </c>
      <c r="S1455" s="2">
        <v>3</v>
      </c>
      <c r="T1455" s="2">
        <v>1</v>
      </c>
      <c r="U1455">
        <v>80</v>
      </c>
      <c r="V1455" s="2">
        <v>8</v>
      </c>
      <c r="W1455">
        <v>2</v>
      </c>
      <c r="X1455">
        <v>2</v>
      </c>
      <c r="Y1455">
        <v>6</v>
      </c>
      <c r="Z1455">
        <v>3</v>
      </c>
      <c r="AA1455">
        <v>0</v>
      </c>
      <c r="AB1455">
        <v>0</v>
      </c>
    </row>
    <row r="1456" spans="1:28" x14ac:dyDescent="0.35">
      <c r="A1456" s="2">
        <v>45</v>
      </c>
      <c r="B1456" s="2" t="str" cm="1">
        <f t="array" ref="B1456">_xlfn.IFS(HR_table[[#This Row],[Age]]&lt;=20, "Under 20yrs",HR_table[[#This Row],[Age]]&lt;=30,"(21-30)yrs",HR_table[[#This Row],[Age]]&lt;=40,"(31-40)yrs",HR_table[[#This Row],[Age]]&lt;=50,"(41-50)yrs",HR_table[[#This Row],[Age]]&lt;=60,"(51-60)yrs")</f>
        <v>(41-50)yrs</v>
      </c>
      <c r="C1456" t="s">
        <v>43</v>
      </c>
      <c r="D1456" t="s">
        <v>36</v>
      </c>
      <c r="E1456" t="s">
        <v>37</v>
      </c>
      <c r="F1456" t="s">
        <v>38</v>
      </c>
      <c r="G1456" t="s">
        <v>40</v>
      </c>
      <c r="H1456">
        <v>2046</v>
      </c>
      <c r="I1456" s="2">
        <v>20</v>
      </c>
      <c r="J1456" s="2">
        <v>4</v>
      </c>
      <c r="K1456" t="s">
        <v>39</v>
      </c>
      <c r="L1456" s="2">
        <v>2</v>
      </c>
      <c r="M1456" s="2">
        <v>3</v>
      </c>
      <c r="N1456" t="s">
        <v>41</v>
      </c>
      <c r="O1456" s="2">
        <v>4850</v>
      </c>
      <c r="P1456" s="2">
        <v>23333</v>
      </c>
      <c r="Q1456" s="2">
        <v>8</v>
      </c>
      <c r="R1456" t="s">
        <v>43</v>
      </c>
      <c r="S1456" s="2">
        <v>3</v>
      </c>
      <c r="T1456" s="2">
        <v>3</v>
      </c>
      <c r="U1456">
        <v>80</v>
      </c>
      <c r="V1456" s="2">
        <v>8</v>
      </c>
      <c r="W1456">
        <v>3</v>
      </c>
      <c r="X1456">
        <v>3</v>
      </c>
      <c r="Y1456">
        <v>5</v>
      </c>
      <c r="Z1456">
        <v>3</v>
      </c>
      <c r="AA1456">
        <v>0</v>
      </c>
      <c r="AB1456">
        <v>1</v>
      </c>
    </row>
    <row r="1457" spans="1:28" x14ac:dyDescent="0.35">
      <c r="A1457" s="2">
        <v>40</v>
      </c>
      <c r="B1457" s="2" t="str" cm="1">
        <f t="array" ref="B1457">_xlfn.IFS(HR_table[[#This Row],[Age]]&lt;=20, "Under 20yrs",HR_table[[#This Row],[Age]]&lt;=30,"(21-30)yrs",HR_table[[#This Row],[Age]]&lt;=40,"(31-40)yrs",HR_table[[#This Row],[Age]]&lt;=50,"(41-50)yrs",HR_table[[#This Row],[Age]]&lt;=60,"(51-60)yrs")</f>
        <v>(31-40)yrs</v>
      </c>
      <c r="C1457" t="s">
        <v>43</v>
      </c>
      <c r="D1457" t="s">
        <v>36</v>
      </c>
      <c r="E1457" t="s">
        <v>45</v>
      </c>
      <c r="F1457" t="s">
        <v>38</v>
      </c>
      <c r="G1457" t="s">
        <v>47</v>
      </c>
      <c r="H1457">
        <v>2048</v>
      </c>
      <c r="I1457" s="2">
        <v>2</v>
      </c>
      <c r="J1457" s="2">
        <v>3</v>
      </c>
      <c r="K1457" t="s">
        <v>46</v>
      </c>
      <c r="L1457" s="2">
        <v>1</v>
      </c>
      <c r="M1457" s="2">
        <v>3</v>
      </c>
      <c r="N1457" t="s">
        <v>41</v>
      </c>
      <c r="O1457" s="2">
        <v>2809</v>
      </c>
      <c r="P1457" s="2">
        <v>2725</v>
      </c>
      <c r="Q1457" s="2">
        <v>2</v>
      </c>
      <c r="R1457" t="s">
        <v>43</v>
      </c>
      <c r="S1457" s="2">
        <v>3</v>
      </c>
      <c r="T1457" s="2">
        <v>4</v>
      </c>
      <c r="U1457">
        <v>80</v>
      </c>
      <c r="V1457" s="2">
        <v>8</v>
      </c>
      <c r="W1457">
        <v>2</v>
      </c>
      <c r="X1457">
        <v>3</v>
      </c>
      <c r="Y1457">
        <v>2</v>
      </c>
      <c r="Z1457">
        <v>2</v>
      </c>
      <c r="AA1457">
        <v>2</v>
      </c>
      <c r="AB1457">
        <v>2</v>
      </c>
    </row>
    <row r="1458" spans="1:28" x14ac:dyDescent="0.35">
      <c r="A1458" s="2">
        <v>35</v>
      </c>
      <c r="B1458" s="2" t="str" cm="1">
        <f t="array" ref="B1458">_xlfn.IFS(HR_table[[#This Row],[Age]]&lt;=20, "Under 20yrs",HR_table[[#This Row],[Age]]&lt;=30,"(21-30)yrs",HR_table[[#This Row],[Age]]&lt;=40,"(31-40)yrs",HR_table[[#This Row],[Age]]&lt;=50,"(41-50)yrs",HR_table[[#This Row],[Age]]&lt;=60,"(51-60)yrs")</f>
        <v>(31-40)yrs</v>
      </c>
      <c r="C1458" t="s">
        <v>43</v>
      </c>
      <c r="D1458" t="s">
        <v>44</v>
      </c>
      <c r="E1458" t="s">
        <v>45</v>
      </c>
      <c r="F1458" t="s">
        <v>38</v>
      </c>
      <c r="G1458" t="s">
        <v>54</v>
      </c>
      <c r="H1458">
        <v>2049</v>
      </c>
      <c r="I1458" s="2">
        <v>18</v>
      </c>
      <c r="J1458" s="2">
        <v>3</v>
      </c>
      <c r="K1458" t="s">
        <v>46</v>
      </c>
      <c r="L1458" s="2">
        <v>2</v>
      </c>
      <c r="M1458" s="2">
        <v>3</v>
      </c>
      <c r="N1458" t="s">
        <v>48</v>
      </c>
      <c r="O1458" s="2">
        <v>5689</v>
      </c>
      <c r="P1458" s="2">
        <v>24594</v>
      </c>
      <c r="Q1458" s="2">
        <v>1</v>
      </c>
      <c r="R1458" t="s">
        <v>35</v>
      </c>
      <c r="S1458" s="2">
        <v>3</v>
      </c>
      <c r="T1458" s="2">
        <v>4</v>
      </c>
      <c r="U1458">
        <v>80</v>
      </c>
      <c r="V1458" s="2">
        <v>10</v>
      </c>
      <c r="W1458">
        <v>2</v>
      </c>
      <c r="X1458">
        <v>4</v>
      </c>
      <c r="Y1458">
        <v>10</v>
      </c>
      <c r="Z1458">
        <v>2</v>
      </c>
      <c r="AA1458">
        <v>0</v>
      </c>
      <c r="AB1458">
        <v>2</v>
      </c>
    </row>
    <row r="1459" spans="1:28" x14ac:dyDescent="0.35">
      <c r="A1459" s="2">
        <v>40</v>
      </c>
      <c r="B1459" s="2" t="str" cm="1">
        <f t="array" ref="B1459">_xlfn.IFS(HR_table[[#This Row],[Age]]&lt;=20, "Under 20yrs",HR_table[[#This Row],[Age]]&lt;=30,"(21-30)yrs",HR_table[[#This Row],[Age]]&lt;=40,"(31-40)yrs",HR_table[[#This Row],[Age]]&lt;=50,"(41-50)yrs",HR_table[[#This Row],[Age]]&lt;=60,"(51-60)yrs")</f>
        <v>(31-40)yrs</v>
      </c>
      <c r="C1459" t="s">
        <v>43</v>
      </c>
      <c r="D1459" t="s">
        <v>36</v>
      </c>
      <c r="E1459" t="s">
        <v>45</v>
      </c>
      <c r="F1459" t="s">
        <v>51</v>
      </c>
      <c r="G1459" t="s">
        <v>47</v>
      </c>
      <c r="H1459">
        <v>2051</v>
      </c>
      <c r="I1459" s="2">
        <v>2</v>
      </c>
      <c r="J1459" s="2">
        <v>3</v>
      </c>
      <c r="K1459" t="s">
        <v>39</v>
      </c>
      <c r="L1459" s="2">
        <v>1</v>
      </c>
      <c r="M1459" s="2">
        <v>3</v>
      </c>
      <c r="N1459" t="s">
        <v>48</v>
      </c>
      <c r="O1459" s="2">
        <v>2001</v>
      </c>
      <c r="P1459" s="2">
        <v>12549</v>
      </c>
      <c r="Q1459" s="2">
        <v>2</v>
      </c>
      <c r="R1459" t="s">
        <v>43</v>
      </c>
      <c r="S1459" s="2">
        <v>3</v>
      </c>
      <c r="T1459" s="2">
        <v>2</v>
      </c>
      <c r="U1459">
        <v>80</v>
      </c>
      <c r="V1459" s="2">
        <v>20</v>
      </c>
      <c r="W1459">
        <v>2</v>
      </c>
      <c r="X1459">
        <v>3</v>
      </c>
      <c r="Y1459">
        <v>5</v>
      </c>
      <c r="Z1459">
        <v>3</v>
      </c>
      <c r="AA1459">
        <v>0</v>
      </c>
      <c r="AB1459">
        <v>2</v>
      </c>
    </row>
    <row r="1460" spans="1:28" x14ac:dyDescent="0.35">
      <c r="A1460" s="2">
        <v>35</v>
      </c>
      <c r="B1460" s="2" t="str" cm="1">
        <f t="array" ref="B1460">_xlfn.IFS(HR_table[[#This Row],[Age]]&lt;=20, "Under 20yrs",HR_table[[#This Row],[Age]]&lt;=30,"(21-30)yrs",HR_table[[#This Row],[Age]]&lt;=40,"(31-40)yrs",HR_table[[#This Row],[Age]]&lt;=50,"(41-50)yrs",HR_table[[#This Row],[Age]]&lt;=60,"(51-60)yrs")</f>
        <v>(31-40)yrs</v>
      </c>
      <c r="C1460" t="s">
        <v>43</v>
      </c>
      <c r="D1460" t="s">
        <v>36</v>
      </c>
      <c r="E1460" t="s">
        <v>45</v>
      </c>
      <c r="F1460" t="s">
        <v>38</v>
      </c>
      <c r="G1460" t="s">
        <v>47</v>
      </c>
      <c r="H1460">
        <v>2052</v>
      </c>
      <c r="I1460" s="2">
        <v>1</v>
      </c>
      <c r="J1460" s="2">
        <v>3</v>
      </c>
      <c r="K1460" t="s">
        <v>39</v>
      </c>
      <c r="L1460" s="2">
        <v>1</v>
      </c>
      <c r="M1460" s="2">
        <v>4</v>
      </c>
      <c r="N1460" t="s">
        <v>48</v>
      </c>
      <c r="O1460" s="2">
        <v>2977</v>
      </c>
      <c r="P1460" s="2">
        <v>8952</v>
      </c>
      <c r="Q1460" s="2">
        <v>1</v>
      </c>
      <c r="R1460" t="s">
        <v>43</v>
      </c>
      <c r="S1460" s="2">
        <v>3</v>
      </c>
      <c r="T1460" s="2">
        <v>4</v>
      </c>
      <c r="U1460">
        <v>80</v>
      </c>
      <c r="V1460" s="2">
        <v>4</v>
      </c>
      <c r="W1460">
        <v>5</v>
      </c>
      <c r="X1460">
        <v>3</v>
      </c>
      <c r="Y1460">
        <v>4</v>
      </c>
      <c r="Z1460">
        <v>3</v>
      </c>
      <c r="AA1460">
        <v>1</v>
      </c>
      <c r="AB1460">
        <v>1</v>
      </c>
    </row>
    <row r="1461" spans="1:28" x14ac:dyDescent="0.35">
      <c r="A1461" s="2">
        <v>29</v>
      </c>
      <c r="B1461" s="2" t="str" cm="1">
        <f t="array" ref="B1461">_xlfn.IFS(HR_table[[#This Row],[Age]]&lt;=20, "Under 20yrs",HR_table[[#This Row],[Age]]&lt;=30,"(21-30)yrs",HR_table[[#This Row],[Age]]&lt;=40,"(31-40)yrs",HR_table[[#This Row],[Age]]&lt;=50,"(41-50)yrs",HR_table[[#This Row],[Age]]&lt;=60,"(51-60)yrs")</f>
        <v>(21-30)yrs</v>
      </c>
      <c r="C1461" t="s">
        <v>43</v>
      </c>
      <c r="D1461" t="s">
        <v>36</v>
      </c>
      <c r="E1461" t="s">
        <v>45</v>
      </c>
      <c r="F1461" t="s">
        <v>49</v>
      </c>
      <c r="G1461" t="s">
        <v>50</v>
      </c>
      <c r="H1461">
        <v>2053</v>
      </c>
      <c r="I1461" s="2">
        <v>13</v>
      </c>
      <c r="J1461" s="2">
        <v>4</v>
      </c>
      <c r="K1461" t="s">
        <v>46</v>
      </c>
      <c r="L1461" s="2">
        <v>2</v>
      </c>
      <c r="M1461" s="2">
        <v>2</v>
      </c>
      <c r="N1461" t="s">
        <v>48</v>
      </c>
      <c r="O1461" s="2">
        <v>4025</v>
      </c>
      <c r="P1461" s="2">
        <v>23679</v>
      </c>
      <c r="Q1461" s="2">
        <v>4</v>
      </c>
      <c r="R1461" t="s">
        <v>35</v>
      </c>
      <c r="S1461" s="2">
        <v>3</v>
      </c>
      <c r="T1461" s="2">
        <v>1</v>
      </c>
      <c r="U1461">
        <v>80</v>
      </c>
      <c r="V1461" s="2">
        <v>10</v>
      </c>
      <c r="W1461">
        <v>2</v>
      </c>
      <c r="X1461">
        <v>3</v>
      </c>
      <c r="Y1461">
        <v>4</v>
      </c>
      <c r="Z1461">
        <v>3</v>
      </c>
      <c r="AA1461">
        <v>0</v>
      </c>
      <c r="AB1461">
        <v>3</v>
      </c>
    </row>
    <row r="1462" spans="1:28" x14ac:dyDescent="0.35">
      <c r="A1462" s="2">
        <v>29</v>
      </c>
      <c r="B1462" s="2" t="str" cm="1">
        <f t="array" ref="B1462">_xlfn.IFS(HR_table[[#This Row],[Age]]&lt;=20, "Under 20yrs",HR_table[[#This Row],[Age]]&lt;=30,"(21-30)yrs",HR_table[[#This Row],[Age]]&lt;=40,"(31-40)yrs",HR_table[[#This Row],[Age]]&lt;=50,"(41-50)yrs",HR_table[[#This Row],[Age]]&lt;=60,"(51-60)yrs")</f>
        <v>(21-30)yrs</v>
      </c>
      <c r="C1462" t="s">
        <v>43</v>
      </c>
      <c r="D1462" t="s">
        <v>36</v>
      </c>
      <c r="E1462" t="s">
        <v>45</v>
      </c>
      <c r="F1462" t="s">
        <v>51</v>
      </c>
      <c r="G1462" t="s">
        <v>47</v>
      </c>
      <c r="H1462">
        <v>2054</v>
      </c>
      <c r="I1462" s="2">
        <v>28</v>
      </c>
      <c r="J1462" s="2">
        <v>4</v>
      </c>
      <c r="K1462" t="s">
        <v>39</v>
      </c>
      <c r="L1462" s="2">
        <v>1</v>
      </c>
      <c r="M1462" s="2">
        <v>1</v>
      </c>
      <c r="N1462" t="s">
        <v>41</v>
      </c>
      <c r="O1462" s="2">
        <v>3785</v>
      </c>
      <c r="P1462" s="2">
        <v>8489</v>
      </c>
      <c r="Q1462" s="2">
        <v>1</v>
      </c>
      <c r="R1462" t="s">
        <v>43</v>
      </c>
      <c r="S1462" s="2">
        <v>3</v>
      </c>
      <c r="T1462" s="2">
        <v>2</v>
      </c>
      <c r="U1462">
        <v>80</v>
      </c>
      <c r="V1462" s="2">
        <v>5</v>
      </c>
      <c r="W1462">
        <v>3</v>
      </c>
      <c r="X1462">
        <v>1</v>
      </c>
      <c r="Y1462">
        <v>5</v>
      </c>
      <c r="Z1462">
        <v>4</v>
      </c>
      <c r="AA1462">
        <v>0</v>
      </c>
      <c r="AB1462">
        <v>4</v>
      </c>
    </row>
    <row r="1463" spans="1:28" x14ac:dyDescent="0.35">
      <c r="A1463" s="2">
        <v>50</v>
      </c>
      <c r="B1463" s="2" t="str" cm="1">
        <f t="array" ref="B1463">_xlfn.IFS(HR_table[[#This Row],[Age]]&lt;=20, "Under 20yrs",HR_table[[#This Row],[Age]]&lt;=30,"(21-30)yrs",HR_table[[#This Row],[Age]]&lt;=40,"(31-40)yrs",HR_table[[#This Row],[Age]]&lt;=50,"(41-50)yrs",HR_table[[#This Row],[Age]]&lt;=60,"(51-60)yrs")</f>
        <v>(41-50)yrs</v>
      </c>
      <c r="C1463" t="s">
        <v>35</v>
      </c>
      <c r="D1463" t="s">
        <v>36</v>
      </c>
      <c r="E1463" t="s">
        <v>37</v>
      </c>
      <c r="F1463" t="s">
        <v>59</v>
      </c>
      <c r="G1463" t="s">
        <v>40</v>
      </c>
      <c r="H1463">
        <v>2055</v>
      </c>
      <c r="I1463" s="2">
        <v>28</v>
      </c>
      <c r="J1463" s="2">
        <v>4</v>
      </c>
      <c r="K1463" t="s">
        <v>46</v>
      </c>
      <c r="L1463" s="2">
        <v>3</v>
      </c>
      <c r="M1463" s="2">
        <v>1</v>
      </c>
      <c r="N1463" t="s">
        <v>52</v>
      </c>
      <c r="O1463" s="2">
        <v>10854</v>
      </c>
      <c r="P1463" s="2">
        <v>16586</v>
      </c>
      <c r="Q1463" s="2">
        <v>4</v>
      </c>
      <c r="R1463" t="s">
        <v>35</v>
      </c>
      <c r="S1463" s="2">
        <v>3</v>
      </c>
      <c r="T1463" s="2">
        <v>2</v>
      </c>
      <c r="U1463">
        <v>80</v>
      </c>
      <c r="V1463" s="2">
        <v>20</v>
      </c>
      <c r="W1463">
        <v>3</v>
      </c>
      <c r="X1463">
        <v>3</v>
      </c>
      <c r="Y1463">
        <v>3</v>
      </c>
      <c r="Z1463">
        <v>2</v>
      </c>
      <c r="AA1463">
        <v>2</v>
      </c>
      <c r="AB1463">
        <v>0</v>
      </c>
    </row>
    <row r="1464" spans="1:28" x14ac:dyDescent="0.35">
      <c r="A1464" s="2">
        <v>39</v>
      </c>
      <c r="B1464" s="2" t="str" cm="1">
        <f t="array" ref="B1464">_xlfn.IFS(HR_table[[#This Row],[Age]]&lt;=20, "Under 20yrs",HR_table[[#This Row],[Age]]&lt;=30,"(21-30)yrs",HR_table[[#This Row],[Age]]&lt;=40,"(31-40)yrs",HR_table[[#This Row],[Age]]&lt;=50,"(41-50)yrs",HR_table[[#This Row],[Age]]&lt;=60,"(51-60)yrs")</f>
        <v>(31-40)yrs</v>
      </c>
      <c r="C1464" t="s">
        <v>43</v>
      </c>
      <c r="D1464" t="s">
        <v>36</v>
      </c>
      <c r="E1464" t="s">
        <v>37</v>
      </c>
      <c r="F1464" t="s">
        <v>59</v>
      </c>
      <c r="G1464" t="s">
        <v>40</v>
      </c>
      <c r="H1464">
        <v>2056</v>
      </c>
      <c r="I1464" s="2">
        <v>24</v>
      </c>
      <c r="J1464" s="2">
        <v>2</v>
      </c>
      <c r="K1464" t="s">
        <v>39</v>
      </c>
      <c r="L1464" s="2">
        <v>4</v>
      </c>
      <c r="M1464" s="2">
        <v>4</v>
      </c>
      <c r="N1464" t="s">
        <v>48</v>
      </c>
      <c r="O1464" s="2">
        <v>12031</v>
      </c>
      <c r="P1464" s="2">
        <v>8828</v>
      </c>
      <c r="Q1464" s="2">
        <v>0</v>
      </c>
      <c r="R1464" t="s">
        <v>43</v>
      </c>
      <c r="S1464" s="2">
        <v>3</v>
      </c>
      <c r="T1464" s="2">
        <v>1</v>
      </c>
      <c r="U1464">
        <v>80</v>
      </c>
      <c r="V1464" s="2">
        <v>21</v>
      </c>
      <c r="W1464">
        <v>2</v>
      </c>
      <c r="X1464">
        <v>2</v>
      </c>
      <c r="Y1464">
        <v>20</v>
      </c>
      <c r="Z1464">
        <v>9</v>
      </c>
      <c r="AA1464">
        <v>9</v>
      </c>
      <c r="AB1464">
        <v>6</v>
      </c>
    </row>
    <row r="1465" spans="1:28" x14ac:dyDescent="0.35">
      <c r="A1465" s="2">
        <v>31</v>
      </c>
      <c r="B1465" s="2" t="str" cm="1">
        <f t="array" ref="B1465">_xlfn.IFS(HR_table[[#This Row],[Age]]&lt;=20, "Under 20yrs",HR_table[[#This Row],[Age]]&lt;=30,"(21-30)yrs",HR_table[[#This Row],[Age]]&lt;=40,"(31-40)yrs",HR_table[[#This Row],[Age]]&lt;=50,"(41-50)yrs",HR_table[[#This Row],[Age]]&lt;=60,"(51-60)yrs")</f>
        <v>(31-40)yrs</v>
      </c>
      <c r="C1465" t="s">
        <v>43</v>
      </c>
      <c r="D1465" t="s">
        <v>55</v>
      </c>
      <c r="E1465" t="s">
        <v>45</v>
      </c>
      <c r="F1465" t="s">
        <v>51</v>
      </c>
      <c r="G1465" t="s">
        <v>53</v>
      </c>
      <c r="H1465">
        <v>2057</v>
      </c>
      <c r="I1465" s="2">
        <v>5</v>
      </c>
      <c r="J1465" s="2">
        <v>2</v>
      </c>
      <c r="K1465" t="s">
        <v>46</v>
      </c>
      <c r="L1465" s="2">
        <v>2</v>
      </c>
      <c r="M1465" s="2">
        <v>1</v>
      </c>
      <c r="N1465" t="s">
        <v>41</v>
      </c>
      <c r="O1465" s="2">
        <v>9936</v>
      </c>
      <c r="P1465" s="2">
        <v>3787</v>
      </c>
      <c r="Q1465" s="2">
        <v>0</v>
      </c>
      <c r="R1465" t="s">
        <v>43</v>
      </c>
      <c r="S1465" s="2">
        <v>3</v>
      </c>
      <c r="T1465" s="2">
        <v>2</v>
      </c>
      <c r="U1465">
        <v>80</v>
      </c>
      <c r="V1465" s="2">
        <v>10</v>
      </c>
      <c r="W1465">
        <v>2</v>
      </c>
      <c r="X1465">
        <v>3</v>
      </c>
      <c r="Y1465">
        <v>9</v>
      </c>
      <c r="Z1465">
        <v>4</v>
      </c>
      <c r="AA1465">
        <v>1</v>
      </c>
      <c r="AB1465">
        <v>7</v>
      </c>
    </row>
    <row r="1466" spans="1:28" x14ac:dyDescent="0.35">
      <c r="A1466" s="2">
        <v>26</v>
      </c>
      <c r="B1466" s="2" t="str" cm="1">
        <f t="array" ref="B1466">_xlfn.IFS(HR_table[[#This Row],[Age]]&lt;=20, "Under 20yrs",HR_table[[#This Row],[Age]]&lt;=30,"(21-30)yrs",HR_table[[#This Row],[Age]]&lt;=40,"(31-40)yrs",HR_table[[#This Row],[Age]]&lt;=50,"(41-50)yrs",HR_table[[#This Row],[Age]]&lt;=60,"(51-60)yrs")</f>
        <v>(21-30)yrs</v>
      </c>
      <c r="C1466" t="s">
        <v>43</v>
      </c>
      <c r="D1466" t="s">
        <v>36</v>
      </c>
      <c r="E1466" t="s">
        <v>37</v>
      </c>
      <c r="F1466" t="s">
        <v>49</v>
      </c>
      <c r="G1466" t="s">
        <v>57</v>
      </c>
      <c r="H1466">
        <v>2060</v>
      </c>
      <c r="I1466" s="2">
        <v>5</v>
      </c>
      <c r="J1466" s="2">
        <v>4</v>
      </c>
      <c r="K1466" t="s">
        <v>39</v>
      </c>
      <c r="L1466" s="2">
        <v>1</v>
      </c>
      <c r="M1466" s="2">
        <v>3</v>
      </c>
      <c r="N1466" t="s">
        <v>41</v>
      </c>
      <c r="O1466" s="2">
        <v>2966</v>
      </c>
      <c r="P1466" s="2">
        <v>21378</v>
      </c>
      <c r="Q1466" s="2">
        <v>0</v>
      </c>
      <c r="R1466" t="s">
        <v>43</v>
      </c>
      <c r="S1466" s="2">
        <v>3</v>
      </c>
      <c r="T1466" s="2">
        <v>4</v>
      </c>
      <c r="U1466">
        <v>80</v>
      </c>
      <c r="V1466" s="2">
        <v>5</v>
      </c>
      <c r="W1466">
        <v>2</v>
      </c>
      <c r="X1466">
        <v>3</v>
      </c>
      <c r="Y1466">
        <v>4</v>
      </c>
      <c r="Z1466">
        <v>2</v>
      </c>
      <c r="AA1466">
        <v>0</v>
      </c>
      <c r="AB1466">
        <v>0</v>
      </c>
    </row>
    <row r="1467" spans="1:28" x14ac:dyDescent="0.35">
      <c r="A1467" s="2">
        <v>36</v>
      </c>
      <c r="B1467" s="2" t="str" cm="1">
        <f t="array" ref="B1467">_xlfn.IFS(HR_table[[#This Row],[Age]]&lt;=20, "Under 20yrs",HR_table[[#This Row],[Age]]&lt;=30,"(21-30)yrs",HR_table[[#This Row],[Age]]&lt;=40,"(31-40)yrs",HR_table[[#This Row],[Age]]&lt;=50,"(41-50)yrs",HR_table[[#This Row],[Age]]&lt;=60,"(51-60)yrs")</f>
        <v>(31-40)yrs</v>
      </c>
      <c r="C1467" t="s">
        <v>43</v>
      </c>
      <c r="D1467" t="s">
        <v>44</v>
      </c>
      <c r="E1467" t="s">
        <v>45</v>
      </c>
      <c r="F1467" t="s">
        <v>51</v>
      </c>
      <c r="G1467" t="s">
        <v>50</v>
      </c>
      <c r="H1467">
        <v>2061</v>
      </c>
      <c r="I1467" s="2">
        <v>23</v>
      </c>
      <c r="J1467" s="2">
        <v>3</v>
      </c>
      <c r="K1467" t="s">
        <v>46</v>
      </c>
      <c r="L1467" s="2">
        <v>2</v>
      </c>
      <c r="M1467" s="2">
        <v>4</v>
      </c>
      <c r="N1467" t="s">
        <v>48</v>
      </c>
      <c r="O1467" s="2">
        <v>2571</v>
      </c>
      <c r="P1467" s="2">
        <v>12290</v>
      </c>
      <c r="Q1467" s="2">
        <v>4</v>
      </c>
      <c r="R1467" t="s">
        <v>43</v>
      </c>
      <c r="S1467" s="2">
        <v>3</v>
      </c>
      <c r="T1467" s="2">
        <v>3</v>
      </c>
      <c r="U1467">
        <v>80</v>
      </c>
      <c r="V1467" s="2">
        <v>17</v>
      </c>
      <c r="W1467">
        <v>3</v>
      </c>
      <c r="X1467">
        <v>3</v>
      </c>
      <c r="Y1467">
        <v>5</v>
      </c>
      <c r="Z1467">
        <v>2</v>
      </c>
      <c r="AA1467">
        <v>0</v>
      </c>
      <c r="AB1467">
        <v>3</v>
      </c>
    </row>
    <row r="1468" spans="1:28" x14ac:dyDescent="0.35">
      <c r="A1468" s="2">
        <v>39</v>
      </c>
      <c r="B1468" s="2" t="str" cm="1">
        <f t="array" ref="B1468">_xlfn.IFS(HR_table[[#This Row],[Age]]&lt;=20, "Under 20yrs",HR_table[[#This Row],[Age]]&lt;=30,"(21-30)yrs",HR_table[[#This Row],[Age]]&lt;=40,"(31-40)yrs",HR_table[[#This Row],[Age]]&lt;=50,"(41-50)yrs",HR_table[[#This Row],[Age]]&lt;=60,"(51-60)yrs")</f>
        <v>(31-40)yrs</v>
      </c>
      <c r="C1468" t="s">
        <v>43</v>
      </c>
      <c r="D1468" t="s">
        <v>36</v>
      </c>
      <c r="E1468" t="s">
        <v>45</v>
      </c>
      <c r="F1468" t="s">
        <v>51</v>
      </c>
      <c r="G1468" t="s">
        <v>54</v>
      </c>
      <c r="H1468">
        <v>2062</v>
      </c>
      <c r="I1468" s="2">
        <v>6</v>
      </c>
      <c r="J1468" s="2">
        <v>4</v>
      </c>
      <c r="K1468" t="s">
        <v>46</v>
      </c>
      <c r="L1468" s="2">
        <v>3</v>
      </c>
      <c r="M1468" s="2">
        <v>1</v>
      </c>
      <c r="N1468" t="s">
        <v>48</v>
      </c>
      <c r="O1468" s="2">
        <v>9991</v>
      </c>
      <c r="P1468" s="2">
        <v>21457</v>
      </c>
      <c r="Q1468" s="2">
        <v>4</v>
      </c>
      <c r="R1468" t="s">
        <v>43</v>
      </c>
      <c r="S1468" s="2">
        <v>3</v>
      </c>
      <c r="T1468" s="2">
        <v>1</v>
      </c>
      <c r="U1468">
        <v>80</v>
      </c>
      <c r="V1468" s="2">
        <v>9</v>
      </c>
      <c r="W1468">
        <v>5</v>
      </c>
      <c r="X1468">
        <v>3</v>
      </c>
      <c r="Y1468">
        <v>7</v>
      </c>
      <c r="Z1468">
        <v>7</v>
      </c>
      <c r="AA1468">
        <v>1</v>
      </c>
      <c r="AB1468">
        <v>7</v>
      </c>
    </row>
    <row r="1469" spans="1:28" x14ac:dyDescent="0.35">
      <c r="A1469" s="2">
        <v>27</v>
      </c>
      <c r="B1469" s="2" t="str" cm="1">
        <f t="array" ref="B1469">_xlfn.IFS(HR_table[[#This Row],[Age]]&lt;=20, "Under 20yrs",HR_table[[#This Row],[Age]]&lt;=30,"(21-30)yrs",HR_table[[#This Row],[Age]]&lt;=40,"(31-40)yrs",HR_table[[#This Row],[Age]]&lt;=50,"(41-50)yrs",HR_table[[#This Row],[Age]]&lt;=60,"(51-60)yrs")</f>
        <v>(21-30)yrs</v>
      </c>
      <c r="C1469" t="s">
        <v>43</v>
      </c>
      <c r="D1469" t="s">
        <v>36</v>
      </c>
      <c r="E1469" t="s">
        <v>45</v>
      </c>
      <c r="F1469" t="s">
        <v>38</v>
      </c>
      <c r="G1469" t="s">
        <v>53</v>
      </c>
      <c r="H1469">
        <v>2064</v>
      </c>
      <c r="I1469" s="2">
        <v>4</v>
      </c>
      <c r="J1469" s="2">
        <v>2</v>
      </c>
      <c r="K1469" t="s">
        <v>46</v>
      </c>
      <c r="L1469" s="2">
        <v>2</v>
      </c>
      <c r="M1469" s="2">
        <v>2</v>
      </c>
      <c r="N1469" t="s">
        <v>48</v>
      </c>
      <c r="O1469" s="2">
        <v>6142</v>
      </c>
      <c r="P1469" s="2">
        <v>5174</v>
      </c>
      <c r="Q1469" s="2">
        <v>1</v>
      </c>
      <c r="R1469" t="s">
        <v>35</v>
      </c>
      <c r="S1469" s="2">
        <v>4</v>
      </c>
      <c r="T1469" s="2">
        <v>2</v>
      </c>
      <c r="U1469">
        <v>80</v>
      </c>
      <c r="V1469" s="2">
        <v>6</v>
      </c>
      <c r="W1469">
        <v>0</v>
      </c>
      <c r="X1469">
        <v>3</v>
      </c>
      <c r="Y1469">
        <v>6</v>
      </c>
      <c r="Z1469">
        <v>2</v>
      </c>
      <c r="AA1469">
        <v>0</v>
      </c>
      <c r="AB1469">
        <v>3</v>
      </c>
    </row>
    <row r="1470" spans="1:28" x14ac:dyDescent="0.35">
      <c r="A1470" s="2">
        <v>49</v>
      </c>
      <c r="B1470" s="2" t="str" cm="1">
        <f t="array" ref="B1470">_xlfn.IFS(HR_table[[#This Row],[Age]]&lt;=20, "Under 20yrs",HR_table[[#This Row],[Age]]&lt;=30,"(21-30)yrs",HR_table[[#This Row],[Age]]&lt;=40,"(31-40)yrs",HR_table[[#This Row],[Age]]&lt;=50,"(41-50)yrs",HR_table[[#This Row],[Age]]&lt;=60,"(51-60)yrs")</f>
        <v>(41-50)yrs</v>
      </c>
      <c r="C1470" t="s">
        <v>43</v>
      </c>
      <c r="D1470" t="s">
        <v>44</v>
      </c>
      <c r="E1470" t="s">
        <v>37</v>
      </c>
      <c r="F1470" t="s">
        <v>51</v>
      </c>
      <c r="G1470" t="s">
        <v>40</v>
      </c>
      <c r="H1470">
        <v>2065</v>
      </c>
      <c r="I1470" s="2">
        <v>2</v>
      </c>
      <c r="J1470" s="2">
        <v>4</v>
      </c>
      <c r="K1470" t="s">
        <v>46</v>
      </c>
      <c r="L1470" s="2">
        <v>2</v>
      </c>
      <c r="M1470" s="2">
        <v>2</v>
      </c>
      <c r="N1470" t="s">
        <v>48</v>
      </c>
      <c r="O1470" s="2">
        <v>5390</v>
      </c>
      <c r="P1470" s="2">
        <v>13243</v>
      </c>
      <c r="Q1470" s="2">
        <v>2</v>
      </c>
      <c r="R1470" t="s">
        <v>43</v>
      </c>
      <c r="S1470" s="2">
        <v>3</v>
      </c>
      <c r="T1470" s="2">
        <v>4</v>
      </c>
      <c r="U1470">
        <v>80</v>
      </c>
      <c r="V1470" s="2">
        <v>17</v>
      </c>
      <c r="W1470">
        <v>3</v>
      </c>
      <c r="X1470">
        <v>2</v>
      </c>
      <c r="Y1470">
        <v>9</v>
      </c>
      <c r="Z1470">
        <v>6</v>
      </c>
      <c r="AA1470">
        <v>0</v>
      </c>
      <c r="AB1470">
        <v>8</v>
      </c>
    </row>
    <row r="1471" spans="1:28" x14ac:dyDescent="0.35">
      <c r="A1471" s="2">
        <v>34</v>
      </c>
      <c r="B1471" s="2" t="str" cm="1">
        <f t="array" ref="B1471">_xlfn.IFS(HR_table[[#This Row],[Age]]&lt;=20, "Under 20yrs",HR_table[[#This Row],[Age]]&lt;=30,"(21-30)yrs",HR_table[[#This Row],[Age]]&lt;=40,"(31-40)yrs",HR_table[[#This Row],[Age]]&lt;=50,"(41-50)yrs",HR_table[[#This Row],[Age]]&lt;=60,"(51-60)yrs")</f>
        <v>(31-40)yrs</v>
      </c>
      <c r="C1471" t="s">
        <v>43</v>
      </c>
      <c r="D1471" t="s">
        <v>36</v>
      </c>
      <c r="E1471" t="s">
        <v>45</v>
      </c>
      <c r="F1471" t="s">
        <v>51</v>
      </c>
      <c r="G1471" t="s">
        <v>50</v>
      </c>
      <c r="H1471">
        <v>2068</v>
      </c>
      <c r="I1471" s="2">
        <v>8</v>
      </c>
      <c r="J1471" s="2">
        <v>2</v>
      </c>
      <c r="K1471" t="s">
        <v>46</v>
      </c>
      <c r="L1471" s="2">
        <v>2</v>
      </c>
      <c r="M1471" s="2">
        <v>3</v>
      </c>
      <c r="N1471" t="s">
        <v>48</v>
      </c>
      <c r="O1471" s="2">
        <v>4404</v>
      </c>
      <c r="P1471" s="2">
        <v>10228</v>
      </c>
      <c r="Q1471" s="2">
        <v>2</v>
      </c>
      <c r="R1471" t="s">
        <v>43</v>
      </c>
      <c r="S1471" s="2">
        <v>3</v>
      </c>
      <c r="T1471" s="2">
        <v>1</v>
      </c>
      <c r="U1471">
        <v>80</v>
      </c>
      <c r="V1471" s="2">
        <v>6</v>
      </c>
      <c r="W1471">
        <v>3</v>
      </c>
      <c r="X1471">
        <v>4</v>
      </c>
      <c r="Y1471">
        <v>4</v>
      </c>
      <c r="Z1471">
        <v>3</v>
      </c>
      <c r="AA1471">
        <v>1</v>
      </c>
      <c r="AB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F887B-4CE6-4750-963E-E8E46F712138}">
  <dimension ref="A1:H61"/>
  <sheetViews>
    <sheetView zoomScaleNormal="100" workbookViewId="0">
      <selection activeCell="A7" sqref="A7"/>
    </sheetView>
  </sheetViews>
  <sheetFormatPr defaultRowHeight="14.5" x14ac:dyDescent="0.35"/>
  <cols>
    <col min="1" max="1" width="21.36328125" bestFit="1" customWidth="1"/>
    <col min="2" max="2" width="15.6328125" bestFit="1" customWidth="1"/>
    <col min="3" max="3" width="4.36328125" bestFit="1" customWidth="1"/>
    <col min="4" max="4" width="16.54296875" bestFit="1" customWidth="1"/>
    <col min="5" max="5" width="13.90625" bestFit="1" customWidth="1"/>
    <col min="6" max="6" width="21.36328125" bestFit="1" customWidth="1"/>
    <col min="7" max="7" width="15.6328125" bestFit="1" customWidth="1"/>
    <col min="8" max="8" width="18.54296875" bestFit="1" customWidth="1"/>
    <col min="9" max="9" width="13.90625" bestFit="1" customWidth="1"/>
    <col min="10" max="10" width="18.54296875" bestFit="1" customWidth="1"/>
    <col min="11" max="11" width="10.36328125" bestFit="1" customWidth="1"/>
    <col min="12" max="114" width="7.90625" bestFit="1" customWidth="1"/>
  </cols>
  <sheetData>
    <row r="1" spans="1:8" x14ac:dyDescent="0.35">
      <c r="A1" s="12" t="s">
        <v>78</v>
      </c>
    </row>
    <row r="2" spans="1:8" x14ac:dyDescent="0.35">
      <c r="A2" s="3" t="s">
        <v>72</v>
      </c>
      <c r="B2" s="15" t="s">
        <v>74</v>
      </c>
      <c r="C2" t="s">
        <v>75</v>
      </c>
      <c r="D2" t="s">
        <v>76</v>
      </c>
      <c r="F2" s="3" t="s">
        <v>72</v>
      </c>
      <c r="G2" t="s">
        <v>74</v>
      </c>
      <c r="H2" t="s">
        <v>77</v>
      </c>
    </row>
    <row r="3" spans="1:8" x14ac:dyDescent="0.35">
      <c r="A3" s="7" t="s">
        <v>43</v>
      </c>
      <c r="B3" s="15">
        <v>1233</v>
      </c>
      <c r="C3" s="13">
        <v>6832.7396593673966</v>
      </c>
      <c r="D3" s="9">
        <f>B3/$B$5</f>
        <v>0.83877551020408159</v>
      </c>
      <c r="F3" s="8">
        <v>1</v>
      </c>
      <c r="G3">
        <v>289</v>
      </c>
      <c r="H3" s="10">
        <f>G3/$G$7</f>
        <v>0.19659863945578232</v>
      </c>
    </row>
    <row r="4" spans="1:8" x14ac:dyDescent="0.35">
      <c r="A4" s="7" t="s">
        <v>35</v>
      </c>
      <c r="B4" s="15">
        <v>237</v>
      </c>
      <c r="C4" s="13">
        <v>4787.0928270042195</v>
      </c>
      <c r="D4" s="11">
        <f>B4/$B$5</f>
        <v>0.16122448979591836</v>
      </c>
      <c r="F4" s="8">
        <v>2</v>
      </c>
      <c r="G4">
        <v>280</v>
      </c>
      <c r="H4" s="10">
        <f>G4/$G$7</f>
        <v>0.19047619047619047</v>
      </c>
    </row>
    <row r="5" spans="1:8" x14ac:dyDescent="0.35">
      <c r="A5" s="7" t="s">
        <v>62</v>
      </c>
      <c r="B5" s="16">
        <v>1470</v>
      </c>
      <c r="C5" s="14">
        <v>6502.931292517007</v>
      </c>
      <c r="F5" s="8">
        <v>3</v>
      </c>
      <c r="G5">
        <v>442</v>
      </c>
      <c r="H5" s="10">
        <f>G5/$G$7</f>
        <v>0.30068027210884352</v>
      </c>
    </row>
    <row r="6" spans="1:8" x14ac:dyDescent="0.35">
      <c r="C6" t="s">
        <v>90</v>
      </c>
      <c r="D6" s="13">
        <f>QUARTILE(HR_table[MonthlyIncome],3)</f>
        <v>8379</v>
      </c>
      <c r="F6" s="8">
        <v>4</v>
      </c>
      <c r="G6">
        <v>459</v>
      </c>
      <c r="H6" s="11">
        <f>G6/$G$7</f>
        <v>0.3122448979591837</v>
      </c>
    </row>
    <row r="7" spans="1:8" x14ac:dyDescent="0.35">
      <c r="C7" t="s">
        <v>91</v>
      </c>
      <c r="D7" s="13">
        <f>QUARTILE(HR_table[MonthlyIncome],1)</f>
        <v>2911</v>
      </c>
      <c r="F7" s="8" t="s">
        <v>62</v>
      </c>
      <c r="G7">
        <v>1470</v>
      </c>
      <c r="H7" s="10">
        <f>G7/$G$7</f>
        <v>1</v>
      </c>
    </row>
    <row r="8" spans="1:8" x14ac:dyDescent="0.35">
      <c r="C8" s="17" t="s">
        <v>92</v>
      </c>
      <c r="D8" s="18">
        <f>D6-D7</f>
        <v>5468</v>
      </c>
    </row>
    <row r="10" spans="1:8" x14ac:dyDescent="0.35">
      <c r="A10" s="1" t="str">
        <f>"Staff within "&amp;INDEX(A13:A17,MATCH(MAX(B13:B17),B13:B17,0))&amp;" are mostly prone to attrition."</f>
        <v>Staff within (31-40)yrs are mostly prone to attrition.</v>
      </c>
      <c r="B10" s="1"/>
    </row>
    <row r="11" spans="1:8" x14ac:dyDescent="0.35">
      <c r="A11" s="3" t="s">
        <v>85</v>
      </c>
      <c r="B11" s="3" t="s">
        <v>73</v>
      </c>
    </row>
    <row r="12" spans="1:8" x14ac:dyDescent="0.35">
      <c r="A12" s="3" t="s">
        <v>72</v>
      </c>
      <c r="B12" t="s">
        <v>35</v>
      </c>
      <c r="F12" s="1" t="str">
        <f>INDEX(F15:F17,MATCH(MAX(G15:G17),G15:G17,0))&amp;" has the highest turnover of "&amp;TEXT(MAX(G15:G17),"0%")</f>
        <v>Research &amp; Development has the highest turnover of 56%</v>
      </c>
    </row>
    <row r="13" spans="1:8" x14ac:dyDescent="0.35">
      <c r="A13" s="7" t="s">
        <v>83</v>
      </c>
      <c r="B13" s="9">
        <v>6.7510548523206745E-2</v>
      </c>
      <c r="F13" s="3" t="s">
        <v>88</v>
      </c>
      <c r="G13" s="3" t="s">
        <v>73</v>
      </c>
    </row>
    <row r="14" spans="1:8" x14ac:dyDescent="0.35">
      <c r="A14" s="7" t="s">
        <v>79</v>
      </c>
      <c r="B14" s="9">
        <v>0.35443037974683544</v>
      </c>
      <c r="F14" s="3" t="s">
        <v>72</v>
      </c>
      <c r="G14" t="s">
        <v>35</v>
      </c>
    </row>
    <row r="15" spans="1:8" x14ac:dyDescent="0.35">
      <c r="A15" s="7" t="s">
        <v>80</v>
      </c>
      <c r="B15" s="9">
        <v>0.35864978902953587</v>
      </c>
      <c r="F15" s="7" t="s">
        <v>61</v>
      </c>
      <c r="G15" s="9">
        <v>5.0632911392405063E-2</v>
      </c>
    </row>
    <row r="16" spans="1:8" x14ac:dyDescent="0.35">
      <c r="A16" s="7" t="s">
        <v>81</v>
      </c>
      <c r="B16" s="9">
        <v>0.14345991561181434</v>
      </c>
      <c r="F16" s="7" t="s">
        <v>45</v>
      </c>
      <c r="G16" s="9">
        <v>0.56118143459915615</v>
      </c>
      <c r="H16" t="s">
        <v>84</v>
      </c>
    </row>
    <row r="17" spans="1:7" x14ac:dyDescent="0.35">
      <c r="A17" s="7" t="s">
        <v>82</v>
      </c>
      <c r="B17" s="9">
        <v>7.5949367088607597E-2</v>
      </c>
      <c r="F17" s="7" t="s">
        <v>37</v>
      </c>
      <c r="G17" s="9">
        <v>0.3881856540084388</v>
      </c>
    </row>
    <row r="19" spans="1:7" x14ac:dyDescent="0.35">
      <c r="A19" s="3" t="s">
        <v>1</v>
      </c>
      <c r="B19" t="s">
        <v>35</v>
      </c>
    </row>
    <row r="20" spans="1:7" x14ac:dyDescent="0.35">
      <c r="A20" s="1" t="str">
        <f>"Lower income jobs such as '"&amp;INDEX(A22:A30,MATCH(MIN(B22:B30),B22:B30,0))&amp;"' has the highest attrition of "&amp;TEXT(MAX(C22:C30),"0%")&amp;" and vice versa."</f>
        <v>Lower income jobs such as 'Sales Representative' has the highest attrition of 26% and vice versa.</v>
      </c>
    </row>
    <row r="21" spans="1:7" x14ac:dyDescent="0.35">
      <c r="A21" s="3" t="s">
        <v>72</v>
      </c>
      <c r="B21" t="s">
        <v>75</v>
      </c>
      <c r="C21" t="s">
        <v>89</v>
      </c>
    </row>
    <row r="22" spans="1:7" x14ac:dyDescent="0.35">
      <c r="A22" s="7" t="s">
        <v>54</v>
      </c>
      <c r="B22" s="13">
        <v>8548.2222222222226</v>
      </c>
      <c r="C22" s="9">
        <v>3.7974683544303799E-2</v>
      </c>
    </row>
    <row r="23" spans="1:7" x14ac:dyDescent="0.35">
      <c r="A23" s="7" t="s">
        <v>61</v>
      </c>
      <c r="B23" s="13">
        <v>3715.75</v>
      </c>
      <c r="C23" s="9">
        <v>5.0632911392405063E-2</v>
      </c>
    </row>
    <row r="24" spans="1:7" x14ac:dyDescent="0.35">
      <c r="A24" s="7" t="s">
        <v>50</v>
      </c>
      <c r="B24" s="13">
        <v>2919.2580645161293</v>
      </c>
      <c r="C24" s="9">
        <v>0.26160337552742619</v>
      </c>
    </row>
    <row r="25" spans="1:7" x14ac:dyDescent="0.35">
      <c r="A25" s="7" t="s">
        <v>56</v>
      </c>
      <c r="B25" s="13">
        <v>16797.400000000001</v>
      </c>
      <c r="C25" s="9">
        <v>2.1097046413502109E-2</v>
      </c>
    </row>
    <row r="26" spans="1:7" x14ac:dyDescent="0.35">
      <c r="A26" s="7" t="s">
        <v>53</v>
      </c>
      <c r="B26" s="13">
        <v>7365.5</v>
      </c>
      <c r="C26" s="9">
        <v>4.2194092827004218E-2</v>
      </c>
    </row>
    <row r="27" spans="1:7" x14ac:dyDescent="0.35">
      <c r="A27" s="7" t="s">
        <v>58</v>
      </c>
      <c r="B27" s="13">
        <v>19395.5</v>
      </c>
      <c r="C27" s="9">
        <v>8.4388185654008432E-3</v>
      </c>
    </row>
    <row r="28" spans="1:7" x14ac:dyDescent="0.35">
      <c r="A28" s="7" t="s">
        <v>47</v>
      </c>
      <c r="B28" s="13">
        <v>2780.4680851063831</v>
      </c>
      <c r="C28" s="9">
        <v>0.19831223628691982</v>
      </c>
    </row>
    <row r="29" spans="1:7" x14ac:dyDescent="0.35">
      <c r="A29" s="7" t="s">
        <v>40</v>
      </c>
      <c r="B29" s="13">
        <v>7489</v>
      </c>
      <c r="C29" s="9">
        <v>0.24050632911392406</v>
      </c>
    </row>
    <row r="30" spans="1:7" x14ac:dyDescent="0.35">
      <c r="A30" s="7" t="s">
        <v>57</v>
      </c>
      <c r="B30" s="13">
        <v>2364.7272727272725</v>
      </c>
      <c r="C30" s="9">
        <v>0.13924050632911392</v>
      </c>
    </row>
    <row r="33" spans="1:4" x14ac:dyDescent="0.35">
      <c r="A33" s="1" t="str">
        <f>TEXT(MAX(C36:C39),"0%")&amp;" Staff with least Job satisfaction of "&amp;INDEX(A36:A39,MATCH(MAX(C36:C39),C36:C39,0))&amp;" has the highest attrition"</f>
        <v>23% Staff with least Job satisfaction of 1 has the highest attrition</v>
      </c>
      <c r="B33" s="1"/>
      <c r="C33" s="1"/>
      <c r="D33" s="1"/>
    </row>
    <row r="34" spans="1:4" x14ac:dyDescent="0.35">
      <c r="A34" s="3" t="s">
        <v>93</v>
      </c>
      <c r="B34" s="3" t="s">
        <v>73</v>
      </c>
    </row>
    <row r="35" spans="1:4" x14ac:dyDescent="0.35">
      <c r="A35" s="3" t="s">
        <v>72</v>
      </c>
      <c r="B35" t="s">
        <v>43</v>
      </c>
      <c r="C35" t="s">
        <v>35</v>
      </c>
    </row>
    <row r="36" spans="1:4" x14ac:dyDescent="0.35">
      <c r="A36" s="8">
        <v>1</v>
      </c>
      <c r="B36" s="9">
        <v>0.77162629757785473</v>
      </c>
      <c r="C36" s="9">
        <v>0.22837370242214533</v>
      </c>
    </row>
    <row r="37" spans="1:4" x14ac:dyDescent="0.35">
      <c r="A37" s="8">
        <v>2</v>
      </c>
      <c r="B37" s="9">
        <v>0.83571428571428574</v>
      </c>
      <c r="C37" s="9">
        <v>0.16428571428571428</v>
      </c>
    </row>
    <row r="38" spans="1:4" x14ac:dyDescent="0.35">
      <c r="A38" s="8">
        <v>3</v>
      </c>
      <c r="B38" s="9">
        <v>0.83484162895927605</v>
      </c>
      <c r="C38" s="9">
        <v>0.16515837104072398</v>
      </c>
    </row>
    <row r="39" spans="1:4" x14ac:dyDescent="0.35">
      <c r="A39" s="8">
        <v>4</v>
      </c>
      <c r="B39" s="9">
        <v>0.88671023965141615</v>
      </c>
      <c r="C39" s="9">
        <v>0.11328976034858387</v>
      </c>
    </row>
    <row r="40" spans="1:4" x14ac:dyDescent="0.35">
      <c r="B40" s="10"/>
      <c r="C40" s="10"/>
    </row>
    <row r="44" spans="1:4" x14ac:dyDescent="0.35">
      <c r="A44" t="str">
        <f>"Attrition increases with increase in Overtime."</f>
        <v>Attrition increases with increase in Overtime.</v>
      </c>
    </row>
    <row r="45" spans="1:4" x14ac:dyDescent="0.35">
      <c r="A45" s="3" t="s">
        <v>74</v>
      </c>
      <c r="B45" s="3" t="s">
        <v>73</v>
      </c>
    </row>
    <row r="46" spans="1:4" x14ac:dyDescent="0.35">
      <c r="A46" s="3" t="s">
        <v>72</v>
      </c>
      <c r="B46" t="s">
        <v>35</v>
      </c>
    </row>
    <row r="47" spans="1:4" x14ac:dyDescent="0.35">
      <c r="A47" s="7" t="s">
        <v>43</v>
      </c>
      <c r="B47" s="9">
        <v>0.46413502109704641</v>
      </c>
    </row>
    <row r="48" spans="1:4" x14ac:dyDescent="0.35">
      <c r="A48" s="7" t="s">
        <v>35</v>
      </c>
      <c r="B48" s="9">
        <v>0.53586497890295359</v>
      </c>
    </row>
    <row r="50" spans="1:6" x14ac:dyDescent="0.35">
      <c r="A50" s="3" t="s">
        <v>1</v>
      </c>
      <c r="B50" t="s">
        <v>43</v>
      </c>
    </row>
    <row r="51" spans="1:6" x14ac:dyDescent="0.35"/>
    <row r="52" spans="1:6" x14ac:dyDescent="0.35">
      <c r="A52" s="3" t="s">
        <v>95</v>
      </c>
      <c r="B52" s="3" t="s">
        <v>73</v>
      </c>
    </row>
    <row r="53" spans="1:6" x14ac:dyDescent="0.35">
      <c r="A53" s="3" t="s">
        <v>72</v>
      </c>
      <c r="B53" t="s">
        <v>54</v>
      </c>
      <c r="C53" t="s">
        <v>50</v>
      </c>
      <c r="D53" t="s">
        <v>53</v>
      </c>
      <c r="E53" t="s">
        <v>47</v>
      </c>
      <c r="F53" t="s">
        <v>40</v>
      </c>
    </row>
    <row r="54" spans="1:6" x14ac:dyDescent="0.35">
      <c r="A54" s="7">
        <v>0</v>
      </c>
      <c r="B54" s="9">
        <v>0.12686567164179105</v>
      </c>
      <c r="C54" s="9">
        <v>0.29850746268656714</v>
      </c>
      <c r="D54" s="9">
        <v>9.7014925373134331E-2</v>
      </c>
      <c r="E54" s="9">
        <v>0.26865671641791045</v>
      </c>
      <c r="F54" s="9">
        <v>0.20895522388059701</v>
      </c>
    </row>
    <row r="55" spans="1:6" x14ac:dyDescent="0.35">
      <c r="A55" s="7">
        <v>1</v>
      </c>
      <c r="B55" s="9">
        <v>0.11428571428571428</v>
      </c>
      <c r="C55" s="9">
        <v>0.2</v>
      </c>
      <c r="D55" s="9">
        <v>5.7142857142857141E-2</v>
      </c>
      <c r="E55" s="9">
        <v>0.45714285714285713</v>
      </c>
      <c r="F55" s="9">
        <v>0.17142857142857143</v>
      </c>
    </row>
    <row r="56" spans="1:6" x14ac:dyDescent="0.35">
      <c r="A56" s="7">
        <v>2</v>
      </c>
      <c r="B56" s="9">
        <v>0.10699588477366255</v>
      </c>
      <c r="C56" s="9">
        <v>0.23868312757201646</v>
      </c>
      <c r="D56" s="9">
        <v>0.11934156378600823</v>
      </c>
      <c r="E56" s="9">
        <v>0.32098765432098764</v>
      </c>
      <c r="F56" s="9">
        <v>0.2139917695473251</v>
      </c>
    </row>
    <row r="57" spans="1:6" x14ac:dyDescent="0.35">
      <c r="A57" s="7">
        <v>3</v>
      </c>
      <c r="B57" s="9">
        <v>0.12871287128712872</v>
      </c>
      <c r="C57" s="9">
        <v>0.20792079207920791</v>
      </c>
      <c r="D57" s="9">
        <v>0.10891089108910891</v>
      </c>
      <c r="E57" s="9">
        <v>0.28712871287128711</v>
      </c>
      <c r="F57" s="9">
        <v>0.26732673267326734</v>
      </c>
    </row>
    <row r="58" spans="1:6" x14ac:dyDescent="0.35">
      <c r="A58" s="7">
        <v>4</v>
      </c>
      <c r="B58" s="9">
        <v>5.4054054054054057E-2</v>
      </c>
      <c r="C58" s="9">
        <v>0.17567567567567569</v>
      </c>
      <c r="D58" s="9">
        <v>0.14864864864864866</v>
      </c>
      <c r="E58" s="9">
        <v>0.27027027027027029</v>
      </c>
      <c r="F58" s="9">
        <v>0.35135135135135137</v>
      </c>
    </row>
    <row r="59" spans="1:6" x14ac:dyDescent="0.35">
      <c r="A59" s="7">
        <v>5</v>
      </c>
      <c r="B59" s="9">
        <v>8.8235294117647065E-2</v>
      </c>
      <c r="C59" s="9">
        <v>8.8235294117647065E-2</v>
      </c>
      <c r="D59" s="9">
        <v>0.17647058823529413</v>
      </c>
      <c r="E59" s="9">
        <v>0.38235294117647056</v>
      </c>
      <c r="F59" s="9">
        <v>0.26470588235294118</v>
      </c>
    </row>
    <row r="60" spans="1:6" x14ac:dyDescent="0.35">
      <c r="A60" t="s">
        <v>96</v>
      </c>
      <c r="B60" s="9">
        <f>AVERAGE(B54:B59)</f>
        <v>0.10319158169333296</v>
      </c>
      <c r="C60" s="9">
        <f t="shared" ref="C60:F60" si="0">AVERAGE(C54:C59)</f>
        <v>0.20150372535518568</v>
      </c>
      <c r="D60" s="9">
        <f t="shared" si="0"/>
        <v>0.1179215790458419</v>
      </c>
      <c r="E60" s="9">
        <f t="shared" si="0"/>
        <v>0.33108985869996393</v>
      </c>
      <c r="F60" s="9">
        <f t="shared" si="0"/>
        <v>0.24629325520567558</v>
      </c>
    </row>
    <row r="61" spans="1:6" x14ac:dyDescent="0.35">
      <c r="A61" t="s">
        <v>97</v>
      </c>
      <c r="B61" s="9">
        <f>AVERAGE(B54:B56)</f>
        <v>0.11604909023372263</v>
      </c>
      <c r="C61" s="9">
        <f t="shared" ref="C61:F61" si="1">AVERAGE(C54:C56)</f>
        <v>0.2457301967528612</v>
      </c>
      <c r="D61" s="9">
        <f t="shared" si="1"/>
        <v>9.1166448767333222E-2</v>
      </c>
      <c r="E61" s="9">
        <f t="shared" si="1"/>
        <v>0.34892907596058514</v>
      </c>
      <c r="F61" s="9">
        <f t="shared" si="1"/>
        <v>0.19812518828549786</v>
      </c>
    </row>
  </sheetData>
  <pageMargins left="0.7" right="0.7" top="0.75" bottom="0.75" header="0.3" footer="0.3"/>
  <legacy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DDB74-FD03-4043-AD0E-7B1FC0E5B49C}">
  <dimension ref="A1"/>
  <sheetViews>
    <sheetView showGridLines="0" showRowColHeaders="0" tabSelected="1" zoomScale="81" zoomScaleNormal="81" workbookViewId="0">
      <selection activeCell="X6" sqref="X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B3F8-9E91-4930-803A-040A0F314BD4}">
  <dimension ref="A3:B12"/>
  <sheetViews>
    <sheetView workbookViewId="0">
      <selection activeCell="B10" sqref="B10"/>
    </sheetView>
  </sheetViews>
  <sheetFormatPr defaultRowHeight="14.5" x14ac:dyDescent="0.35"/>
  <sheetData>
    <row r="3" spans="1:2" x14ac:dyDescent="0.35">
      <c r="A3" s="19"/>
      <c r="B3" t="s">
        <v>69</v>
      </c>
    </row>
    <row r="4" spans="1:2" x14ac:dyDescent="0.35">
      <c r="A4" s="20"/>
      <c r="B4" t="s">
        <v>70</v>
      </c>
    </row>
    <row r="5" spans="1:2" x14ac:dyDescent="0.35">
      <c r="A5" s="21"/>
      <c r="B5" t="s">
        <v>71</v>
      </c>
    </row>
    <row r="8" spans="1:2" x14ac:dyDescent="0.35">
      <c r="A8" s="22"/>
      <c r="B8" t="s">
        <v>86</v>
      </c>
    </row>
    <row r="10" spans="1:2" x14ac:dyDescent="0.35">
      <c r="A10" s="23"/>
      <c r="B10" t="s">
        <v>87</v>
      </c>
    </row>
    <row r="12" spans="1:2" x14ac:dyDescent="0.35">
      <c r="A12" s="24"/>
      <c r="B12"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HR-Employee-Attrition</vt:lpstr>
      <vt:lpstr>HR-Employee-Attrition copy</vt:lpstr>
      <vt:lpstr>Pivots-workings</vt:lpstr>
      <vt:lpstr>HR_Dashboard</vt:lpstr>
      <vt:lpstr>Sheet2</vt:lpstr>
      <vt:lpstr>Age_attrition</vt:lpstr>
      <vt:lpstr>Attrition_rate</vt:lpstr>
      <vt:lpstr>Averag_M_Income</vt:lpstr>
      <vt:lpstr>H_Dept_attrition</vt:lpstr>
      <vt:lpstr>income_turnover</vt:lpstr>
      <vt:lpstr>jobSatisfation_A</vt:lpstr>
      <vt:lpstr>Max_JS</vt:lpstr>
      <vt:lpstr>Overtime_Attri</vt:lpstr>
      <vt:lpstr>Quartile_Average</vt:lpstr>
      <vt:lpstr>Total_staff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Nnennaya Ihekwoaba</dc:creator>
  <cp:lastModifiedBy>Nnennaya Ihekwoaba</cp:lastModifiedBy>
  <dcterms:created xsi:type="dcterms:W3CDTF">2026-06-17T04:48:07Z</dcterms:created>
  <dcterms:modified xsi:type="dcterms:W3CDTF">2026-07-01T00:31:50Z</dcterms:modified>
</cp:coreProperties>
</file>